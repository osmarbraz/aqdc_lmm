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smar\Documentos\GitHub\aqdc_lmm\"/>
    </mc:Choice>
  </mc:AlternateContent>
  <xr:revisionPtr revIDLastSave="0" documentId="13_ncr:1_{C0EED986-01D5-4844-B6D9-8ADA8ED6760A}" xr6:coauthVersionLast="47" xr6:coauthVersionMax="47" xr10:uidLastSave="{00000000-0000-0000-0000-000000000000}"/>
  <bookViews>
    <workbookView xWindow="-120" yWindow="-120" windowWidth="20730" windowHeight="11160" xr2:uid="{00000000-000D-0000-FFFF-FFFF00000000}"/>
  </bookViews>
  <sheets>
    <sheet name="Prompts" sheetId="1" r:id="rId1"/>
    <sheet name="Corpora 1" sheetId="2" r:id="rId2"/>
    <sheet name="Corpora 2" sheetId="3" r:id="rId3"/>
    <sheet name="Critérios digital" sheetId="4" r:id="rId4"/>
    <sheet name="Critérios impresso" sheetId="5" r:id="rId5"/>
    <sheet name="Experimento_Automatico1_1" sheetId="6" r:id="rId6"/>
    <sheet name="Experimento_Automatico1_2" sheetId="7" r:id="rId7"/>
    <sheet name="Experimento_Automatico1_3" sheetId="8" r:id="rId8"/>
  </sheets>
  <definedNames>
    <definedName name="_xlnm._FilterDatabase" localSheetId="2" hidden="1">'Corpora 2'!$A$1:$X$135</definedName>
    <definedName name="DadosExternos_1" localSheetId="2">'Corpora 2'!$B$2:$C$135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wDD0eIPs8kcY8L4pGi6ph0xNdyZRmDLQKvf2in+blro="/>
    </ext>
  </extLst>
</workbook>
</file>

<file path=xl/calcChain.xml><?xml version="1.0" encoding="utf-8"?>
<calcChain xmlns="http://schemas.openxmlformats.org/spreadsheetml/2006/main">
  <c r="H430" i="8" l="1"/>
  <c r="H429" i="8"/>
  <c r="F429" i="8"/>
  <c r="H428" i="8"/>
  <c r="F428" i="8"/>
  <c r="H427" i="8"/>
  <c r="F427" i="8"/>
  <c r="H426" i="8"/>
  <c r="F426" i="8"/>
  <c r="H425" i="8"/>
  <c r="F425" i="8"/>
  <c r="H424" i="8"/>
  <c r="F424" i="8"/>
  <c r="H423" i="8"/>
  <c r="F423" i="8"/>
  <c r="H422" i="8"/>
  <c r="F422" i="8"/>
  <c r="H421" i="8"/>
  <c r="F421" i="8"/>
  <c r="H420" i="8"/>
  <c r="F420" i="8"/>
  <c r="H419" i="8"/>
  <c r="F419" i="8"/>
  <c r="H418" i="8"/>
  <c r="F418" i="8"/>
  <c r="H417" i="8"/>
  <c r="F417" i="8"/>
  <c r="H416" i="8"/>
  <c r="F416" i="8"/>
  <c r="H415" i="8"/>
  <c r="F415" i="8"/>
  <c r="H414" i="8"/>
  <c r="F414" i="8"/>
  <c r="H413" i="8"/>
  <c r="F413" i="8"/>
  <c r="H412" i="8"/>
  <c r="F412" i="8"/>
  <c r="H411" i="8"/>
  <c r="F411" i="8"/>
  <c r="H410" i="8"/>
  <c r="F410" i="8"/>
  <c r="H409" i="8"/>
  <c r="F409" i="8"/>
  <c r="H408" i="8"/>
  <c r="F408" i="8"/>
  <c r="H407" i="8"/>
  <c r="F407" i="8"/>
  <c r="H406" i="8"/>
  <c r="F406" i="8"/>
  <c r="H405" i="8"/>
  <c r="F405" i="8"/>
  <c r="H404" i="8"/>
  <c r="F404" i="8"/>
  <c r="H403" i="8"/>
  <c r="F403" i="8"/>
  <c r="H402" i="8"/>
  <c r="F402" i="8"/>
  <c r="H401" i="8"/>
  <c r="F401" i="8"/>
  <c r="H400" i="8"/>
  <c r="F400" i="8"/>
  <c r="H399" i="8"/>
  <c r="F399" i="8"/>
  <c r="H398" i="8"/>
  <c r="F398" i="8"/>
  <c r="H397" i="8"/>
  <c r="F397" i="8"/>
  <c r="H396" i="8"/>
  <c r="F396" i="8"/>
  <c r="H395" i="8"/>
  <c r="F395" i="8"/>
  <c r="H394" i="8"/>
  <c r="F394" i="8"/>
  <c r="H393" i="8"/>
  <c r="F393" i="8"/>
  <c r="H392" i="8"/>
  <c r="F392" i="8"/>
  <c r="H391" i="8"/>
  <c r="F391" i="8"/>
  <c r="H390" i="8"/>
  <c r="F390" i="8"/>
  <c r="H389" i="8"/>
  <c r="F389" i="8"/>
  <c r="H388" i="8"/>
  <c r="F388" i="8"/>
  <c r="H387" i="8"/>
  <c r="F387" i="8"/>
  <c r="H386" i="8"/>
  <c r="F386" i="8"/>
  <c r="H385" i="8"/>
  <c r="F385" i="8"/>
  <c r="H384" i="8"/>
  <c r="F384" i="8"/>
  <c r="H383" i="8"/>
  <c r="F383" i="8"/>
  <c r="H382" i="8"/>
  <c r="F382" i="8"/>
  <c r="H381" i="8"/>
  <c r="F381" i="8"/>
  <c r="H380" i="8"/>
  <c r="F380" i="8"/>
  <c r="H379" i="8"/>
  <c r="F379" i="8"/>
  <c r="H378" i="8"/>
  <c r="F378" i="8"/>
  <c r="H377" i="8"/>
  <c r="F377" i="8"/>
  <c r="H376" i="8"/>
  <c r="F376" i="8"/>
  <c r="H375" i="8"/>
  <c r="F375" i="8"/>
  <c r="H374" i="8"/>
  <c r="F374" i="8"/>
  <c r="H373" i="8"/>
  <c r="F373" i="8"/>
  <c r="H372" i="8"/>
  <c r="F372" i="8"/>
  <c r="H371" i="8"/>
  <c r="F371" i="8"/>
  <c r="H370" i="8"/>
  <c r="F370" i="8"/>
  <c r="H369" i="8"/>
  <c r="F369" i="8"/>
  <c r="H368" i="8"/>
  <c r="F368" i="8"/>
  <c r="H367" i="8"/>
  <c r="F367" i="8"/>
  <c r="H366" i="8"/>
  <c r="F366" i="8"/>
  <c r="H365" i="8"/>
  <c r="F365" i="8"/>
  <c r="H364" i="8"/>
  <c r="F364" i="8"/>
  <c r="H363" i="8"/>
  <c r="F363" i="8"/>
  <c r="H362" i="8"/>
  <c r="F362" i="8"/>
  <c r="H361" i="8"/>
  <c r="F361" i="8"/>
  <c r="H360" i="8"/>
  <c r="F360" i="8"/>
  <c r="H359" i="8"/>
  <c r="F359" i="8"/>
  <c r="H358" i="8"/>
  <c r="F358" i="8"/>
  <c r="H357" i="8"/>
  <c r="F357" i="8"/>
  <c r="H356" i="8"/>
  <c r="F356" i="8"/>
  <c r="H355" i="8"/>
  <c r="F355" i="8"/>
  <c r="H354" i="8"/>
  <c r="F354" i="8"/>
  <c r="H353" i="8"/>
  <c r="F353" i="8"/>
  <c r="H352" i="8"/>
  <c r="F352" i="8"/>
  <c r="H351" i="8"/>
  <c r="F351" i="8"/>
  <c r="H350" i="8"/>
  <c r="F350" i="8"/>
  <c r="H349" i="8"/>
  <c r="F349" i="8"/>
  <c r="H348" i="8"/>
  <c r="F348" i="8"/>
  <c r="H347" i="8"/>
  <c r="F347" i="8"/>
  <c r="H346" i="8"/>
  <c r="F346" i="8"/>
  <c r="H345" i="8"/>
  <c r="F345" i="8"/>
  <c r="H344" i="8"/>
  <c r="F344" i="8"/>
  <c r="H343" i="8"/>
  <c r="F343" i="8"/>
  <c r="H342" i="8"/>
  <c r="F342" i="8"/>
  <c r="H341" i="8"/>
  <c r="F341" i="8"/>
  <c r="H340" i="8"/>
  <c r="F340" i="8"/>
  <c r="H339" i="8"/>
  <c r="F339" i="8"/>
  <c r="H338" i="8"/>
  <c r="F338" i="8"/>
  <c r="H337" i="8"/>
  <c r="F337" i="8"/>
  <c r="H336" i="8"/>
  <c r="H335" i="8"/>
  <c r="F335" i="8"/>
  <c r="H334" i="8"/>
  <c r="F334" i="8"/>
  <c r="H333" i="8"/>
  <c r="F333" i="8"/>
  <c r="H332" i="8"/>
  <c r="F332" i="8"/>
  <c r="H331" i="8"/>
  <c r="F331" i="8"/>
  <c r="H330" i="8"/>
  <c r="F330" i="8"/>
  <c r="H329" i="8"/>
  <c r="F329" i="8"/>
  <c r="H328" i="8"/>
  <c r="F328" i="8"/>
  <c r="H327" i="8"/>
  <c r="F327" i="8"/>
  <c r="H326" i="8"/>
  <c r="F326" i="8"/>
  <c r="H325" i="8"/>
  <c r="F325" i="8"/>
  <c r="H324" i="8"/>
  <c r="F324" i="8"/>
  <c r="H323" i="8"/>
  <c r="F323" i="8"/>
  <c r="H322" i="8"/>
  <c r="F322" i="8"/>
  <c r="H321" i="8"/>
  <c r="F321" i="8"/>
  <c r="H320" i="8"/>
  <c r="F320" i="8"/>
  <c r="H319" i="8"/>
  <c r="F319" i="8"/>
  <c r="H318" i="8"/>
  <c r="F318" i="8"/>
  <c r="H317" i="8"/>
  <c r="F317" i="8"/>
  <c r="H316" i="8"/>
  <c r="F316" i="8"/>
  <c r="H315" i="8"/>
  <c r="F315" i="8"/>
  <c r="H314" i="8"/>
  <c r="F314" i="8"/>
  <c r="H313" i="8"/>
  <c r="F313" i="8"/>
  <c r="H312" i="8"/>
  <c r="F312" i="8"/>
  <c r="H311" i="8"/>
  <c r="F311" i="8"/>
  <c r="H310" i="8"/>
  <c r="F310" i="8"/>
  <c r="H309" i="8"/>
  <c r="F309" i="8"/>
  <c r="H308" i="8"/>
  <c r="F308" i="8"/>
  <c r="H307" i="8"/>
  <c r="F307" i="8"/>
  <c r="H306" i="8"/>
  <c r="F306" i="8"/>
  <c r="H305" i="8"/>
  <c r="F305" i="8"/>
  <c r="H304" i="8"/>
  <c r="F304" i="8"/>
  <c r="H303" i="8"/>
  <c r="F303" i="8"/>
  <c r="H302" i="8"/>
  <c r="F302" i="8"/>
  <c r="H301" i="8"/>
  <c r="F301" i="8"/>
  <c r="H300" i="8"/>
  <c r="F300" i="8"/>
  <c r="H299" i="8"/>
  <c r="F299" i="8"/>
  <c r="H298" i="8"/>
  <c r="F298" i="8"/>
  <c r="H297" i="8"/>
  <c r="F297" i="8"/>
  <c r="V291" i="8"/>
  <c r="U291" i="8"/>
  <c r="S291" i="8"/>
  <c r="R291" i="8"/>
  <c r="P291" i="8"/>
  <c r="O291" i="8"/>
  <c r="M291" i="8"/>
  <c r="L291" i="8"/>
  <c r="J291" i="8"/>
  <c r="I291" i="8"/>
  <c r="U290" i="8"/>
  <c r="S290" i="8"/>
  <c r="R290" i="8"/>
  <c r="O290" i="8"/>
  <c r="I290" i="8"/>
  <c r="F290" i="8"/>
  <c r="F289" i="8"/>
  <c r="U288" i="8"/>
  <c r="R288" i="8"/>
  <c r="P288" i="8"/>
  <c r="O288" i="8"/>
  <c r="L288" i="8"/>
  <c r="I288" i="8"/>
  <c r="F288" i="8"/>
  <c r="M288" i="8" s="1"/>
  <c r="V287" i="8"/>
  <c r="S287" i="8"/>
  <c r="M287" i="8"/>
  <c r="J287" i="8"/>
  <c r="I287" i="8"/>
  <c r="F287" i="8"/>
  <c r="U287" i="8" s="1"/>
  <c r="U286" i="8"/>
  <c r="R286" i="8"/>
  <c r="P286" i="8"/>
  <c r="O286" i="8"/>
  <c r="M286" i="8"/>
  <c r="L286" i="8"/>
  <c r="I286" i="8"/>
  <c r="F286" i="8"/>
  <c r="V286" i="8" s="1"/>
  <c r="V285" i="8"/>
  <c r="R285" i="8"/>
  <c r="M285" i="8"/>
  <c r="J285" i="8"/>
  <c r="F285" i="8"/>
  <c r="V284" i="8"/>
  <c r="U284" i="8"/>
  <c r="R284" i="8"/>
  <c r="P284" i="8"/>
  <c r="O284" i="8"/>
  <c r="M284" i="8"/>
  <c r="L284" i="8"/>
  <c r="J284" i="8"/>
  <c r="I284" i="8"/>
  <c r="F284" i="8"/>
  <c r="S284" i="8" s="1"/>
  <c r="S283" i="8"/>
  <c r="O283" i="8"/>
  <c r="M283" i="8"/>
  <c r="J283" i="8"/>
  <c r="F283" i="8"/>
  <c r="V283" i="8" s="1"/>
  <c r="R282" i="8"/>
  <c r="I282" i="8"/>
  <c r="F282" i="8"/>
  <c r="S281" i="8"/>
  <c r="M281" i="8"/>
  <c r="J281" i="8"/>
  <c r="F281" i="8"/>
  <c r="U280" i="8"/>
  <c r="R280" i="8"/>
  <c r="P280" i="8"/>
  <c r="O280" i="8"/>
  <c r="L280" i="8"/>
  <c r="I280" i="8"/>
  <c r="F280" i="8"/>
  <c r="M280" i="8" s="1"/>
  <c r="U279" i="8"/>
  <c r="J279" i="8"/>
  <c r="F279" i="8"/>
  <c r="U278" i="8"/>
  <c r="R278" i="8"/>
  <c r="P278" i="8"/>
  <c r="O278" i="8"/>
  <c r="M278" i="8"/>
  <c r="L278" i="8"/>
  <c r="I278" i="8"/>
  <c r="F278" i="8"/>
  <c r="V278" i="8" s="1"/>
  <c r="V277" i="8"/>
  <c r="S277" i="8"/>
  <c r="R277" i="8"/>
  <c r="P277" i="8"/>
  <c r="M277" i="8"/>
  <c r="J277" i="8"/>
  <c r="F277" i="8"/>
  <c r="V276" i="8"/>
  <c r="U276" i="8"/>
  <c r="R276" i="8"/>
  <c r="P276" i="8"/>
  <c r="O276" i="8"/>
  <c r="M276" i="8"/>
  <c r="L276" i="8"/>
  <c r="J276" i="8"/>
  <c r="I276" i="8"/>
  <c r="F276" i="8"/>
  <c r="S276" i="8" s="1"/>
  <c r="V275" i="8"/>
  <c r="F275" i="8"/>
  <c r="U274" i="8"/>
  <c r="S274" i="8"/>
  <c r="O274" i="8"/>
  <c r="L274" i="8"/>
  <c r="I274" i="8"/>
  <c r="F274" i="8"/>
  <c r="S273" i="8"/>
  <c r="L273" i="8"/>
  <c r="F273" i="8"/>
  <c r="U272" i="8"/>
  <c r="R272" i="8"/>
  <c r="P272" i="8"/>
  <c r="O272" i="8"/>
  <c r="L272" i="8"/>
  <c r="I272" i="8"/>
  <c r="F272" i="8"/>
  <c r="M272" i="8" s="1"/>
  <c r="V271" i="8"/>
  <c r="S271" i="8"/>
  <c r="P271" i="8"/>
  <c r="M271" i="8"/>
  <c r="I271" i="8"/>
  <c r="F271" i="8"/>
  <c r="U271" i="8" s="1"/>
  <c r="U270" i="8"/>
  <c r="R270" i="8"/>
  <c r="P270" i="8"/>
  <c r="O270" i="8"/>
  <c r="M270" i="8"/>
  <c r="L270" i="8"/>
  <c r="I270" i="8"/>
  <c r="F270" i="8"/>
  <c r="V270" i="8" s="1"/>
  <c r="F269" i="8"/>
  <c r="V268" i="8"/>
  <c r="U268" i="8"/>
  <c r="R268" i="8"/>
  <c r="P268" i="8"/>
  <c r="O268" i="8"/>
  <c r="M268" i="8"/>
  <c r="L268" i="8"/>
  <c r="J268" i="8"/>
  <c r="I268" i="8"/>
  <c r="F268" i="8"/>
  <c r="S268" i="8" s="1"/>
  <c r="S267" i="8"/>
  <c r="P267" i="8"/>
  <c r="O267" i="8"/>
  <c r="J267" i="8"/>
  <c r="F267" i="8"/>
  <c r="V267" i="8" s="1"/>
  <c r="U266" i="8"/>
  <c r="R266" i="8"/>
  <c r="O266" i="8"/>
  <c r="L266" i="8"/>
  <c r="F266" i="8"/>
  <c r="V265" i="8"/>
  <c r="S265" i="8"/>
  <c r="M265" i="8"/>
  <c r="L265" i="8"/>
  <c r="J265" i="8"/>
  <c r="F265" i="8"/>
  <c r="P265" i="8" s="1"/>
  <c r="U264" i="8"/>
  <c r="R264" i="8"/>
  <c r="P264" i="8"/>
  <c r="O264" i="8"/>
  <c r="L264" i="8"/>
  <c r="I264" i="8"/>
  <c r="F264" i="8"/>
  <c r="M264" i="8" s="1"/>
  <c r="P263" i="8"/>
  <c r="I263" i="8"/>
  <c r="F263" i="8"/>
  <c r="U262" i="8"/>
  <c r="R262" i="8"/>
  <c r="P262" i="8"/>
  <c r="O262" i="8"/>
  <c r="M262" i="8"/>
  <c r="L262" i="8"/>
  <c r="I262" i="8"/>
  <c r="F262" i="8"/>
  <c r="V262" i="8" s="1"/>
  <c r="S261" i="8"/>
  <c r="P261" i="8"/>
  <c r="J261" i="8"/>
  <c r="F261" i="8"/>
  <c r="V260" i="8"/>
  <c r="U260" i="8"/>
  <c r="R260" i="8"/>
  <c r="O260" i="8"/>
  <c r="M260" i="8"/>
  <c r="L260" i="8"/>
  <c r="J260" i="8"/>
  <c r="I260" i="8"/>
  <c r="F260" i="8"/>
  <c r="S260" i="8" s="1"/>
  <c r="O259" i="8"/>
  <c r="F259" i="8"/>
  <c r="F258" i="8"/>
  <c r="V257" i="8"/>
  <c r="S257" i="8"/>
  <c r="M257" i="8"/>
  <c r="L257" i="8"/>
  <c r="J257" i="8"/>
  <c r="F257" i="8"/>
  <c r="U256" i="8"/>
  <c r="R256" i="8"/>
  <c r="P256" i="8"/>
  <c r="O256" i="8"/>
  <c r="L256" i="8"/>
  <c r="I256" i="8"/>
  <c r="F256" i="8"/>
  <c r="M256" i="8" s="1"/>
  <c r="P255" i="8"/>
  <c r="F255" i="8"/>
  <c r="U254" i="8"/>
  <c r="R254" i="8"/>
  <c r="P254" i="8"/>
  <c r="O254" i="8"/>
  <c r="M254" i="8"/>
  <c r="L254" i="8"/>
  <c r="I254" i="8"/>
  <c r="F254" i="8"/>
  <c r="V254" i="8" s="1"/>
  <c r="S253" i="8"/>
  <c r="R253" i="8"/>
  <c r="P253" i="8"/>
  <c r="J253" i="8"/>
  <c r="F253" i="8"/>
  <c r="V253" i="8" s="1"/>
  <c r="V252" i="8"/>
  <c r="U252" i="8"/>
  <c r="R252" i="8"/>
  <c r="O252" i="8"/>
  <c r="M252" i="8"/>
  <c r="L252" i="8"/>
  <c r="J252" i="8"/>
  <c r="I252" i="8"/>
  <c r="F252" i="8"/>
  <c r="S252" i="8" s="1"/>
  <c r="R251" i="8"/>
  <c r="F251" i="8"/>
  <c r="U250" i="8"/>
  <c r="S250" i="8"/>
  <c r="R250" i="8"/>
  <c r="L250" i="8"/>
  <c r="J250" i="8"/>
  <c r="I250" i="8"/>
  <c r="F250" i="8"/>
  <c r="V249" i="8"/>
  <c r="S249" i="8"/>
  <c r="P249" i="8"/>
  <c r="M249" i="8"/>
  <c r="L249" i="8"/>
  <c r="J249" i="8"/>
  <c r="F249" i="8"/>
  <c r="U248" i="8"/>
  <c r="S248" i="8"/>
  <c r="R248" i="8"/>
  <c r="O248" i="8"/>
  <c r="L248" i="8"/>
  <c r="I248" i="8"/>
  <c r="F248" i="8"/>
  <c r="F247" i="8"/>
  <c r="U246" i="8"/>
  <c r="R246" i="8"/>
  <c r="P246" i="8"/>
  <c r="O246" i="8"/>
  <c r="M246" i="8"/>
  <c r="L246" i="8"/>
  <c r="I246" i="8"/>
  <c r="F246" i="8"/>
  <c r="V246" i="8" s="1"/>
  <c r="U245" i="8"/>
  <c r="I245" i="8"/>
  <c r="F245" i="8"/>
  <c r="V244" i="8"/>
  <c r="U244" i="8"/>
  <c r="R244" i="8"/>
  <c r="O244" i="8"/>
  <c r="M244" i="8"/>
  <c r="L244" i="8"/>
  <c r="J244" i="8"/>
  <c r="I244" i="8"/>
  <c r="F244" i="8"/>
  <c r="S244" i="8" s="1"/>
  <c r="S243" i="8"/>
  <c r="M243" i="8"/>
  <c r="F243" i="8"/>
  <c r="U242" i="8"/>
  <c r="S242" i="8"/>
  <c r="R242" i="8"/>
  <c r="L242" i="8"/>
  <c r="J242" i="8"/>
  <c r="I242" i="8"/>
  <c r="F242" i="8"/>
  <c r="O242" i="8" s="1"/>
  <c r="V241" i="8"/>
  <c r="S241" i="8"/>
  <c r="P241" i="8"/>
  <c r="M241" i="8"/>
  <c r="L241" i="8"/>
  <c r="J241" i="8"/>
  <c r="F241" i="8"/>
  <c r="O241" i="8" s="1"/>
  <c r="U240" i="8"/>
  <c r="S240" i="8"/>
  <c r="R240" i="8"/>
  <c r="O240" i="8"/>
  <c r="L240" i="8"/>
  <c r="I240" i="8"/>
  <c r="F240" i="8"/>
  <c r="P240" i="8" s="1"/>
  <c r="V239" i="8"/>
  <c r="S239" i="8"/>
  <c r="M239" i="8"/>
  <c r="L239" i="8"/>
  <c r="J239" i="8"/>
  <c r="F239" i="8"/>
  <c r="U238" i="8"/>
  <c r="R238" i="8"/>
  <c r="P238" i="8"/>
  <c r="O238" i="8"/>
  <c r="M238" i="8"/>
  <c r="L238" i="8"/>
  <c r="J238" i="8"/>
  <c r="I238" i="8"/>
  <c r="F238" i="8"/>
  <c r="V238" i="8" s="1"/>
  <c r="S237" i="8"/>
  <c r="J237" i="8"/>
  <c r="F237" i="8"/>
  <c r="V236" i="8"/>
  <c r="U236" i="8"/>
  <c r="R236" i="8"/>
  <c r="O236" i="8"/>
  <c r="M236" i="8"/>
  <c r="L236" i="8"/>
  <c r="J236" i="8"/>
  <c r="I236" i="8"/>
  <c r="F236" i="8"/>
  <c r="S236" i="8" s="1"/>
  <c r="V235" i="8"/>
  <c r="S235" i="8"/>
  <c r="R235" i="8"/>
  <c r="O235" i="8"/>
  <c r="M235" i="8"/>
  <c r="J235" i="8"/>
  <c r="F235" i="8"/>
  <c r="U234" i="8"/>
  <c r="O234" i="8"/>
  <c r="F234" i="8"/>
  <c r="V233" i="8"/>
  <c r="S233" i="8"/>
  <c r="L233" i="8"/>
  <c r="F233" i="8"/>
  <c r="L232" i="8"/>
  <c r="F232" i="8"/>
  <c r="U231" i="8"/>
  <c r="L231" i="8"/>
  <c r="F231" i="8"/>
  <c r="V230" i="8"/>
  <c r="U230" i="8"/>
  <c r="R230" i="8"/>
  <c r="P230" i="8"/>
  <c r="O230" i="8"/>
  <c r="M230" i="8"/>
  <c r="L230" i="8"/>
  <c r="J230" i="8"/>
  <c r="I230" i="8"/>
  <c r="F230" i="8"/>
  <c r="S230" i="8" s="1"/>
  <c r="S229" i="8"/>
  <c r="M229" i="8"/>
  <c r="F229" i="8"/>
  <c r="V228" i="8"/>
  <c r="U228" i="8"/>
  <c r="R228" i="8"/>
  <c r="O228" i="8"/>
  <c r="M228" i="8"/>
  <c r="L228" i="8"/>
  <c r="J228" i="8"/>
  <c r="I228" i="8"/>
  <c r="F228" i="8"/>
  <c r="S228" i="8" s="1"/>
  <c r="V227" i="8"/>
  <c r="R227" i="8"/>
  <c r="P227" i="8"/>
  <c r="O227" i="8"/>
  <c r="J227" i="8"/>
  <c r="F227" i="8"/>
  <c r="S227" i="8" s="1"/>
  <c r="V226" i="8"/>
  <c r="S226" i="8"/>
  <c r="R226" i="8"/>
  <c r="J226" i="8"/>
  <c r="F226" i="8"/>
  <c r="F225" i="8"/>
  <c r="R224" i="8"/>
  <c r="L224" i="8"/>
  <c r="F224" i="8"/>
  <c r="U223" i="8"/>
  <c r="S223" i="8"/>
  <c r="P223" i="8"/>
  <c r="L223" i="8"/>
  <c r="J223" i="8"/>
  <c r="I223" i="8"/>
  <c r="F223" i="8"/>
  <c r="V222" i="8"/>
  <c r="U222" i="8"/>
  <c r="R222" i="8"/>
  <c r="P222" i="8"/>
  <c r="O222" i="8"/>
  <c r="M222" i="8"/>
  <c r="L222" i="8"/>
  <c r="J222" i="8"/>
  <c r="I222" i="8"/>
  <c r="F222" i="8"/>
  <c r="S222" i="8" s="1"/>
  <c r="V221" i="8"/>
  <c r="S221" i="8"/>
  <c r="R221" i="8"/>
  <c r="P221" i="8"/>
  <c r="M221" i="8"/>
  <c r="J221" i="8"/>
  <c r="I221" i="8"/>
  <c r="F221" i="8"/>
  <c r="L221" i="8" s="1"/>
  <c r="V220" i="8"/>
  <c r="S220" i="8"/>
  <c r="O220" i="8"/>
  <c r="M220" i="8"/>
  <c r="L220" i="8"/>
  <c r="I220" i="8"/>
  <c r="F220" i="8"/>
  <c r="P220" i="8" s="1"/>
  <c r="R219" i="8"/>
  <c r="M219" i="8"/>
  <c r="F219" i="8"/>
  <c r="V218" i="8"/>
  <c r="U218" i="8"/>
  <c r="R218" i="8"/>
  <c r="P218" i="8"/>
  <c r="O218" i="8"/>
  <c r="L218" i="8"/>
  <c r="J218" i="8"/>
  <c r="I218" i="8"/>
  <c r="F218" i="8"/>
  <c r="S218" i="8" s="1"/>
  <c r="S217" i="8"/>
  <c r="P217" i="8"/>
  <c r="M217" i="8"/>
  <c r="F217" i="8"/>
  <c r="U216" i="8"/>
  <c r="S216" i="8"/>
  <c r="R216" i="8"/>
  <c r="O216" i="8"/>
  <c r="I216" i="8"/>
  <c r="F216" i="8"/>
  <c r="F215" i="8"/>
  <c r="V214" i="8"/>
  <c r="U214" i="8"/>
  <c r="R214" i="8"/>
  <c r="P214" i="8"/>
  <c r="O214" i="8"/>
  <c r="M214" i="8"/>
  <c r="L214" i="8"/>
  <c r="J214" i="8"/>
  <c r="I214" i="8"/>
  <c r="F214" i="8"/>
  <c r="S214" i="8" s="1"/>
  <c r="S213" i="8"/>
  <c r="P213" i="8"/>
  <c r="J213" i="8"/>
  <c r="F213" i="8"/>
  <c r="U212" i="8"/>
  <c r="R212" i="8"/>
  <c r="O212" i="8"/>
  <c r="M212" i="8"/>
  <c r="L212" i="8"/>
  <c r="I212" i="8"/>
  <c r="F212" i="8"/>
  <c r="V212" i="8" s="1"/>
  <c r="P211" i="8"/>
  <c r="M211" i="8"/>
  <c r="F211" i="8"/>
  <c r="V210" i="8"/>
  <c r="U210" i="8"/>
  <c r="R210" i="8"/>
  <c r="P210" i="8"/>
  <c r="O210" i="8"/>
  <c r="L210" i="8"/>
  <c r="J210" i="8"/>
  <c r="I210" i="8"/>
  <c r="F210" i="8"/>
  <c r="S210" i="8" s="1"/>
  <c r="V209" i="8"/>
  <c r="O209" i="8"/>
  <c r="M209" i="8"/>
  <c r="F209" i="8"/>
  <c r="U208" i="8"/>
  <c r="S208" i="8"/>
  <c r="R208" i="8"/>
  <c r="O208" i="8"/>
  <c r="L208" i="8"/>
  <c r="I208" i="8"/>
  <c r="F208" i="8"/>
  <c r="P207" i="8"/>
  <c r="J207" i="8"/>
  <c r="F207" i="8"/>
  <c r="V206" i="8"/>
  <c r="U206" i="8"/>
  <c r="R206" i="8"/>
  <c r="P206" i="8"/>
  <c r="O206" i="8"/>
  <c r="L206" i="8"/>
  <c r="J206" i="8"/>
  <c r="I206" i="8"/>
  <c r="F206" i="8"/>
  <c r="M206" i="8" s="1"/>
  <c r="V205" i="8"/>
  <c r="U205" i="8"/>
  <c r="S205" i="8"/>
  <c r="P205" i="8"/>
  <c r="M205" i="8"/>
  <c r="J205" i="8"/>
  <c r="I205" i="8"/>
  <c r="F205" i="8"/>
  <c r="U204" i="8"/>
  <c r="R204" i="8"/>
  <c r="O204" i="8"/>
  <c r="M204" i="8"/>
  <c r="L204" i="8"/>
  <c r="I204" i="8"/>
  <c r="F204" i="8"/>
  <c r="V204" i="8" s="1"/>
  <c r="S203" i="8"/>
  <c r="P203" i="8"/>
  <c r="F203" i="8"/>
  <c r="V202" i="8"/>
  <c r="U202" i="8"/>
  <c r="R202" i="8"/>
  <c r="P202" i="8"/>
  <c r="O202" i="8"/>
  <c r="L202" i="8"/>
  <c r="J202" i="8"/>
  <c r="I202" i="8"/>
  <c r="F202" i="8"/>
  <c r="S202" i="8" s="1"/>
  <c r="F201" i="8"/>
  <c r="U200" i="8"/>
  <c r="R200" i="8"/>
  <c r="L200" i="8"/>
  <c r="F200" i="8"/>
  <c r="V199" i="8"/>
  <c r="U199" i="8"/>
  <c r="S199" i="8"/>
  <c r="R199" i="8"/>
  <c r="P199" i="8"/>
  <c r="O199" i="8"/>
  <c r="M199" i="8"/>
  <c r="L199" i="8"/>
  <c r="J199" i="8"/>
  <c r="I199" i="8"/>
  <c r="S198" i="8"/>
  <c r="O198" i="8"/>
  <c r="F198" i="8"/>
  <c r="U197" i="8"/>
  <c r="R197" i="8"/>
  <c r="L197" i="8"/>
  <c r="F197" i="8"/>
  <c r="V196" i="8"/>
  <c r="S196" i="8"/>
  <c r="M196" i="8"/>
  <c r="J196" i="8"/>
  <c r="F196" i="8"/>
  <c r="V195" i="8"/>
  <c r="U195" i="8"/>
  <c r="R195" i="8"/>
  <c r="P195" i="8"/>
  <c r="O195" i="8"/>
  <c r="L195" i="8"/>
  <c r="J195" i="8"/>
  <c r="I195" i="8"/>
  <c r="F195" i="8"/>
  <c r="M195" i="8" s="1"/>
  <c r="V194" i="8"/>
  <c r="U194" i="8"/>
  <c r="P194" i="8"/>
  <c r="J194" i="8"/>
  <c r="F194" i="8"/>
  <c r="U193" i="8"/>
  <c r="R193" i="8"/>
  <c r="O193" i="8"/>
  <c r="M193" i="8"/>
  <c r="L193" i="8"/>
  <c r="I193" i="8"/>
  <c r="F193" i="8"/>
  <c r="V193" i="8" s="1"/>
  <c r="S192" i="8"/>
  <c r="F192" i="8"/>
  <c r="V191" i="8"/>
  <c r="U191" i="8"/>
  <c r="R191" i="8"/>
  <c r="P191" i="8"/>
  <c r="O191" i="8"/>
  <c r="L191" i="8"/>
  <c r="J191" i="8"/>
  <c r="I191" i="8"/>
  <c r="F191" i="8"/>
  <c r="S191" i="8" s="1"/>
  <c r="F190" i="8"/>
  <c r="U189" i="8"/>
  <c r="S189" i="8"/>
  <c r="R189" i="8"/>
  <c r="O189" i="8"/>
  <c r="I189" i="8"/>
  <c r="F189" i="8"/>
  <c r="V188" i="8"/>
  <c r="S188" i="8"/>
  <c r="R188" i="8"/>
  <c r="P188" i="8"/>
  <c r="M188" i="8"/>
  <c r="J188" i="8"/>
  <c r="F188" i="8"/>
  <c r="F187" i="8"/>
  <c r="S186" i="8"/>
  <c r="P186" i="8"/>
  <c r="M186" i="8"/>
  <c r="J186" i="8"/>
  <c r="F186" i="8"/>
  <c r="R186" i="8" s="1"/>
  <c r="V185" i="8"/>
  <c r="U185" i="8"/>
  <c r="R185" i="8"/>
  <c r="O185" i="8"/>
  <c r="M185" i="8"/>
  <c r="L185" i="8"/>
  <c r="J185" i="8"/>
  <c r="I185" i="8"/>
  <c r="F185" i="8"/>
  <c r="S185" i="8" s="1"/>
  <c r="V184" i="8"/>
  <c r="S184" i="8"/>
  <c r="O184" i="8"/>
  <c r="M184" i="8"/>
  <c r="J184" i="8"/>
  <c r="F184" i="8"/>
  <c r="F183" i="8"/>
  <c r="V182" i="8"/>
  <c r="S182" i="8"/>
  <c r="L182" i="8"/>
  <c r="J182" i="8"/>
  <c r="F182" i="8"/>
  <c r="U181" i="8"/>
  <c r="R181" i="8"/>
  <c r="P181" i="8"/>
  <c r="O181" i="8"/>
  <c r="L181" i="8"/>
  <c r="I181" i="8"/>
  <c r="F181" i="8"/>
  <c r="M181" i="8" s="1"/>
  <c r="U180" i="8"/>
  <c r="S180" i="8"/>
  <c r="P180" i="8"/>
  <c r="M180" i="8"/>
  <c r="I180" i="8"/>
  <c r="F180" i="8"/>
  <c r="U179" i="8"/>
  <c r="R179" i="8"/>
  <c r="P179" i="8"/>
  <c r="O179" i="8"/>
  <c r="M179" i="8"/>
  <c r="L179" i="8"/>
  <c r="I179" i="8"/>
  <c r="F179" i="8"/>
  <c r="V179" i="8" s="1"/>
  <c r="V178" i="8"/>
  <c r="R178" i="8"/>
  <c r="P178" i="8"/>
  <c r="M178" i="8"/>
  <c r="J178" i="8"/>
  <c r="F178" i="8"/>
  <c r="O178" i="8" s="1"/>
  <c r="V177" i="8"/>
  <c r="U177" i="8"/>
  <c r="R177" i="8"/>
  <c r="O177" i="8"/>
  <c r="M177" i="8"/>
  <c r="L177" i="8"/>
  <c r="J177" i="8"/>
  <c r="I177" i="8"/>
  <c r="F177" i="8"/>
  <c r="S177" i="8" s="1"/>
  <c r="J176" i="8"/>
  <c r="F176" i="8"/>
  <c r="F175" i="8"/>
  <c r="V174" i="8"/>
  <c r="S174" i="8"/>
  <c r="P174" i="8"/>
  <c r="L174" i="8"/>
  <c r="J174" i="8"/>
  <c r="F174" i="8"/>
  <c r="U173" i="8"/>
  <c r="R173" i="8"/>
  <c r="P173" i="8"/>
  <c r="O173" i="8"/>
  <c r="L173" i="8"/>
  <c r="I173" i="8"/>
  <c r="F173" i="8"/>
  <c r="M173" i="8" s="1"/>
  <c r="P172" i="8"/>
  <c r="F172" i="8"/>
  <c r="U171" i="8"/>
  <c r="R171" i="8"/>
  <c r="P171" i="8"/>
  <c r="O171" i="8"/>
  <c r="M171" i="8"/>
  <c r="L171" i="8"/>
  <c r="I171" i="8"/>
  <c r="F171" i="8"/>
  <c r="V171" i="8" s="1"/>
  <c r="V170" i="8"/>
  <c r="R170" i="8"/>
  <c r="P170" i="8"/>
  <c r="M170" i="8"/>
  <c r="J170" i="8"/>
  <c r="F170" i="8"/>
  <c r="O170" i="8" s="1"/>
  <c r="V169" i="8"/>
  <c r="U169" i="8"/>
  <c r="R169" i="8"/>
  <c r="O169" i="8"/>
  <c r="M169" i="8"/>
  <c r="L169" i="8"/>
  <c r="J169" i="8"/>
  <c r="I169" i="8"/>
  <c r="F169" i="8"/>
  <c r="S169" i="8" s="1"/>
  <c r="F168" i="8"/>
  <c r="S167" i="8"/>
  <c r="R167" i="8"/>
  <c r="O167" i="8"/>
  <c r="F167" i="8"/>
  <c r="P166" i="8"/>
  <c r="F166" i="8"/>
  <c r="U165" i="8"/>
  <c r="R165" i="8"/>
  <c r="P165" i="8"/>
  <c r="O165" i="8"/>
  <c r="L165" i="8"/>
  <c r="I165" i="8"/>
  <c r="F165" i="8"/>
  <c r="M165" i="8" s="1"/>
  <c r="F164" i="8"/>
  <c r="U163" i="8"/>
  <c r="R163" i="8"/>
  <c r="P163" i="8"/>
  <c r="O163" i="8"/>
  <c r="M163" i="8"/>
  <c r="L163" i="8"/>
  <c r="I163" i="8"/>
  <c r="F163" i="8"/>
  <c r="V163" i="8" s="1"/>
  <c r="Q158" i="8"/>
  <c r="N158" i="8"/>
  <c r="K158" i="8"/>
  <c r="H158" i="8"/>
  <c r="E158" i="8"/>
  <c r="D158" i="8"/>
  <c r="T157" i="8"/>
  <c r="N157" i="8"/>
  <c r="K157" i="8"/>
  <c r="H157" i="8"/>
  <c r="E157" i="8"/>
  <c r="D157" i="8"/>
  <c r="T156" i="8"/>
  <c r="Q156" i="8"/>
  <c r="K156" i="8"/>
  <c r="H156" i="8"/>
  <c r="E156" i="8"/>
  <c r="D156" i="8"/>
  <c r="T155" i="8"/>
  <c r="Q155" i="8"/>
  <c r="N155" i="8"/>
  <c r="H155" i="8"/>
  <c r="E155" i="8"/>
  <c r="D155" i="8"/>
  <c r="T154" i="8"/>
  <c r="Q154" i="8"/>
  <c r="N154" i="8"/>
  <c r="K154" i="8"/>
  <c r="E154" i="8"/>
  <c r="D154" i="8"/>
  <c r="T152" i="8"/>
  <c r="Q152" i="8"/>
  <c r="N152" i="8"/>
  <c r="K152" i="8"/>
  <c r="H152" i="8"/>
  <c r="D152" i="8"/>
  <c r="T151" i="8"/>
  <c r="Q151" i="8"/>
  <c r="N151" i="8"/>
  <c r="K151" i="8"/>
  <c r="H151" i="8"/>
  <c r="E151" i="8"/>
  <c r="T149" i="8"/>
  <c r="Q149" i="8"/>
  <c r="N149" i="8"/>
  <c r="K149" i="8"/>
  <c r="H149" i="8"/>
  <c r="E149" i="8"/>
  <c r="D149" i="8"/>
  <c r="T148" i="8"/>
  <c r="Q148" i="8"/>
  <c r="N148" i="8"/>
  <c r="K148" i="8"/>
  <c r="H148" i="8"/>
  <c r="E148" i="8"/>
  <c r="D148" i="8"/>
  <c r="T147" i="8"/>
  <c r="Q147" i="8"/>
  <c r="N147" i="8"/>
  <c r="K147" i="8"/>
  <c r="H147" i="8"/>
  <c r="E147" i="8"/>
  <c r="D147" i="8"/>
  <c r="T146" i="8"/>
  <c r="Q146" i="8"/>
  <c r="N146" i="8"/>
  <c r="K146" i="8"/>
  <c r="H146" i="8"/>
  <c r="E146" i="8"/>
  <c r="D146" i="8"/>
  <c r="T145" i="8"/>
  <c r="Q145" i="8"/>
  <c r="N145" i="8"/>
  <c r="K145" i="8"/>
  <c r="H145" i="8"/>
  <c r="E145" i="8"/>
  <c r="D145" i="8"/>
  <c r="T144" i="8"/>
  <c r="Q144" i="8"/>
  <c r="N144" i="8"/>
  <c r="K144" i="8"/>
  <c r="H144" i="8"/>
  <c r="E144" i="8"/>
  <c r="D144" i="8"/>
  <c r="Q143" i="8"/>
  <c r="N143" i="8"/>
  <c r="K143" i="8"/>
  <c r="H143" i="8"/>
  <c r="E143" i="8"/>
  <c r="D143" i="8"/>
  <c r="T142" i="8"/>
  <c r="Q142" i="8"/>
  <c r="N142" i="8"/>
  <c r="K142" i="8"/>
  <c r="H142" i="8"/>
  <c r="E142" i="8"/>
  <c r="D142" i="8"/>
  <c r="T141" i="8"/>
  <c r="N141" i="8"/>
  <c r="K141" i="8"/>
  <c r="H141" i="8"/>
  <c r="E141" i="8"/>
  <c r="D141" i="8"/>
  <c r="T140" i="8"/>
  <c r="Q140" i="8"/>
  <c r="N140" i="8"/>
  <c r="K140" i="8"/>
  <c r="H140" i="8"/>
  <c r="E140" i="8"/>
  <c r="D140" i="8"/>
  <c r="V138" i="8"/>
  <c r="U138" i="8"/>
  <c r="S138" i="8"/>
  <c r="R138" i="8"/>
  <c r="P138" i="8"/>
  <c r="O138" i="8"/>
  <c r="M138" i="8"/>
  <c r="L138" i="8"/>
  <c r="J138" i="8"/>
  <c r="I138" i="8"/>
  <c r="S137" i="8"/>
  <c r="M137" i="8"/>
  <c r="J137" i="8"/>
  <c r="F137" i="8"/>
  <c r="V136" i="8"/>
  <c r="U136" i="8"/>
  <c r="L136" i="8"/>
  <c r="I136" i="8"/>
  <c r="F136" i="8"/>
  <c r="V135" i="8"/>
  <c r="S135" i="8"/>
  <c r="M135" i="8"/>
  <c r="J135" i="8"/>
  <c r="F135" i="8"/>
  <c r="U134" i="8"/>
  <c r="S134" i="8"/>
  <c r="O134" i="8"/>
  <c r="L134" i="8"/>
  <c r="I134" i="8"/>
  <c r="F134" i="8"/>
  <c r="V133" i="8"/>
  <c r="M133" i="8"/>
  <c r="L133" i="8"/>
  <c r="J133" i="8"/>
  <c r="F133" i="8"/>
  <c r="U132" i="8"/>
  <c r="R132" i="8"/>
  <c r="P132" i="8"/>
  <c r="O132" i="8"/>
  <c r="M132" i="8"/>
  <c r="L132" i="8"/>
  <c r="I132" i="8"/>
  <c r="F132" i="8"/>
  <c r="V132" i="8" s="1"/>
  <c r="F131" i="8"/>
  <c r="V130" i="8"/>
  <c r="U130" i="8"/>
  <c r="R130" i="8"/>
  <c r="P130" i="8"/>
  <c r="O130" i="8"/>
  <c r="M130" i="8"/>
  <c r="L130" i="8"/>
  <c r="J130" i="8"/>
  <c r="I130" i="8"/>
  <c r="F130" i="8"/>
  <c r="S130" i="8" s="1"/>
  <c r="V129" i="8"/>
  <c r="S129" i="8"/>
  <c r="R129" i="8"/>
  <c r="P129" i="8"/>
  <c r="O129" i="8"/>
  <c r="M129" i="8"/>
  <c r="J129" i="8"/>
  <c r="F129" i="8"/>
  <c r="F128" i="8"/>
  <c r="S127" i="8"/>
  <c r="M127" i="8"/>
  <c r="F127" i="8"/>
  <c r="F126" i="8"/>
  <c r="V125" i="8"/>
  <c r="U125" i="8"/>
  <c r="S125" i="8"/>
  <c r="P125" i="8"/>
  <c r="I125" i="8"/>
  <c r="F125" i="8"/>
  <c r="U124" i="8"/>
  <c r="R124" i="8"/>
  <c r="P124" i="8"/>
  <c r="O124" i="8"/>
  <c r="M124" i="8"/>
  <c r="L124" i="8"/>
  <c r="I124" i="8"/>
  <c r="F124" i="8"/>
  <c r="V124" i="8" s="1"/>
  <c r="V123" i="8"/>
  <c r="U123" i="8"/>
  <c r="S123" i="8"/>
  <c r="J123" i="8"/>
  <c r="F123" i="8"/>
  <c r="V122" i="8"/>
  <c r="U122" i="8"/>
  <c r="R122" i="8"/>
  <c r="P122" i="8"/>
  <c r="O122" i="8"/>
  <c r="M122" i="8"/>
  <c r="L122" i="8"/>
  <c r="J122" i="8"/>
  <c r="I122" i="8"/>
  <c r="F122" i="8"/>
  <c r="S122" i="8" s="1"/>
  <c r="V121" i="8"/>
  <c r="P121" i="8"/>
  <c r="O121" i="8"/>
  <c r="F121" i="8"/>
  <c r="V120" i="8"/>
  <c r="R120" i="8"/>
  <c r="O120" i="8"/>
  <c r="L120" i="8"/>
  <c r="J120" i="8"/>
  <c r="I120" i="8"/>
  <c r="F120" i="8"/>
  <c r="F119" i="8"/>
  <c r="R118" i="8"/>
  <c r="O118" i="8"/>
  <c r="F118" i="8"/>
  <c r="S117" i="8"/>
  <c r="P117" i="8"/>
  <c r="M117" i="8"/>
  <c r="L117" i="8"/>
  <c r="J117" i="8"/>
  <c r="I117" i="8"/>
  <c r="F117" i="8"/>
  <c r="U117" i="8" s="1"/>
  <c r="U116" i="8"/>
  <c r="R116" i="8"/>
  <c r="P116" i="8"/>
  <c r="O116" i="8"/>
  <c r="M116" i="8"/>
  <c r="L116" i="8"/>
  <c r="I116" i="8"/>
  <c r="F116" i="8"/>
  <c r="V116" i="8" s="1"/>
  <c r="U115" i="8"/>
  <c r="S115" i="8"/>
  <c r="R115" i="8"/>
  <c r="P115" i="8"/>
  <c r="M115" i="8"/>
  <c r="J115" i="8"/>
  <c r="I115" i="8"/>
  <c r="F115" i="8"/>
  <c r="V114" i="8"/>
  <c r="U114" i="8"/>
  <c r="R114" i="8"/>
  <c r="P114" i="8"/>
  <c r="O114" i="8"/>
  <c r="M114" i="8"/>
  <c r="L114" i="8"/>
  <c r="J114" i="8"/>
  <c r="I114" i="8"/>
  <c r="F114" i="8"/>
  <c r="S114" i="8" s="1"/>
  <c r="F113" i="8"/>
  <c r="V112" i="8"/>
  <c r="U112" i="8"/>
  <c r="S112" i="8"/>
  <c r="R112" i="8"/>
  <c r="I112" i="8"/>
  <c r="F112" i="8"/>
  <c r="V111" i="8"/>
  <c r="S111" i="8"/>
  <c r="P111" i="8"/>
  <c r="L111" i="8"/>
  <c r="J111" i="8"/>
  <c r="F111" i="8"/>
  <c r="I110" i="8"/>
  <c r="F110" i="8"/>
  <c r="F109" i="8"/>
  <c r="U108" i="8"/>
  <c r="R108" i="8"/>
  <c r="P108" i="8"/>
  <c r="O108" i="8"/>
  <c r="M108" i="8"/>
  <c r="L108" i="8"/>
  <c r="I108" i="8"/>
  <c r="F108" i="8"/>
  <c r="V108" i="8" s="1"/>
  <c r="V107" i="8"/>
  <c r="U107" i="8"/>
  <c r="M107" i="8"/>
  <c r="F107" i="8"/>
  <c r="V106" i="8"/>
  <c r="U106" i="8"/>
  <c r="R106" i="8"/>
  <c r="P106" i="8"/>
  <c r="O106" i="8"/>
  <c r="M106" i="8"/>
  <c r="L106" i="8"/>
  <c r="J106" i="8"/>
  <c r="I106" i="8"/>
  <c r="F106" i="8"/>
  <c r="S106" i="8" s="1"/>
  <c r="S105" i="8"/>
  <c r="R105" i="8"/>
  <c r="P105" i="8"/>
  <c r="O105" i="8"/>
  <c r="M105" i="8"/>
  <c r="J105" i="8"/>
  <c r="F105" i="8"/>
  <c r="V105" i="8" s="1"/>
  <c r="U104" i="8"/>
  <c r="S104" i="8"/>
  <c r="R104" i="8"/>
  <c r="O104" i="8"/>
  <c r="L104" i="8"/>
  <c r="J104" i="8"/>
  <c r="I104" i="8"/>
  <c r="F104" i="8"/>
  <c r="V103" i="8"/>
  <c r="S103" i="8"/>
  <c r="P103" i="8"/>
  <c r="O103" i="8"/>
  <c r="M103" i="8"/>
  <c r="L103" i="8"/>
  <c r="J103" i="8"/>
  <c r="F103" i="8"/>
  <c r="U102" i="8"/>
  <c r="S102" i="8"/>
  <c r="R102" i="8"/>
  <c r="P102" i="8"/>
  <c r="O102" i="8"/>
  <c r="L102" i="8"/>
  <c r="I102" i="8"/>
  <c r="F102" i="8"/>
  <c r="L101" i="8"/>
  <c r="F101" i="8"/>
  <c r="U100" i="8"/>
  <c r="R100" i="8"/>
  <c r="P100" i="8"/>
  <c r="O100" i="8"/>
  <c r="M100" i="8"/>
  <c r="L100" i="8"/>
  <c r="I100" i="8"/>
  <c r="F100" i="8"/>
  <c r="V100" i="8" s="1"/>
  <c r="F99" i="8"/>
  <c r="V98" i="8"/>
  <c r="U98" i="8"/>
  <c r="R98" i="8"/>
  <c r="P98" i="8"/>
  <c r="O98" i="8"/>
  <c r="M98" i="8"/>
  <c r="L98" i="8"/>
  <c r="J98" i="8"/>
  <c r="I98" i="8"/>
  <c r="F98" i="8"/>
  <c r="S98" i="8" s="1"/>
  <c r="V97" i="8"/>
  <c r="M97" i="8"/>
  <c r="F97" i="8"/>
  <c r="V96" i="8"/>
  <c r="U96" i="8"/>
  <c r="O96" i="8"/>
  <c r="L96" i="8"/>
  <c r="I96" i="8"/>
  <c r="F96" i="8"/>
  <c r="V95" i="8"/>
  <c r="O95" i="8"/>
  <c r="M95" i="8"/>
  <c r="L95" i="8"/>
  <c r="J95" i="8"/>
  <c r="F95" i="8"/>
  <c r="U94" i="8"/>
  <c r="O94" i="8"/>
  <c r="L94" i="8"/>
  <c r="I94" i="8"/>
  <c r="F94" i="8"/>
  <c r="V93" i="8"/>
  <c r="M93" i="8"/>
  <c r="J93" i="8"/>
  <c r="I93" i="8"/>
  <c r="F93" i="8"/>
  <c r="U92" i="8"/>
  <c r="R92" i="8"/>
  <c r="P92" i="8"/>
  <c r="O92" i="8"/>
  <c r="M92" i="8"/>
  <c r="L92" i="8"/>
  <c r="I92" i="8"/>
  <c r="F92" i="8"/>
  <c r="V92" i="8" s="1"/>
  <c r="S91" i="8"/>
  <c r="R91" i="8"/>
  <c r="P91" i="8"/>
  <c r="M91" i="8"/>
  <c r="J91" i="8"/>
  <c r="I91" i="8"/>
  <c r="F91" i="8"/>
  <c r="U91" i="8" s="1"/>
  <c r="V90" i="8"/>
  <c r="U90" i="8"/>
  <c r="R90" i="8"/>
  <c r="P90" i="8"/>
  <c r="O90" i="8"/>
  <c r="M90" i="8"/>
  <c r="L90" i="8"/>
  <c r="J90" i="8"/>
  <c r="I90" i="8"/>
  <c r="F90" i="8"/>
  <c r="S90" i="8" s="1"/>
  <c r="F89" i="8"/>
  <c r="V88" i="8"/>
  <c r="U88" i="8"/>
  <c r="O88" i="8"/>
  <c r="F88" i="8"/>
  <c r="F87" i="8"/>
  <c r="F86" i="8"/>
  <c r="U85" i="8"/>
  <c r="P85" i="8"/>
  <c r="J85" i="8"/>
  <c r="F85" i="8"/>
  <c r="U84" i="8"/>
  <c r="R84" i="8"/>
  <c r="P84" i="8"/>
  <c r="O84" i="8"/>
  <c r="M84" i="8"/>
  <c r="L84" i="8"/>
  <c r="I84" i="8"/>
  <c r="F84" i="8"/>
  <c r="V84" i="8" s="1"/>
  <c r="F83" i="8"/>
  <c r="V82" i="8"/>
  <c r="U82" i="8"/>
  <c r="R82" i="8"/>
  <c r="P82" i="8"/>
  <c r="O82" i="8"/>
  <c r="M82" i="8"/>
  <c r="L82" i="8"/>
  <c r="J82" i="8"/>
  <c r="I82" i="8"/>
  <c r="F82" i="8"/>
  <c r="S82" i="8" s="1"/>
  <c r="F81" i="8"/>
  <c r="S80" i="8"/>
  <c r="R80" i="8"/>
  <c r="O80" i="8"/>
  <c r="L80" i="8"/>
  <c r="J80" i="8"/>
  <c r="I80" i="8"/>
  <c r="F80" i="8"/>
  <c r="U80" i="8" s="1"/>
  <c r="S79" i="8"/>
  <c r="R79" i="8"/>
  <c r="P79" i="8"/>
  <c r="O79" i="8"/>
  <c r="M79" i="8"/>
  <c r="L79" i="8"/>
  <c r="J79" i="8"/>
  <c r="F79" i="8"/>
  <c r="V78" i="8"/>
  <c r="U78" i="8"/>
  <c r="S78" i="8"/>
  <c r="P78" i="8"/>
  <c r="F78" i="8"/>
  <c r="I77" i="8"/>
  <c r="F77" i="8"/>
  <c r="F76" i="8"/>
  <c r="V75" i="8"/>
  <c r="R75" i="8"/>
  <c r="P75" i="8"/>
  <c r="M75" i="8"/>
  <c r="L75" i="8"/>
  <c r="J75" i="8"/>
  <c r="I75" i="8"/>
  <c r="F75" i="8"/>
  <c r="O75" i="8" s="1"/>
  <c r="V74" i="8"/>
  <c r="U74" i="8"/>
  <c r="R74" i="8"/>
  <c r="P74" i="8"/>
  <c r="O74" i="8"/>
  <c r="M74" i="8"/>
  <c r="L74" i="8"/>
  <c r="J74" i="8"/>
  <c r="I74" i="8"/>
  <c r="F74" i="8"/>
  <c r="S74" i="8" s="1"/>
  <c r="V73" i="8"/>
  <c r="F73" i="8"/>
  <c r="V72" i="8"/>
  <c r="U72" i="8"/>
  <c r="M72" i="8"/>
  <c r="I72" i="8"/>
  <c r="F72" i="8"/>
  <c r="F71" i="8"/>
  <c r="V70" i="8"/>
  <c r="S70" i="8"/>
  <c r="R70" i="8"/>
  <c r="P70" i="8"/>
  <c r="O70" i="8"/>
  <c r="L70" i="8"/>
  <c r="J70" i="8"/>
  <c r="I70" i="8"/>
  <c r="F70" i="8"/>
  <c r="M70" i="8" s="1"/>
  <c r="F69" i="8"/>
  <c r="U68" i="8"/>
  <c r="S68" i="8"/>
  <c r="P68" i="8"/>
  <c r="I68" i="8"/>
  <c r="F68" i="8"/>
  <c r="V67" i="8"/>
  <c r="U67" i="8"/>
  <c r="S67" i="8"/>
  <c r="L67" i="8"/>
  <c r="F67" i="8"/>
  <c r="V66" i="8"/>
  <c r="U66" i="8"/>
  <c r="R66" i="8"/>
  <c r="P66" i="8"/>
  <c r="O66" i="8"/>
  <c r="M66" i="8"/>
  <c r="L66" i="8"/>
  <c r="J66" i="8"/>
  <c r="I66" i="8"/>
  <c r="F66" i="8"/>
  <c r="S66" i="8" s="1"/>
  <c r="U65" i="8"/>
  <c r="R65" i="8"/>
  <c r="O65" i="8"/>
  <c r="M65" i="8"/>
  <c r="F65" i="8"/>
  <c r="F64" i="8"/>
  <c r="V63" i="8"/>
  <c r="S63" i="8"/>
  <c r="M63" i="8"/>
  <c r="J63" i="8"/>
  <c r="F63" i="8"/>
  <c r="V62" i="8"/>
  <c r="U62" i="8"/>
  <c r="P62" i="8"/>
  <c r="L62" i="8"/>
  <c r="F62" i="8"/>
  <c r="V61" i="8"/>
  <c r="S61" i="8"/>
  <c r="P61" i="8"/>
  <c r="O61" i="8"/>
  <c r="M61" i="8"/>
  <c r="L61" i="8"/>
  <c r="J61" i="8"/>
  <c r="I61" i="8"/>
  <c r="F61" i="8"/>
  <c r="R61" i="8" s="1"/>
  <c r="M60" i="8"/>
  <c r="F60" i="8"/>
  <c r="F59" i="8"/>
  <c r="V58" i="8"/>
  <c r="U58" i="8"/>
  <c r="R58" i="8"/>
  <c r="P58" i="8"/>
  <c r="O58" i="8"/>
  <c r="M58" i="8"/>
  <c r="L58" i="8"/>
  <c r="J58" i="8"/>
  <c r="I58" i="8"/>
  <c r="F58" i="8"/>
  <c r="S58" i="8" s="1"/>
  <c r="V57" i="8"/>
  <c r="R57" i="8"/>
  <c r="P57" i="8"/>
  <c r="O57" i="8"/>
  <c r="M57" i="8"/>
  <c r="J57" i="8"/>
  <c r="I57" i="8"/>
  <c r="F57" i="8"/>
  <c r="L57" i="8" s="1"/>
  <c r="F56" i="8"/>
  <c r="V55" i="8"/>
  <c r="S55" i="8"/>
  <c r="F55" i="8"/>
  <c r="V54" i="8"/>
  <c r="U54" i="8"/>
  <c r="R54" i="8"/>
  <c r="P54" i="8"/>
  <c r="O54" i="8"/>
  <c r="M54" i="8"/>
  <c r="L54" i="8"/>
  <c r="J54" i="8"/>
  <c r="I54" i="8"/>
  <c r="F54" i="8"/>
  <c r="S54" i="8" s="1"/>
  <c r="U53" i="8"/>
  <c r="S53" i="8"/>
  <c r="R53" i="8"/>
  <c r="P53" i="8"/>
  <c r="O53" i="8"/>
  <c r="I53" i="8"/>
  <c r="F53" i="8"/>
  <c r="V52" i="8"/>
  <c r="U52" i="8"/>
  <c r="F52" i="8"/>
  <c r="S51" i="8"/>
  <c r="R51" i="8"/>
  <c r="P51" i="8"/>
  <c r="O51" i="8"/>
  <c r="L51" i="8"/>
  <c r="F51" i="8"/>
  <c r="U50" i="8"/>
  <c r="S50" i="8"/>
  <c r="R50" i="8"/>
  <c r="P50" i="8"/>
  <c r="F50" i="8"/>
  <c r="V50" i="8" s="1"/>
  <c r="V49" i="8"/>
  <c r="U49" i="8"/>
  <c r="P49" i="8"/>
  <c r="O49" i="8"/>
  <c r="M49" i="8"/>
  <c r="L49" i="8"/>
  <c r="J49" i="8"/>
  <c r="I49" i="8"/>
  <c r="F49" i="8"/>
  <c r="S49" i="8" s="1"/>
  <c r="S48" i="8"/>
  <c r="R48" i="8"/>
  <c r="O48" i="8"/>
  <c r="M48" i="8"/>
  <c r="F48" i="8"/>
  <c r="U48" i="8" s="1"/>
  <c r="S47" i="8"/>
  <c r="M47" i="8"/>
  <c r="L47" i="8"/>
  <c r="J47" i="8"/>
  <c r="F47" i="8"/>
  <c r="V47" i="8" s="1"/>
  <c r="V46" i="8"/>
  <c r="U46" i="8"/>
  <c r="S46" i="8"/>
  <c r="R46" i="8"/>
  <c r="P46" i="8"/>
  <c r="O46" i="8"/>
  <c r="M46" i="8"/>
  <c r="L46" i="8"/>
  <c r="J46" i="8"/>
  <c r="I46" i="8"/>
  <c r="S45" i="8"/>
  <c r="R45" i="8"/>
  <c r="P45" i="8"/>
  <c r="O45" i="8"/>
  <c r="I45" i="8"/>
  <c r="F45" i="8"/>
  <c r="U44" i="8"/>
  <c r="S44" i="8"/>
  <c r="R44" i="8"/>
  <c r="M44" i="8"/>
  <c r="L44" i="8"/>
  <c r="J44" i="8"/>
  <c r="I44" i="8"/>
  <c r="F44" i="8"/>
  <c r="V43" i="8"/>
  <c r="U43" i="8"/>
  <c r="R43" i="8"/>
  <c r="P43" i="8"/>
  <c r="O43" i="8"/>
  <c r="M43" i="8"/>
  <c r="L43" i="8"/>
  <c r="J43" i="8"/>
  <c r="I43" i="8"/>
  <c r="F43" i="8"/>
  <c r="S43" i="8" s="1"/>
  <c r="V42" i="8"/>
  <c r="U42" i="8"/>
  <c r="S42" i="8"/>
  <c r="F42" i="8"/>
  <c r="V41" i="8"/>
  <c r="U41" i="8"/>
  <c r="S41" i="8"/>
  <c r="F41" i="8"/>
  <c r="S40" i="8"/>
  <c r="R40" i="8"/>
  <c r="P40" i="8"/>
  <c r="L40" i="8"/>
  <c r="F40" i="8"/>
  <c r="U39" i="8"/>
  <c r="S39" i="8"/>
  <c r="R39" i="8"/>
  <c r="O39" i="8"/>
  <c r="L39" i="8"/>
  <c r="J39" i="8"/>
  <c r="I39" i="8"/>
  <c r="F39" i="8"/>
  <c r="U38" i="8"/>
  <c r="P38" i="8"/>
  <c r="O38" i="8"/>
  <c r="F38" i="8"/>
  <c r="S37" i="8"/>
  <c r="R37" i="8"/>
  <c r="P37" i="8"/>
  <c r="O37" i="8"/>
  <c r="M37" i="8"/>
  <c r="L37" i="8"/>
  <c r="I37" i="8"/>
  <c r="F37" i="8"/>
  <c r="U36" i="8"/>
  <c r="S36" i="8"/>
  <c r="F36" i="8"/>
  <c r="V35" i="8"/>
  <c r="U35" i="8"/>
  <c r="R35" i="8"/>
  <c r="P35" i="8"/>
  <c r="O35" i="8"/>
  <c r="M35" i="8"/>
  <c r="L35" i="8"/>
  <c r="J35" i="8"/>
  <c r="I35" i="8"/>
  <c r="F35" i="8"/>
  <c r="S35" i="8" s="1"/>
  <c r="U34" i="8"/>
  <c r="S34" i="8"/>
  <c r="O34" i="8"/>
  <c r="M34" i="8"/>
  <c r="J34" i="8"/>
  <c r="I34" i="8"/>
  <c r="F34" i="8"/>
  <c r="P34" i="8" s="1"/>
  <c r="V33" i="8"/>
  <c r="S33" i="8"/>
  <c r="R33" i="8"/>
  <c r="O33" i="8"/>
  <c r="M33" i="8"/>
  <c r="L33" i="8"/>
  <c r="J33" i="8"/>
  <c r="I33" i="8"/>
  <c r="F33" i="8"/>
  <c r="P33" i="8" s="1"/>
  <c r="R32" i="8"/>
  <c r="P32" i="8"/>
  <c r="O32" i="8"/>
  <c r="M32" i="8"/>
  <c r="F32" i="8"/>
  <c r="V32" i="8" s="1"/>
  <c r="S31" i="8"/>
  <c r="R31" i="8"/>
  <c r="P31" i="8"/>
  <c r="O31" i="8"/>
  <c r="I31" i="8"/>
  <c r="F31" i="8"/>
  <c r="U31" i="8" s="1"/>
  <c r="U30" i="8"/>
  <c r="S30" i="8"/>
  <c r="P30" i="8"/>
  <c r="M30" i="8"/>
  <c r="L30" i="8"/>
  <c r="J30" i="8"/>
  <c r="I30" i="8"/>
  <c r="F30" i="8"/>
  <c r="U29" i="8"/>
  <c r="S29" i="8"/>
  <c r="P29" i="8"/>
  <c r="O29" i="8"/>
  <c r="M29" i="8"/>
  <c r="L29" i="8"/>
  <c r="I29" i="8"/>
  <c r="F29" i="8"/>
  <c r="V28" i="8"/>
  <c r="S28" i="8"/>
  <c r="R28" i="8"/>
  <c r="P28" i="8"/>
  <c r="M28" i="8"/>
  <c r="L28" i="8"/>
  <c r="J28" i="8"/>
  <c r="I28" i="8"/>
  <c r="F28" i="8"/>
  <c r="O28" i="8" s="1"/>
  <c r="V27" i="8"/>
  <c r="U27" i="8"/>
  <c r="R27" i="8"/>
  <c r="P27" i="8"/>
  <c r="O27" i="8"/>
  <c r="M27" i="8"/>
  <c r="L27" i="8"/>
  <c r="J27" i="8"/>
  <c r="I27" i="8"/>
  <c r="F27" i="8"/>
  <c r="S27" i="8" s="1"/>
  <c r="F26" i="8"/>
  <c r="U25" i="8"/>
  <c r="S25" i="8"/>
  <c r="M25" i="8"/>
  <c r="L25" i="8"/>
  <c r="J25" i="8"/>
  <c r="I25" i="8"/>
  <c r="F25" i="8"/>
  <c r="O25" i="8" s="1"/>
  <c r="V24" i="8"/>
  <c r="R24" i="8"/>
  <c r="O24" i="8"/>
  <c r="M24" i="8"/>
  <c r="L24" i="8"/>
  <c r="J24" i="8"/>
  <c r="F24" i="8"/>
  <c r="P24" i="8" s="1"/>
  <c r="U23" i="8"/>
  <c r="S23" i="8"/>
  <c r="P23" i="8"/>
  <c r="O23" i="8"/>
  <c r="L23" i="8"/>
  <c r="J23" i="8"/>
  <c r="F23" i="8"/>
  <c r="R23" i="8" s="1"/>
  <c r="P22" i="8"/>
  <c r="O22" i="8"/>
  <c r="M22" i="8"/>
  <c r="J22" i="8"/>
  <c r="F22" i="8"/>
  <c r="U22" i="8" s="1"/>
  <c r="R21" i="8"/>
  <c r="P21" i="8"/>
  <c r="M21" i="8"/>
  <c r="L21" i="8"/>
  <c r="F21" i="8"/>
  <c r="U21" i="8" s="1"/>
  <c r="S20" i="8"/>
  <c r="P20" i="8"/>
  <c r="M20" i="8"/>
  <c r="L20" i="8"/>
  <c r="I20" i="8"/>
  <c r="F20" i="8"/>
  <c r="U20" i="8" s="1"/>
  <c r="V19" i="8"/>
  <c r="U19" i="8"/>
  <c r="R19" i="8"/>
  <c r="P19" i="8"/>
  <c r="O19" i="8"/>
  <c r="M19" i="8"/>
  <c r="L19" i="8"/>
  <c r="J19" i="8"/>
  <c r="I19" i="8"/>
  <c r="F19" i="8"/>
  <c r="S19" i="8" s="1"/>
  <c r="U18" i="8"/>
  <c r="S18" i="8"/>
  <c r="F18" i="8"/>
  <c r="V17" i="8"/>
  <c r="F17" i="8"/>
  <c r="V16" i="8"/>
  <c r="F16" i="8"/>
  <c r="F15" i="8"/>
  <c r="O14" i="8"/>
  <c r="M14" i="8"/>
  <c r="L14" i="8"/>
  <c r="J14" i="8"/>
  <c r="F14" i="8"/>
  <c r="R14" i="8" s="1"/>
  <c r="R13" i="8"/>
  <c r="P13" i="8"/>
  <c r="O13" i="8"/>
  <c r="M13" i="8"/>
  <c r="I13" i="8"/>
  <c r="F13" i="8"/>
  <c r="S13" i="8" s="1"/>
  <c r="S12" i="8"/>
  <c r="R12" i="8"/>
  <c r="P12" i="8"/>
  <c r="F12" i="8"/>
  <c r="O12" i="8" s="1"/>
  <c r="V11" i="8"/>
  <c r="U11" i="8"/>
  <c r="R11" i="8"/>
  <c r="P11" i="8"/>
  <c r="O11" i="8"/>
  <c r="M11" i="8"/>
  <c r="L11" i="8"/>
  <c r="J11" i="8"/>
  <c r="I11" i="8"/>
  <c r="F11" i="8"/>
  <c r="S11" i="8" s="1"/>
  <c r="V10" i="8"/>
  <c r="S10" i="8"/>
  <c r="R10" i="8"/>
  <c r="O10" i="8"/>
  <c r="M10" i="8"/>
  <c r="J10" i="8"/>
  <c r="I10" i="8"/>
  <c r="F10" i="8"/>
  <c r="P10" i="8" s="1"/>
  <c r="H430" i="7"/>
  <c r="H429" i="7"/>
  <c r="F429" i="7"/>
  <c r="H428" i="7"/>
  <c r="F428" i="7"/>
  <c r="H427" i="7"/>
  <c r="F427" i="7"/>
  <c r="H426" i="7"/>
  <c r="F426" i="7"/>
  <c r="H425" i="7"/>
  <c r="F425" i="7"/>
  <c r="H424" i="7"/>
  <c r="F424" i="7"/>
  <c r="H423" i="7"/>
  <c r="F423" i="7"/>
  <c r="H422" i="7"/>
  <c r="F422" i="7"/>
  <c r="H421" i="7"/>
  <c r="F421" i="7"/>
  <c r="H420" i="7"/>
  <c r="F420" i="7"/>
  <c r="H419" i="7"/>
  <c r="F419" i="7"/>
  <c r="H418" i="7"/>
  <c r="F418" i="7"/>
  <c r="H417" i="7"/>
  <c r="F417" i="7"/>
  <c r="H416" i="7"/>
  <c r="F416" i="7"/>
  <c r="H415" i="7"/>
  <c r="F415" i="7"/>
  <c r="H414" i="7"/>
  <c r="F414" i="7"/>
  <c r="H413" i="7"/>
  <c r="F413" i="7"/>
  <c r="H412" i="7"/>
  <c r="F412" i="7"/>
  <c r="H411" i="7"/>
  <c r="F411" i="7"/>
  <c r="H410" i="7"/>
  <c r="F410" i="7"/>
  <c r="H409" i="7"/>
  <c r="F409" i="7"/>
  <c r="H408" i="7"/>
  <c r="F408" i="7"/>
  <c r="H407" i="7"/>
  <c r="F407" i="7"/>
  <c r="H406" i="7"/>
  <c r="F406" i="7"/>
  <c r="H405" i="7"/>
  <c r="F405" i="7"/>
  <c r="H404" i="7"/>
  <c r="F404" i="7"/>
  <c r="H403" i="7"/>
  <c r="F403" i="7"/>
  <c r="H402" i="7"/>
  <c r="F402" i="7"/>
  <c r="H401" i="7"/>
  <c r="F401" i="7"/>
  <c r="H400" i="7"/>
  <c r="F400" i="7"/>
  <c r="H399" i="7"/>
  <c r="F399" i="7"/>
  <c r="H398" i="7"/>
  <c r="F398" i="7"/>
  <c r="H397" i="7"/>
  <c r="F397" i="7"/>
  <c r="H396" i="7"/>
  <c r="F396" i="7"/>
  <c r="H395" i="7"/>
  <c r="F395" i="7"/>
  <c r="H394" i="7"/>
  <c r="F394" i="7"/>
  <c r="H393" i="7"/>
  <c r="F393" i="7"/>
  <c r="H392" i="7"/>
  <c r="F392" i="7"/>
  <c r="H391" i="7"/>
  <c r="F391" i="7"/>
  <c r="H390" i="7"/>
  <c r="F390" i="7"/>
  <c r="H389" i="7"/>
  <c r="F389" i="7"/>
  <c r="H388" i="7"/>
  <c r="F388" i="7"/>
  <c r="H387" i="7"/>
  <c r="F387" i="7"/>
  <c r="H386" i="7"/>
  <c r="F386" i="7"/>
  <c r="H385" i="7"/>
  <c r="F385" i="7"/>
  <c r="H384" i="7"/>
  <c r="F384" i="7"/>
  <c r="H383" i="7"/>
  <c r="F383" i="7"/>
  <c r="H382" i="7"/>
  <c r="F382" i="7"/>
  <c r="H381" i="7"/>
  <c r="F381" i="7"/>
  <c r="H380" i="7"/>
  <c r="F380" i="7"/>
  <c r="H379" i="7"/>
  <c r="F379" i="7"/>
  <c r="H378" i="7"/>
  <c r="F378" i="7"/>
  <c r="H377" i="7"/>
  <c r="F377" i="7"/>
  <c r="H376" i="7"/>
  <c r="F376" i="7"/>
  <c r="H375" i="7"/>
  <c r="F375" i="7"/>
  <c r="H374" i="7"/>
  <c r="F374" i="7"/>
  <c r="H373" i="7"/>
  <c r="F373" i="7"/>
  <c r="H372" i="7"/>
  <c r="F372" i="7"/>
  <c r="H371" i="7"/>
  <c r="F371" i="7"/>
  <c r="H370" i="7"/>
  <c r="F370" i="7"/>
  <c r="H369" i="7"/>
  <c r="F369" i="7"/>
  <c r="H368" i="7"/>
  <c r="F368" i="7"/>
  <c r="H367" i="7"/>
  <c r="F367" i="7"/>
  <c r="H366" i="7"/>
  <c r="F366" i="7"/>
  <c r="H365" i="7"/>
  <c r="F365" i="7"/>
  <c r="H364" i="7"/>
  <c r="F364" i="7"/>
  <c r="H363" i="7"/>
  <c r="F363" i="7"/>
  <c r="H362" i="7"/>
  <c r="F362" i="7"/>
  <c r="H361" i="7"/>
  <c r="F361" i="7"/>
  <c r="H360" i="7"/>
  <c r="F360" i="7"/>
  <c r="H359" i="7"/>
  <c r="F359" i="7"/>
  <c r="H358" i="7"/>
  <c r="F358" i="7"/>
  <c r="H357" i="7"/>
  <c r="F357" i="7"/>
  <c r="H356" i="7"/>
  <c r="F356" i="7"/>
  <c r="H355" i="7"/>
  <c r="F355" i="7"/>
  <c r="H354" i="7"/>
  <c r="F354" i="7"/>
  <c r="H353" i="7"/>
  <c r="F353" i="7"/>
  <c r="H352" i="7"/>
  <c r="F352" i="7"/>
  <c r="H351" i="7"/>
  <c r="F351" i="7"/>
  <c r="H350" i="7"/>
  <c r="F350" i="7"/>
  <c r="H349" i="7"/>
  <c r="F349" i="7"/>
  <c r="H348" i="7"/>
  <c r="F348" i="7"/>
  <c r="H347" i="7"/>
  <c r="F347" i="7"/>
  <c r="H346" i="7"/>
  <c r="F346" i="7"/>
  <c r="H345" i="7"/>
  <c r="F345" i="7"/>
  <c r="H344" i="7"/>
  <c r="F344" i="7"/>
  <c r="H343" i="7"/>
  <c r="F343" i="7"/>
  <c r="H342" i="7"/>
  <c r="F342" i="7"/>
  <c r="H341" i="7"/>
  <c r="F341" i="7"/>
  <c r="H340" i="7"/>
  <c r="F340" i="7"/>
  <c r="H339" i="7"/>
  <c r="F339" i="7"/>
  <c r="H338" i="7"/>
  <c r="F338" i="7"/>
  <c r="H337" i="7"/>
  <c r="F337" i="7"/>
  <c r="H336" i="7"/>
  <c r="H335" i="7"/>
  <c r="F335" i="7"/>
  <c r="H334" i="7"/>
  <c r="F334" i="7"/>
  <c r="H333" i="7"/>
  <c r="F333" i="7"/>
  <c r="H332" i="7"/>
  <c r="F332" i="7"/>
  <c r="H331" i="7"/>
  <c r="F331" i="7"/>
  <c r="H330" i="7"/>
  <c r="F330" i="7"/>
  <c r="H329" i="7"/>
  <c r="F329" i="7"/>
  <c r="H328" i="7"/>
  <c r="F328" i="7"/>
  <c r="H327" i="7"/>
  <c r="F327" i="7"/>
  <c r="H326" i="7"/>
  <c r="F326" i="7"/>
  <c r="H325" i="7"/>
  <c r="F325" i="7"/>
  <c r="H324" i="7"/>
  <c r="F324" i="7"/>
  <c r="H323" i="7"/>
  <c r="F323" i="7"/>
  <c r="H322" i="7"/>
  <c r="F322" i="7"/>
  <c r="H321" i="7"/>
  <c r="F321" i="7"/>
  <c r="H320" i="7"/>
  <c r="F320" i="7"/>
  <c r="H319" i="7"/>
  <c r="F319" i="7"/>
  <c r="H318" i="7"/>
  <c r="F318" i="7"/>
  <c r="H317" i="7"/>
  <c r="F317" i="7"/>
  <c r="H316" i="7"/>
  <c r="F316" i="7"/>
  <c r="H315" i="7"/>
  <c r="F315" i="7"/>
  <c r="H314" i="7"/>
  <c r="F314" i="7"/>
  <c r="H313" i="7"/>
  <c r="F313" i="7"/>
  <c r="H312" i="7"/>
  <c r="F312" i="7"/>
  <c r="H311" i="7"/>
  <c r="F311" i="7"/>
  <c r="H310" i="7"/>
  <c r="F310" i="7"/>
  <c r="H309" i="7"/>
  <c r="F309" i="7"/>
  <c r="H308" i="7"/>
  <c r="F308" i="7"/>
  <c r="H307" i="7"/>
  <c r="F307" i="7"/>
  <c r="H306" i="7"/>
  <c r="F306" i="7"/>
  <c r="H305" i="7"/>
  <c r="F305" i="7"/>
  <c r="H304" i="7"/>
  <c r="F304" i="7"/>
  <c r="H303" i="7"/>
  <c r="F303" i="7"/>
  <c r="H302" i="7"/>
  <c r="F302" i="7"/>
  <c r="H301" i="7"/>
  <c r="F301" i="7"/>
  <c r="H300" i="7"/>
  <c r="F300" i="7"/>
  <c r="H299" i="7"/>
  <c r="F299" i="7"/>
  <c r="H298" i="7"/>
  <c r="F298" i="7"/>
  <c r="H297" i="7"/>
  <c r="F297" i="7"/>
  <c r="V291" i="7"/>
  <c r="S291" i="7"/>
  <c r="P291" i="7"/>
  <c r="M291" i="7"/>
  <c r="J291" i="7"/>
  <c r="V290" i="7"/>
  <c r="S290" i="7"/>
  <c r="P290" i="7"/>
  <c r="M290" i="7"/>
  <c r="J290" i="7"/>
  <c r="F290" i="7"/>
  <c r="V289" i="7"/>
  <c r="F289" i="7"/>
  <c r="F288" i="7"/>
  <c r="V287" i="7"/>
  <c r="S287" i="7"/>
  <c r="P287" i="7"/>
  <c r="J287" i="7"/>
  <c r="F287" i="7"/>
  <c r="M287" i="7" s="1"/>
  <c r="V286" i="7"/>
  <c r="S286" i="7"/>
  <c r="P286" i="7"/>
  <c r="M286" i="7"/>
  <c r="J286" i="7"/>
  <c r="F286" i="7"/>
  <c r="V285" i="7"/>
  <c r="P285" i="7"/>
  <c r="M285" i="7"/>
  <c r="J285" i="7"/>
  <c r="F285" i="7"/>
  <c r="S285" i="7" s="1"/>
  <c r="F284" i="7"/>
  <c r="V283" i="7"/>
  <c r="F283" i="7"/>
  <c r="V282" i="7"/>
  <c r="S282" i="7"/>
  <c r="P282" i="7"/>
  <c r="M282" i="7"/>
  <c r="J282" i="7"/>
  <c r="F282" i="7"/>
  <c r="S281" i="7"/>
  <c r="P281" i="7"/>
  <c r="J281" i="7"/>
  <c r="F281" i="7"/>
  <c r="M281" i="7" s="1"/>
  <c r="V280" i="7"/>
  <c r="M280" i="7"/>
  <c r="J280" i="7"/>
  <c r="F280" i="7"/>
  <c r="S279" i="7"/>
  <c r="P279" i="7"/>
  <c r="J279" i="7"/>
  <c r="F279" i="7"/>
  <c r="M279" i="7" s="1"/>
  <c r="V278" i="7"/>
  <c r="S278" i="7"/>
  <c r="P278" i="7"/>
  <c r="M278" i="7"/>
  <c r="J278" i="7"/>
  <c r="F278" i="7"/>
  <c r="V277" i="7"/>
  <c r="S277" i="7"/>
  <c r="P277" i="7"/>
  <c r="M277" i="7"/>
  <c r="J277" i="7"/>
  <c r="F277" i="7"/>
  <c r="V276" i="7"/>
  <c r="P276" i="7"/>
  <c r="M276" i="7"/>
  <c r="F276" i="7"/>
  <c r="V275" i="7"/>
  <c r="S275" i="7"/>
  <c r="J275" i="7"/>
  <c r="F275" i="7"/>
  <c r="V274" i="7"/>
  <c r="S274" i="7"/>
  <c r="P274" i="7"/>
  <c r="M274" i="7"/>
  <c r="J274" i="7"/>
  <c r="F274" i="7"/>
  <c r="V273" i="7"/>
  <c r="P273" i="7"/>
  <c r="F273" i="7"/>
  <c r="M273" i="7" s="1"/>
  <c r="M272" i="7"/>
  <c r="F272" i="7"/>
  <c r="V271" i="7"/>
  <c r="S271" i="7"/>
  <c r="P271" i="7"/>
  <c r="J271" i="7"/>
  <c r="F271" i="7"/>
  <c r="M271" i="7" s="1"/>
  <c r="V270" i="7"/>
  <c r="S270" i="7"/>
  <c r="P270" i="7"/>
  <c r="M270" i="7"/>
  <c r="J270" i="7"/>
  <c r="F270" i="7"/>
  <c r="V269" i="7"/>
  <c r="P269" i="7"/>
  <c r="M269" i="7"/>
  <c r="J269" i="7"/>
  <c r="F269" i="7"/>
  <c r="S269" i="7" s="1"/>
  <c r="P268" i="7"/>
  <c r="F268" i="7"/>
  <c r="S267" i="7"/>
  <c r="J267" i="7"/>
  <c r="F267" i="7"/>
  <c r="V266" i="7"/>
  <c r="S266" i="7"/>
  <c r="P266" i="7"/>
  <c r="M266" i="7"/>
  <c r="J266" i="7"/>
  <c r="F266" i="7"/>
  <c r="V265" i="7"/>
  <c r="S265" i="7"/>
  <c r="J265" i="7"/>
  <c r="F265" i="7"/>
  <c r="M265" i="7" s="1"/>
  <c r="F264" i="7"/>
  <c r="S263" i="7"/>
  <c r="P263" i="7"/>
  <c r="J263" i="7"/>
  <c r="F263" i="7"/>
  <c r="M263" i="7" s="1"/>
  <c r="V262" i="7"/>
  <c r="S262" i="7"/>
  <c r="P262" i="7"/>
  <c r="M262" i="7"/>
  <c r="J262" i="7"/>
  <c r="F262" i="7"/>
  <c r="V261" i="7"/>
  <c r="S261" i="7"/>
  <c r="P261" i="7"/>
  <c r="M261" i="7"/>
  <c r="J261" i="7"/>
  <c r="F261" i="7"/>
  <c r="V260" i="7"/>
  <c r="M260" i="7"/>
  <c r="F260" i="7"/>
  <c r="F259" i="7"/>
  <c r="V258" i="7"/>
  <c r="S258" i="7"/>
  <c r="P258" i="7"/>
  <c r="M258" i="7"/>
  <c r="J258" i="7"/>
  <c r="F258" i="7"/>
  <c r="V257" i="7"/>
  <c r="S257" i="7"/>
  <c r="F257" i="7"/>
  <c r="F256" i="7"/>
  <c r="V255" i="7"/>
  <c r="S255" i="7"/>
  <c r="P255" i="7"/>
  <c r="J255" i="7"/>
  <c r="F255" i="7"/>
  <c r="M255" i="7" s="1"/>
  <c r="V254" i="7"/>
  <c r="S254" i="7"/>
  <c r="P254" i="7"/>
  <c r="M254" i="7"/>
  <c r="J254" i="7"/>
  <c r="F254" i="7"/>
  <c r="V253" i="7"/>
  <c r="P253" i="7"/>
  <c r="M253" i="7"/>
  <c r="J253" i="7"/>
  <c r="F253" i="7"/>
  <c r="S253" i="7" s="1"/>
  <c r="V252" i="7"/>
  <c r="F252" i="7"/>
  <c r="F251" i="7"/>
  <c r="V250" i="7"/>
  <c r="S250" i="7"/>
  <c r="P250" i="7"/>
  <c r="M250" i="7"/>
  <c r="J250" i="7"/>
  <c r="F250" i="7"/>
  <c r="V249" i="7"/>
  <c r="S249" i="7"/>
  <c r="P249" i="7"/>
  <c r="J249" i="7"/>
  <c r="F249" i="7"/>
  <c r="M249" i="7" s="1"/>
  <c r="V248" i="7"/>
  <c r="M248" i="7"/>
  <c r="J248" i="7"/>
  <c r="F248" i="7"/>
  <c r="S247" i="7"/>
  <c r="P247" i="7"/>
  <c r="J247" i="7"/>
  <c r="F247" i="7"/>
  <c r="M247" i="7" s="1"/>
  <c r="V246" i="7"/>
  <c r="S246" i="7"/>
  <c r="P246" i="7"/>
  <c r="M246" i="7"/>
  <c r="J246" i="7"/>
  <c r="F246" i="7"/>
  <c r="V245" i="7"/>
  <c r="S245" i="7"/>
  <c r="P245" i="7"/>
  <c r="M245" i="7"/>
  <c r="J245" i="7"/>
  <c r="F245" i="7"/>
  <c r="V244" i="7"/>
  <c r="P244" i="7"/>
  <c r="M244" i="7"/>
  <c r="F244" i="7"/>
  <c r="V243" i="7"/>
  <c r="S243" i="7"/>
  <c r="J243" i="7"/>
  <c r="F243" i="7"/>
  <c r="V242" i="7"/>
  <c r="S242" i="7"/>
  <c r="P242" i="7"/>
  <c r="M242" i="7"/>
  <c r="J242" i="7"/>
  <c r="F242" i="7"/>
  <c r="P241" i="7"/>
  <c r="J241" i="7"/>
  <c r="F241" i="7"/>
  <c r="M240" i="7"/>
  <c r="F240" i="7"/>
  <c r="V239" i="7"/>
  <c r="S239" i="7"/>
  <c r="P239" i="7"/>
  <c r="J239" i="7"/>
  <c r="F239" i="7"/>
  <c r="M239" i="7" s="1"/>
  <c r="V238" i="7"/>
  <c r="S238" i="7"/>
  <c r="P238" i="7"/>
  <c r="M238" i="7"/>
  <c r="J238" i="7"/>
  <c r="F238" i="7"/>
  <c r="V237" i="7"/>
  <c r="P237" i="7"/>
  <c r="M237" i="7"/>
  <c r="J237" i="7"/>
  <c r="F237" i="7"/>
  <c r="S237" i="7" s="1"/>
  <c r="F236" i="7"/>
  <c r="S235" i="7"/>
  <c r="F235" i="7"/>
  <c r="V234" i="7"/>
  <c r="S234" i="7"/>
  <c r="P234" i="7"/>
  <c r="M234" i="7"/>
  <c r="J234" i="7"/>
  <c r="F234" i="7"/>
  <c r="J233" i="7"/>
  <c r="F233" i="7"/>
  <c r="V232" i="7"/>
  <c r="J232" i="7"/>
  <c r="F232" i="7"/>
  <c r="S231" i="7"/>
  <c r="P231" i="7"/>
  <c r="J231" i="7"/>
  <c r="F231" i="7"/>
  <c r="M231" i="7" s="1"/>
  <c r="V230" i="7"/>
  <c r="S230" i="7"/>
  <c r="P230" i="7"/>
  <c r="M230" i="7"/>
  <c r="J230" i="7"/>
  <c r="F230" i="7"/>
  <c r="V229" i="7"/>
  <c r="S229" i="7"/>
  <c r="P229" i="7"/>
  <c r="M229" i="7"/>
  <c r="J229" i="7"/>
  <c r="F229" i="7"/>
  <c r="F228" i="7"/>
  <c r="V227" i="7"/>
  <c r="J227" i="7"/>
  <c r="F227" i="7"/>
  <c r="V226" i="7"/>
  <c r="S226" i="7"/>
  <c r="P226" i="7"/>
  <c r="M226" i="7"/>
  <c r="J226" i="7"/>
  <c r="F226" i="7"/>
  <c r="F225" i="7"/>
  <c r="V224" i="7"/>
  <c r="M224" i="7"/>
  <c r="F224" i="7"/>
  <c r="V223" i="7"/>
  <c r="S223" i="7"/>
  <c r="P223" i="7"/>
  <c r="J223" i="7"/>
  <c r="F223" i="7"/>
  <c r="M223" i="7" s="1"/>
  <c r="V222" i="7"/>
  <c r="S222" i="7"/>
  <c r="P222" i="7"/>
  <c r="M222" i="7"/>
  <c r="J222" i="7"/>
  <c r="F222" i="7"/>
  <c r="V221" i="7"/>
  <c r="P221" i="7"/>
  <c r="M221" i="7"/>
  <c r="J221" i="7"/>
  <c r="F221" i="7"/>
  <c r="S221" i="7" s="1"/>
  <c r="F220" i="7"/>
  <c r="V219" i="7"/>
  <c r="F219" i="7"/>
  <c r="V218" i="7"/>
  <c r="S218" i="7"/>
  <c r="P218" i="7"/>
  <c r="M218" i="7"/>
  <c r="J218" i="7"/>
  <c r="F218" i="7"/>
  <c r="S217" i="7"/>
  <c r="P217" i="7"/>
  <c r="J217" i="7"/>
  <c r="F217" i="7"/>
  <c r="M217" i="7" s="1"/>
  <c r="V216" i="7"/>
  <c r="M216" i="7"/>
  <c r="J216" i="7"/>
  <c r="F216" i="7"/>
  <c r="S215" i="7"/>
  <c r="P215" i="7"/>
  <c r="J215" i="7"/>
  <c r="F215" i="7"/>
  <c r="M215" i="7" s="1"/>
  <c r="V214" i="7"/>
  <c r="S214" i="7"/>
  <c r="P214" i="7"/>
  <c r="M214" i="7"/>
  <c r="J214" i="7"/>
  <c r="F214" i="7"/>
  <c r="V213" i="7"/>
  <c r="S213" i="7"/>
  <c r="P213" i="7"/>
  <c r="M213" i="7"/>
  <c r="J213" i="7"/>
  <c r="F213" i="7"/>
  <c r="V212" i="7"/>
  <c r="P212" i="7"/>
  <c r="M212" i="7"/>
  <c r="F212" i="7"/>
  <c r="V211" i="7"/>
  <c r="S211" i="7"/>
  <c r="J211" i="7"/>
  <c r="F211" i="7"/>
  <c r="V210" i="7"/>
  <c r="S210" i="7"/>
  <c r="P210" i="7"/>
  <c r="M210" i="7"/>
  <c r="J210" i="7"/>
  <c r="F210" i="7"/>
  <c r="V209" i="7"/>
  <c r="P209" i="7"/>
  <c r="F209" i="7"/>
  <c r="M209" i="7" s="1"/>
  <c r="M208" i="7"/>
  <c r="J208" i="7"/>
  <c r="F208" i="7"/>
  <c r="V207" i="7"/>
  <c r="S207" i="7"/>
  <c r="P207" i="7"/>
  <c r="J207" i="7"/>
  <c r="F207" i="7"/>
  <c r="M207" i="7" s="1"/>
  <c r="V206" i="7"/>
  <c r="S206" i="7"/>
  <c r="P206" i="7"/>
  <c r="M206" i="7"/>
  <c r="J206" i="7"/>
  <c r="F206" i="7"/>
  <c r="V205" i="7"/>
  <c r="P205" i="7"/>
  <c r="M205" i="7"/>
  <c r="J205" i="7"/>
  <c r="F205" i="7"/>
  <c r="S205" i="7" s="1"/>
  <c r="P204" i="7"/>
  <c r="F204" i="7"/>
  <c r="F203" i="7"/>
  <c r="V202" i="7"/>
  <c r="S202" i="7"/>
  <c r="P202" i="7"/>
  <c r="M202" i="7"/>
  <c r="J202" i="7"/>
  <c r="F202" i="7"/>
  <c r="V201" i="7"/>
  <c r="S201" i="7"/>
  <c r="J201" i="7"/>
  <c r="F201" i="7"/>
  <c r="M201" i="7" s="1"/>
  <c r="F200" i="7"/>
  <c r="V199" i="7"/>
  <c r="S199" i="7"/>
  <c r="P199" i="7"/>
  <c r="M199" i="7"/>
  <c r="J199" i="7"/>
  <c r="V198" i="7"/>
  <c r="S198" i="7"/>
  <c r="P198" i="7"/>
  <c r="J198" i="7"/>
  <c r="F198" i="7"/>
  <c r="M198" i="7" s="1"/>
  <c r="S197" i="7"/>
  <c r="M197" i="7"/>
  <c r="J197" i="7"/>
  <c r="F197" i="7"/>
  <c r="S196" i="7"/>
  <c r="M196" i="7"/>
  <c r="J196" i="7"/>
  <c r="F196" i="7"/>
  <c r="P196" i="7" s="1"/>
  <c r="V195" i="7"/>
  <c r="S195" i="7"/>
  <c r="P195" i="7"/>
  <c r="F195" i="7"/>
  <c r="V194" i="7"/>
  <c r="S194" i="7"/>
  <c r="M194" i="7"/>
  <c r="F194" i="7"/>
  <c r="P193" i="7"/>
  <c r="M193" i="7"/>
  <c r="J193" i="7"/>
  <c r="F193" i="7"/>
  <c r="V193" i="7" s="1"/>
  <c r="V192" i="7"/>
  <c r="S192" i="7"/>
  <c r="F192" i="7"/>
  <c r="F191" i="7"/>
  <c r="V190" i="7"/>
  <c r="P190" i="7"/>
  <c r="M190" i="7"/>
  <c r="J190" i="7"/>
  <c r="F190" i="7"/>
  <c r="S190" i="7" s="1"/>
  <c r="M189" i="7"/>
  <c r="F189" i="7"/>
  <c r="V188" i="7"/>
  <c r="J188" i="7"/>
  <c r="F188" i="7"/>
  <c r="M187" i="7"/>
  <c r="F187" i="7"/>
  <c r="S186" i="7"/>
  <c r="M186" i="7"/>
  <c r="F186" i="7"/>
  <c r="F185" i="7"/>
  <c r="V184" i="7"/>
  <c r="J184" i="7"/>
  <c r="F184" i="7"/>
  <c r="V183" i="7"/>
  <c r="S183" i="7"/>
  <c r="P183" i="7"/>
  <c r="M183" i="7"/>
  <c r="F183" i="7"/>
  <c r="J183" i="7" s="1"/>
  <c r="S182" i="7"/>
  <c r="P182" i="7"/>
  <c r="J182" i="7"/>
  <c r="F182" i="7"/>
  <c r="M182" i="7" s="1"/>
  <c r="S181" i="7"/>
  <c r="M181" i="7"/>
  <c r="J181" i="7"/>
  <c r="F181" i="7"/>
  <c r="V180" i="7"/>
  <c r="S180" i="7"/>
  <c r="M180" i="7"/>
  <c r="J180" i="7"/>
  <c r="F180" i="7"/>
  <c r="P180" i="7" s="1"/>
  <c r="F179" i="7"/>
  <c r="F178" i="7"/>
  <c r="S177" i="7"/>
  <c r="P177" i="7"/>
  <c r="M177" i="7"/>
  <c r="J177" i="7"/>
  <c r="F177" i="7"/>
  <c r="V177" i="7" s="1"/>
  <c r="S176" i="7"/>
  <c r="F176" i="7"/>
  <c r="S175" i="7"/>
  <c r="M175" i="7"/>
  <c r="J175" i="7"/>
  <c r="F175" i="7"/>
  <c r="P175" i="7" s="1"/>
  <c r="S174" i="7"/>
  <c r="P174" i="7"/>
  <c r="M174" i="7"/>
  <c r="F174" i="7"/>
  <c r="V173" i="7"/>
  <c r="F173" i="7"/>
  <c r="S172" i="7"/>
  <c r="F172" i="7"/>
  <c r="F171" i="7"/>
  <c r="S170" i="7"/>
  <c r="M170" i="7"/>
  <c r="F170" i="7"/>
  <c r="M169" i="7"/>
  <c r="F169" i="7"/>
  <c r="P168" i="7"/>
  <c r="F168" i="7"/>
  <c r="V167" i="7"/>
  <c r="S167" i="7"/>
  <c r="M167" i="7"/>
  <c r="J167" i="7"/>
  <c r="F167" i="7"/>
  <c r="P167" i="7" s="1"/>
  <c r="S166" i="7"/>
  <c r="P166" i="7"/>
  <c r="M166" i="7"/>
  <c r="F166" i="7"/>
  <c r="V165" i="7"/>
  <c r="S165" i="7"/>
  <c r="M165" i="7"/>
  <c r="F165" i="7"/>
  <c r="F164" i="7"/>
  <c r="V163" i="7"/>
  <c r="S163" i="7"/>
  <c r="J163" i="7"/>
  <c r="F163" i="7"/>
  <c r="P163" i="7" s="1"/>
  <c r="Q158" i="7"/>
  <c r="N158" i="7"/>
  <c r="K158" i="7"/>
  <c r="H158" i="7"/>
  <c r="E158" i="7"/>
  <c r="D158" i="7"/>
  <c r="T157" i="7"/>
  <c r="N157" i="7"/>
  <c r="K157" i="7"/>
  <c r="H157" i="7"/>
  <c r="E157" i="7"/>
  <c r="D157" i="7"/>
  <c r="T156" i="7"/>
  <c r="Q156" i="7"/>
  <c r="K156" i="7"/>
  <c r="H156" i="7"/>
  <c r="E156" i="7"/>
  <c r="D156" i="7"/>
  <c r="T155" i="7"/>
  <c r="Q155" i="7"/>
  <c r="N155" i="7"/>
  <c r="H155" i="7"/>
  <c r="E155" i="7"/>
  <c r="D155" i="7"/>
  <c r="T154" i="7"/>
  <c r="Q154" i="7"/>
  <c r="N154" i="7"/>
  <c r="K154" i="7"/>
  <c r="E154" i="7"/>
  <c r="D154" i="7"/>
  <c r="N153" i="7"/>
  <c r="T152" i="7"/>
  <c r="Q152" i="7"/>
  <c r="N152" i="7"/>
  <c r="K152" i="7"/>
  <c r="H152" i="7"/>
  <c r="D152" i="7"/>
  <c r="T151" i="7"/>
  <c r="Q151" i="7"/>
  <c r="N151" i="7"/>
  <c r="K151" i="7"/>
  <c r="H151" i="7"/>
  <c r="E151" i="7"/>
  <c r="T149" i="7"/>
  <c r="Q149" i="7"/>
  <c r="N149" i="7"/>
  <c r="K149" i="7"/>
  <c r="H149" i="7"/>
  <c r="E149" i="7"/>
  <c r="D149" i="7"/>
  <c r="T148" i="7"/>
  <c r="Q148" i="7"/>
  <c r="N148" i="7"/>
  <c r="K148" i="7"/>
  <c r="H148" i="7"/>
  <c r="E148" i="7"/>
  <c r="D148" i="7"/>
  <c r="T147" i="7"/>
  <c r="Q147" i="7"/>
  <c r="N147" i="7"/>
  <c r="K147" i="7"/>
  <c r="H147" i="7"/>
  <c r="E147" i="7"/>
  <c r="D147" i="7"/>
  <c r="T146" i="7"/>
  <c r="Q146" i="7"/>
  <c r="N146" i="7"/>
  <c r="K146" i="7"/>
  <c r="H146" i="7"/>
  <c r="E146" i="7"/>
  <c r="D146" i="7"/>
  <c r="T145" i="7"/>
  <c r="Q145" i="7"/>
  <c r="N145" i="7"/>
  <c r="K145" i="7"/>
  <c r="H145" i="7"/>
  <c r="E145" i="7"/>
  <c r="D145" i="7"/>
  <c r="T144" i="7"/>
  <c r="Q144" i="7"/>
  <c r="N144" i="7"/>
  <c r="K144" i="7"/>
  <c r="H144" i="7"/>
  <c r="E144" i="7"/>
  <c r="D144" i="7"/>
  <c r="T143" i="7"/>
  <c r="Q143" i="7"/>
  <c r="N143" i="7"/>
  <c r="K143" i="7"/>
  <c r="H143" i="7"/>
  <c r="E143" i="7"/>
  <c r="D143" i="7"/>
  <c r="T142" i="7"/>
  <c r="Q142" i="7"/>
  <c r="N142" i="7"/>
  <c r="K142" i="7"/>
  <c r="H142" i="7"/>
  <c r="E142" i="7"/>
  <c r="D142" i="7"/>
  <c r="T141" i="7"/>
  <c r="Q141" i="7"/>
  <c r="N141" i="7"/>
  <c r="K141" i="7"/>
  <c r="H141" i="7"/>
  <c r="E141" i="7"/>
  <c r="D141" i="7"/>
  <c r="T140" i="7"/>
  <c r="Q140" i="7"/>
  <c r="N140" i="7"/>
  <c r="K140" i="7"/>
  <c r="H140" i="7"/>
  <c r="E140" i="7"/>
  <c r="D140" i="7"/>
  <c r="V138" i="7"/>
  <c r="U138" i="7"/>
  <c r="S138" i="7"/>
  <c r="R138" i="7"/>
  <c r="P138" i="7"/>
  <c r="O138" i="7"/>
  <c r="M138" i="7"/>
  <c r="L138" i="7"/>
  <c r="J138" i="7"/>
  <c r="I138" i="7"/>
  <c r="U137" i="7"/>
  <c r="R137" i="7"/>
  <c r="I137" i="7"/>
  <c r="F137" i="7"/>
  <c r="F136" i="7"/>
  <c r="V135" i="7"/>
  <c r="U135" i="7"/>
  <c r="R135" i="7"/>
  <c r="P135" i="7"/>
  <c r="O135" i="7"/>
  <c r="M135" i="7"/>
  <c r="L135" i="7"/>
  <c r="J135" i="7"/>
  <c r="I135" i="7"/>
  <c r="F135" i="7"/>
  <c r="S135" i="7" s="1"/>
  <c r="V134" i="7"/>
  <c r="M134" i="7"/>
  <c r="J134" i="7"/>
  <c r="F134" i="7"/>
  <c r="O133" i="7"/>
  <c r="F133" i="7"/>
  <c r="M132" i="7"/>
  <c r="L132" i="7"/>
  <c r="F132" i="7"/>
  <c r="V131" i="7"/>
  <c r="U131" i="7"/>
  <c r="R131" i="7"/>
  <c r="P131" i="7"/>
  <c r="O131" i="7"/>
  <c r="L131" i="7"/>
  <c r="J131" i="7"/>
  <c r="I131" i="7"/>
  <c r="F131" i="7"/>
  <c r="M131" i="7" s="1"/>
  <c r="S130" i="7"/>
  <c r="P130" i="7"/>
  <c r="O130" i="7"/>
  <c r="J130" i="7"/>
  <c r="F130" i="7"/>
  <c r="U130" i="7" s="1"/>
  <c r="S129" i="7"/>
  <c r="R129" i="7"/>
  <c r="O129" i="7"/>
  <c r="L129" i="7"/>
  <c r="F129" i="7"/>
  <c r="U129" i="7" s="1"/>
  <c r="S128" i="7"/>
  <c r="R128" i="7"/>
  <c r="P128" i="7"/>
  <c r="L128" i="7"/>
  <c r="F128" i="7"/>
  <c r="V128" i="7" s="1"/>
  <c r="V127" i="7"/>
  <c r="U127" i="7"/>
  <c r="R127" i="7"/>
  <c r="P127" i="7"/>
  <c r="O127" i="7"/>
  <c r="M127" i="7"/>
  <c r="L127" i="7"/>
  <c r="J127" i="7"/>
  <c r="I127" i="7"/>
  <c r="F127" i="7"/>
  <c r="S127" i="7" s="1"/>
  <c r="V126" i="7"/>
  <c r="U126" i="7"/>
  <c r="I126" i="7"/>
  <c r="F126" i="7"/>
  <c r="R125" i="7"/>
  <c r="F125" i="7"/>
  <c r="V124" i="7"/>
  <c r="J124" i="7"/>
  <c r="F124" i="7"/>
  <c r="V123" i="7"/>
  <c r="U123" i="7"/>
  <c r="R123" i="7"/>
  <c r="P123" i="7"/>
  <c r="O123" i="7"/>
  <c r="L123" i="7"/>
  <c r="J123" i="7"/>
  <c r="I123" i="7"/>
  <c r="F123" i="7"/>
  <c r="M123" i="7" s="1"/>
  <c r="U122" i="7"/>
  <c r="S122" i="7"/>
  <c r="P122" i="7"/>
  <c r="M122" i="7"/>
  <c r="J122" i="7"/>
  <c r="I122" i="7"/>
  <c r="F122" i="7"/>
  <c r="O122" i="7" s="1"/>
  <c r="U121" i="7"/>
  <c r="S121" i="7"/>
  <c r="R121" i="7"/>
  <c r="M121" i="7"/>
  <c r="L121" i="7"/>
  <c r="I121" i="7"/>
  <c r="F121" i="7"/>
  <c r="O121" i="7" s="1"/>
  <c r="V120" i="7"/>
  <c r="S120" i="7"/>
  <c r="R120" i="7"/>
  <c r="M120" i="7"/>
  <c r="L120" i="7"/>
  <c r="J120" i="7"/>
  <c r="F120" i="7"/>
  <c r="P120" i="7" s="1"/>
  <c r="V119" i="7"/>
  <c r="U119" i="7"/>
  <c r="R119" i="7"/>
  <c r="P119" i="7"/>
  <c r="O119" i="7"/>
  <c r="L119" i="7"/>
  <c r="J119" i="7"/>
  <c r="I119" i="7"/>
  <c r="F119" i="7"/>
  <c r="S119" i="7" s="1"/>
  <c r="U118" i="7"/>
  <c r="P118" i="7"/>
  <c r="O118" i="7"/>
  <c r="M118" i="7"/>
  <c r="I118" i="7"/>
  <c r="F118" i="7"/>
  <c r="S118" i="7" s="1"/>
  <c r="U117" i="7"/>
  <c r="R117" i="7"/>
  <c r="O117" i="7"/>
  <c r="M117" i="7"/>
  <c r="I117" i="7"/>
  <c r="F117" i="7"/>
  <c r="S117" i="7" s="1"/>
  <c r="V116" i="7"/>
  <c r="R116" i="7"/>
  <c r="P116" i="7"/>
  <c r="M116" i="7"/>
  <c r="J116" i="7"/>
  <c r="F116" i="7"/>
  <c r="S116" i="7" s="1"/>
  <c r="V115" i="7"/>
  <c r="U115" i="7"/>
  <c r="R115" i="7"/>
  <c r="P115" i="7"/>
  <c r="O115" i="7"/>
  <c r="L115" i="7"/>
  <c r="J115" i="7"/>
  <c r="I115" i="7"/>
  <c r="F115" i="7"/>
  <c r="M115" i="7" s="1"/>
  <c r="U114" i="7"/>
  <c r="S114" i="7"/>
  <c r="P114" i="7"/>
  <c r="O114" i="7"/>
  <c r="M114" i="7"/>
  <c r="J114" i="7"/>
  <c r="I114" i="7"/>
  <c r="F114" i="7"/>
  <c r="U113" i="7"/>
  <c r="S113" i="7"/>
  <c r="R113" i="7"/>
  <c r="O113" i="7"/>
  <c r="M113" i="7"/>
  <c r="L113" i="7"/>
  <c r="I113" i="7"/>
  <c r="F113" i="7"/>
  <c r="V112" i="7"/>
  <c r="S112" i="7"/>
  <c r="R112" i="7"/>
  <c r="P112" i="7"/>
  <c r="M112" i="7"/>
  <c r="L112" i="7"/>
  <c r="J112" i="7"/>
  <c r="F112" i="7"/>
  <c r="V111" i="7"/>
  <c r="U111" i="7"/>
  <c r="R111" i="7"/>
  <c r="P111" i="7"/>
  <c r="O111" i="7"/>
  <c r="L111" i="7"/>
  <c r="J111" i="7"/>
  <c r="I111" i="7"/>
  <c r="F111" i="7"/>
  <c r="S111" i="7" s="1"/>
  <c r="V110" i="7"/>
  <c r="U110" i="7"/>
  <c r="I110" i="7"/>
  <c r="F110" i="7"/>
  <c r="I109" i="7"/>
  <c r="F109" i="7"/>
  <c r="V108" i="7"/>
  <c r="J108" i="7"/>
  <c r="F108" i="7"/>
  <c r="V107" i="7"/>
  <c r="U107" i="7"/>
  <c r="R107" i="7"/>
  <c r="P107" i="7"/>
  <c r="O107" i="7"/>
  <c r="L107" i="7"/>
  <c r="J107" i="7"/>
  <c r="I107" i="7"/>
  <c r="F107" i="7"/>
  <c r="M107" i="7" s="1"/>
  <c r="U106" i="7"/>
  <c r="S106" i="7"/>
  <c r="P106" i="7"/>
  <c r="M106" i="7"/>
  <c r="J106" i="7"/>
  <c r="I106" i="7"/>
  <c r="F106" i="7"/>
  <c r="O106" i="7" s="1"/>
  <c r="U105" i="7"/>
  <c r="S105" i="7"/>
  <c r="R105" i="7"/>
  <c r="M105" i="7"/>
  <c r="L105" i="7"/>
  <c r="I105" i="7"/>
  <c r="F105" i="7"/>
  <c r="O105" i="7" s="1"/>
  <c r="V104" i="7"/>
  <c r="S104" i="7"/>
  <c r="R104" i="7"/>
  <c r="M104" i="7"/>
  <c r="L104" i="7"/>
  <c r="J104" i="7"/>
  <c r="F104" i="7"/>
  <c r="P104" i="7" s="1"/>
  <c r="V103" i="7"/>
  <c r="U103" i="7"/>
  <c r="R103" i="7"/>
  <c r="P103" i="7"/>
  <c r="O103" i="7"/>
  <c r="L103" i="7"/>
  <c r="J103" i="7"/>
  <c r="I103" i="7"/>
  <c r="F103" i="7"/>
  <c r="S103" i="7" s="1"/>
  <c r="U102" i="7"/>
  <c r="P102" i="7"/>
  <c r="O102" i="7"/>
  <c r="M102" i="7"/>
  <c r="I102" i="7"/>
  <c r="F102" i="7"/>
  <c r="S102" i="7" s="1"/>
  <c r="U101" i="7"/>
  <c r="R101" i="7"/>
  <c r="O101" i="7"/>
  <c r="M101" i="7"/>
  <c r="I101" i="7"/>
  <c r="F101" i="7"/>
  <c r="S101" i="7" s="1"/>
  <c r="V100" i="7"/>
  <c r="R100" i="7"/>
  <c r="P100" i="7"/>
  <c r="M100" i="7"/>
  <c r="J100" i="7"/>
  <c r="F100" i="7"/>
  <c r="S100" i="7" s="1"/>
  <c r="V99" i="7"/>
  <c r="U99" i="7"/>
  <c r="R99" i="7"/>
  <c r="P99" i="7"/>
  <c r="O99" i="7"/>
  <c r="L99" i="7"/>
  <c r="J99" i="7"/>
  <c r="I99" i="7"/>
  <c r="F99" i="7"/>
  <c r="M99" i="7" s="1"/>
  <c r="U98" i="7"/>
  <c r="S98" i="7"/>
  <c r="P98" i="7"/>
  <c r="O98" i="7"/>
  <c r="M98" i="7"/>
  <c r="J98" i="7"/>
  <c r="I98" i="7"/>
  <c r="F98" i="7"/>
  <c r="U97" i="7"/>
  <c r="S97" i="7"/>
  <c r="R97" i="7"/>
  <c r="O97" i="7"/>
  <c r="M97" i="7"/>
  <c r="L97" i="7"/>
  <c r="I97" i="7"/>
  <c r="F97" i="7"/>
  <c r="V96" i="7"/>
  <c r="S96" i="7"/>
  <c r="R96" i="7"/>
  <c r="P96" i="7"/>
  <c r="M96" i="7"/>
  <c r="L96" i="7"/>
  <c r="J96" i="7"/>
  <c r="F96" i="7"/>
  <c r="V95" i="7"/>
  <c r="U95" i="7"/>
  <c r="R95" i="7"/>
  <c r="P95" i="7"/>
  <c r="O95" i="7"/>
  <c r="L95" i="7"/>
  <c r="J95" i="7"/>
  <c r="I95" i="7"/>
  <c r="F95" i="7"/>
  <c r="S95" i="7" s="1"/>
  <c r="V94" i="7"/>
  <c r="U94" i="7"/>
  <c r="I94" i="7"/>
  <c r="F94" i="7"/>
  <c r="R93" i="7"/>
  <c r="I93" i="7"/>
  <c r="F93" i="7"/>
  <c r="V92" i="7"/>
  <c r="J92" i="7"/>
  <c r="F92" i="7"/>
  <c r="V91" i="7"/>
  <c r="U91" i="7"/>
  <c r="R91" i="7"/>
  <c r="P91" i="7"/>
  <c r="O91" i="7"/>
  <c r="L91" i="7"/>
  <c r="J91" i="7"/>
  <c r="I91" i="7"/>
  <c r="F91" i="7"/>
  <c r="M91" i="7" s="1"/>
  <c r="U90" i="7"/>
  <c r="S90" i="7"/>
  <c r="P90" i="7"/>
  <c r="M90" i="7"/>
  <c r="J90" i="7"/>
  <c r="I90" i="7"/>
  <c r="F90" i="7"/>
  <c r="O90" i="7" s="1"/>
  <c r="U89" i="7"/>
  <c r="S89" i="7"/>
  <c r="R89" i="7"/>
  <c r="M89" i="7"/>
  <c r="L89" i="7"/>
  <c r="I89" i="7"/>
  <c r="F89" i="7"/>
  <c r="O89" i="7" s="1"/>
  <c r="V88" i="7"/>
  <c r="S88" i="7"/>
  <c r="R88" i="7"/>
  <c r="M88" i="7"/>
  <c r="L88" i="7"/>
  <c r="J88" i="7"/>
  <c r="F88" i="7"/>
  <c r="P88" i="7" s="1"/>
  <c r="V87" i="7"/>
  <c r="U87" i="7"/>
  <c r="R87" i="7"/>
  <c r="P87" i="7"/>
  <c r="O87" i="7"/>
  <c r="L87" i="7"/>
  <c r="J87" i="7"/>
  <c r="I87" i="7"/>
  <c r="F87" i="7"/>
  <c r="S87" i="7" s="1"/>
  <c r="U86" i="7"/>
  <c r="P86" i="7"/>
  <c r="O86" i="7"/>
  <c r="M86" i="7"/>
  <c r="I86" i="7"/>
  <c r="F86" i="7"/>
  <c r="S86" i="7" s="1"/>
  <c r="U85" i="7"/>
  <c r="R85" i="7"/>
  <c r="O85" i="7"/>
  <c r="M85" i="7"/>
  <c r="I85" i="7"/>
  <c r="F85" i="7"/>
  <c r="S85" i="7" s="1"/>
  <c r="V84" i="7"/>
  <c r="R84" i="7"/>
  <c r="P84" i="7"/>
  <c r="M84" i="7"/>
  <c r="J84" i="7"/>
  <c r="F84" i="7"/>
  <c r="S84" i="7" s="1"/>
  <c r="V83" i="7"/>
  <c r="U83" i="7"/>
  <c r="R83" i="7"/>
  <c r="P83" i="7"/>
  <c r="O83" i="7"/>
  <c r="M83" i="7"/>
  <c r="L83" i="7"/>
  <c r="J83" i="7"/>
  <c r="I83" i="7"/>
  <c r="F83" i="7"/>
  <c r="S83" i="7" s="1"/>
  <c r="V82" i="7"/>
  <c r="U82" i="7"/>
  <c r="O82" i="7"/>
  <c r="F82" i="7"/>
  <c r="O81" i="7"/>
  <c r="F81" i="7"/>
  <c r="V80" i="7"/>
  <c r="P80" i="7"/>
  <c r="F80" i="7"/>
  <c r="V79" i="7"/>
  <c r="U79" i="7"/>
  <c r="R79" i="7"/>
  <c r="P79" i="7"/>
  <c r="O79" i="7"/>
  <c r="L79" i="7"/>
  <c r="J79" i="7"/>
  <c r="I79" i="7"/>
  <c r="F79" i="7"/>
  <c r="S79" i="7" s="1"/>
  <c r="V78" i="7"/>
  <c r="S78" i="7"/>
  <c r="J78" i="7"/>
  <c r="I78" i="7"/>
  <c r="F78" i="7"/>
  <c r="F77" i="7"/>
  <c r="S76" i="7"/>
  <c r="L76" i="7"/>
  <c r="J76" i="7"/>
  <c r="F76" i="7"/>
  <c r="V75" i="7"/>
  <c r="U75" i="7"/>
  <c r="R75" i="7"/>
  <c r="P75" i="7"/>
  <c r="O75" i="7"/>
  <c r="M75" i="7"/>
  <c r="L75" i="7"/>
  <c r="J75" i="7"/>
  <c r="I75" i="7"/>
  <c r="F75" i="7"/>
  <c r="S75" i="7" s="1"/>
  <c r="U74" i="7"/>
  <c r="P74" i="7"/>
  <c r="O74" i="7"/>
  <c r="M74" i="7"/>
  <c r="I74" i="7"/>
  <c r="F74" i="7"/>
  <c r="S74" i="7" s="1"/>
  <c r="U73" i="7"/>
  <c r="R73" i="7"/>
  <c r="O73" i="7"/>
  <c r="M73" i="7"/>
  <c r="I73" i="7"/>
  <c r="F73" i="7"/>
  <c r="S73" i="7" s="1"/>
  <c r="V72" i="7"/>
  <c r="R72" i="7"/>
  <c r="P72" i="7"/>
  <c r="M72" i="7"/>
  <c r="J72" i="7"/>
  <c r="F72" i="7"/>
  <c r="S72" i="7" s="1"/>
  <c r="V71" i="7"/>
  <c r="U71" i="7"/>
  <c r="R71" i="7"/>
  <c r="P71" i="7"/>
  <c r="O71" i="7"/>
  <c r="L71" i="7"/>
  <c r="J71" i="7"/>
  <c r="I71" i="7"/>
  <c r="F71" i="7"/>
  <c r="S71" i="7" s="1"/>
  <c r="U70" i="7"/>
  <c r="S70" i="7"/>
  <c r="P70" i="7"/>
  <c r="O70" i="7"/>
  <c r="M70" i="7"/>
  <c r="J70" i="7"/>
  <c r="I70" i="7"/>
  <c r="F70" i="7"/>
  <c r="U69" i="7"/>
  <c r="S69" i="7"/>
  <c r="R69" i="7"/>
  <c r="O69" i="7"/>
  <c r="M69" i="7"/>
  <c r="L69" i="7"/>
  <c r="I69" i="7"/>
  <c r="F69" i="7"/>
  <c r="V68" i="7"/>
  <c r="S68" i="7"/>
  <c r="R68" i="7"/>
  <c r="P68" i="7"/>
  <c r="M68" i="7"/>
  <c r="L68" i="7"/>
  <c r="J68" i="7"/>
  <c r="F68" i="7"/>
  <c r="V67" i="7"/>
  <c r="U67" i="7"/>
  <c r="R67" i="7"/>
  <c r="P67" i="7"/>
  <c r="O67" i="7"/>
  <c r="M67" i="7"/>
  <c r="L67" i="7"/>
  <c r="J67" i="7"/>
  <c r="I67" i="7"/>
  <c r="F67" i="7"/>
  <c r="S67" i="7" s="1"/>
  <c r="F66" i="7"/>
  <c r="S65" i="7"/>
  <c r="L65" i="7"/>
  <c r="I65" i="7"/>
  <c r="F65" i="7"/>
  <c r="F64" i="7"/>
  <c r="V63" i="7"/>
  <c r="U63" i="7"/>
  <c r="R63" i="7"/>
  <c r="P63" i="7"/>
  <c r="O63" i="7"/>
  <c r="L63" i="7"/>
  <c r="J63" i="7"/>
  <c r="I63" i="7"/>
  <c r="F63" i="7"/>
  <c r="S63" i="7" s="1"/>
  <c r="V62" i="7"/>
  <c r="O62" i="7"/>
  <c r="J62" i="7"/>
  <c r="F62" i="7"/>
  <c r="M61" i="7"/>
  <c r="L61" i="7"/>
  <c r="F61" i="7"/>
  <c r="P60" i="7"/>
  <c r="L60" i="7"/>
  <c r="F60" i="7"/>
  <c r="V59" i="7"/>
  <c r="U59" i="7"/>
  <c r="R59" i="7"/>
  <c r="P59" i="7"/>
  <c r="O59" i="7"/>
  <c r="M59" i="7"/>
  <c r="L59" i="7"/>
  <c r="J59" i="7"/>
  <c r="I59" i="7"/>
  <c r="F59" i="7"/>
  <c r="S59" i="7" s="1"/>
  <c r="U58" i="7"/>
  <c r="S58" i="7"/>
  <c r="P58" i="7"/>
  <c r="O58" i="7"/>
  <c r="M58" i="7"/>
  <c r="J58" i="7"/>
  <c r="I58" i="7"/>
  <c r="F58" i="7"/>
  <c r="U57" i="7"/>
  <c r="S57" i="7"/>
  <c r="R57" i="7"/>
  <c r="O57" i="7"/>
  <c r="M57" i="7"/>
  <c r="L57" i="7"/>
  <c r="I57" i="7"/>
  <c r="F57" i="7"/>
  <c r="V56" i="7"/>
  <c r="S56" i="7"/>
  <c r="R56" i="7"/>
  <c r="P56" i="7"/>
  <c r="M56" i="7"/>
  <c r="L56" i="7"/>
  <c r="J56" i="7"/>
  <c r="F56" i="7"/>
  <c r="V55" i="7"/>
  <c r="U55" i="7"/>
  <c r="S55" i="7"/>
  <c r="I55" i="7"/>
  <c r="F55" i="7"/>
  <c r="V54" i="7"/>
  <c r="S54" i="7"/>
  <c r="P54" i="7"/>
  <c r="O54" i="7"/>
  <c r="L54" i="7"/>
  <c r="J54" i="7"/>
  <c r="I54" i="7"/>
  <c r="F54" i="7"/>
  <c r="R54" i="7" s="1"/>
  <c r="M53" i="7"/>
  <c r="F53" i="7"/>
  <c r="V52" i="7"/>
  <c r="U52" i="7"/>
  <c r="R52" i="7"/>
  <c r="P52" i="7"/>
  <c r="O52" i="7"/>
  <c r="M52" i="7"/>
  <c r="L52" i="7"/>
  <c r="J52" i="7"/>
  <c r="I52" i="7"/>
  <c r="F52" i="7"/>
  <c r="S52" i="7" s="1"/>
  <c r="V51" i="7"/>
  <c r="U51" i="7"/>
  <c r="S51" i="7"/>
  <c r="P51" i="7"/>
  <c r="J51" i="7"/>
  <c r="I51" i="7"/>
  <c r="F51" i="7"/>
  <c r="U50" i="7"/>
  <c r="R50" i="7"/>
  <c r="O50" i="7"/>
  <c r="M50" i="7"/>
  <c r="L50" i="7"/>
  <c r="I50" i="7"/>
  <c r="F50" i="7"/>
  <c r="V50" i="7" s="1"/>
  <c r="F49" i="7"/>
  <c r="V48" i="7"/>
  <c r="U48" i="7"/>
  <c r="R48" i="7"/>
  <c r="P48" i="7"/>
  <c r="O48" i="7"/>
  <c r="L48" i="7"/>
  <c r="J48" i="7"/>
  <c r="I48" i="7"/>
  <c r="F48" i="7"/>
  <c r="S48" i="7" s="1"/>
  <c r="V47" i="7"/>
  <c r="P47" i="7"/>
  <c r="O47" i="7"/>
  <c r="M47" i="7"/>
  <c r="J47" i="7"/>
  <c r="F47" i="7"/>
  <c r="L47" i="7" s="1"/>
  <c r="V46" i="7"/>
  <c r="U46" i="7"/>
  <c r="S46" i="7"/>
  <c r="R46" i="7"/>
  <c r="P46" i="7"/>
  <c r="O46" i="7"/>
  <c r="M46" i="7"/>
  <c r="L46" i="7"/>
  <c r="J46" i="7"/>
  <c r="I46" i="7"/>
  <c r="V45" i="7"/>
  <c r="U45" i="7"/>
  <c r="R45" i="7"/>
  <c r="P45" i="7"/>
  <c r="O45" i="7"/>
  <c r="L45" i="7"/>
  <c r="J45" i="7"/>
  <c r="I45" i="7"/>
  <c r="F45" i="7"/>
  <c r="S45" i="7" s="1"/>
  <c r="V44" i="7"/>
  <c r="P44" i="7"/>
  <c r="O44" i="7"/>
  <c r="M44" i="7"/>
  <c r="J44" i="7"/>
  <c r="F44" i="7"/>
  <c r="L44" i="7" s="1"/>
  <c r="U43" i="7"/>
  <c r="S43" i="7"/>
  <c r="R43" i="7"/>
  <c r="I43" i="7"/>
  <c r="F43" i="7"/>
  <c r="V42" i="7"/>
  <c r="S42" i="7"/>
  <c r="M42" i="7"/>
  <c r="L42" i="7"/>
  <c r="J42" i="7"/>
  <c r="F42" i="7"/>
  <c r="V41" i="7"/>
  <c r="U41" i="7"/>
  <c r="R41" i="7"/>
  <c r="P41" i="7"/>
  <c r="O41" i="7"/>
  <c r="M41" i="7"/>
  <c r="L41" i="7"/>
  <c r="J41" i="7"/>
  <c r="I41" i="7"/>
  <c r="F41" i="7"/>
  <c r="S41" i="7" s="1"/>
  <c r="U40" i="7"/>
  <c r="S40" i="7"/>
  <c r="P40" i="7"/>
  <c r="J40" i="7"/>
  <c r="F40" i="7"/>
  <c r="V40" i="7" s="1"/>
  <c r="U39" i="7"/>
  <c r="R39" i="7"/>
  <c r="O39" i="7"/>
  <c r="M39" i="7"/>
  <c r="L39" i="7"/>
  <c r="I39" i="7"/>
  <c r="F39" i="7"/>
  <c r="V39" i="7" s="1"/>
  <c r="F38" i="7"/>
  <c r="V37" i="7"/>
  <c r="U37" i="7"/>
  <c r="R37" i="7"/>
  <c r="P37" i="7"/>
  <c r="O37" i="7"/>
  <c r="L37" i="7"/>
  <c r="J37" i="7"/>
  <c r="I37" i="7"/>
  <c r="F37" i="7"/>
  <c r="S37" i="7" s="1"/>
  <c r="V36" i="7"/>
  <c r="P36" i="7"/>
  <c r="O36" i="7"/>
  <c r="M36" i="7"/>
  <c r="J36" i="7"/>
  <c r="F36" i="7"/>
  <c r="L36" i="7" s="1"/>
  <c r="U35" i="7"/>
  <c r="S35" i="7"/>
  <c r="R35" i="7"/>
  <c r="I35" i="7"/>
  <c r="F35" i="7"/>
  <c r="V34" i="7"/>
  <c r="S34" i="7"/>
  <c r="M34" i="7"/>
  <c r="L34" i="7"/>
  <c r="J34" i="7"/>
  <c r="F34" i="7"/>
  <c r="V33" i="7"/>
  <c r="U33" i="7"/>
  <c r="R33" i="7"/>
  <c r="P33" i="7"/>
  <c r="O33" i="7"/>
  <c r="M33" i="7"/>
  <c r="L33" i="7"/>
  <c r="J33" i="7"/>
  <c r="I33" i="7"/>
  <c r="F33" i="7"/>
  <c r="S33" i="7" s="1"/>
  <c r="U32" i="7"/>
  <c r="S32" i="7"/>
  <c r="P32" i="7"/>
  <c r="J32" i="7"/>
  <c r="F32" i="7"/>
  <c r="V32" i="7" s="1"/>
  <c r="U31" i="7"/>
  <c r="R31" i="7"/>
  <c r="O31" i="7"/>
  <c r="M31" i="7"/>
  <c r="L31" i="7"/>
  <c r="I31" i="7"/>
  <c r="F31" i="7"/>
  <c r="V31" i="7" s="1"/>
  <c r="F30" i="7"/>
  <c r="V29" i="7"/>
  <c r="U29" i="7"/>
  <c r="R29" i="7"/>
  <c r="P29" i="7"/>
  <c r="O29" i="7"/>
  <c r="L29" i="7"/>
  <c r="J29" i="7"/>
  <c r="I29" i="7"/>
  <c r="F29" i="7"/>
  <c r="S29" i="7" s="1"/>
  <c r="V28" i="7"/>
  <c r="P28" i="7"/>
  <c r="O28" i="7"/>
  <c r="M28" i="7"/>
  <c r="J28" i="7"/>
  <c r="F28" i="7"/>
  <c r="L28" i="7" s="1"/>
  <c r="U27" i="7"/>
  <c r="S27" i="7"/>
  <c r="R27" i="7"/>
  <c r="I27" i="7"/>
  <c r="F27" i="7"/>
  <c r="V26" i="7"/>
  <c r="S26" i="7"/>
  <c r="M26" i="7"/>
  <c r="L26" i="7"/>
  <c r="J26" i="7"/>
  <c r="F26" i="7"/>
  <c r="V25" i="7"/>
  <c r="U25" i="7"/>
  <c r="R25" i="7"/>
  <c r="P25" i="7"/>
  <c r="O25" i="7"/>
  <c r="M25" i="7"/>
  <c r="L25" i="7"/>
  <c r="J25" i="7"/>
  <c r="I25" i="7"/>
  <c r="F25" i="7"/>
  <c r="S25" i="7" s="1"/>
  <c r="U24" i="7"/>
  <c r="S24" i="7"/>
  <c r="P24" i="7"/>
  <c r="J24" i="7"/>
  <c r="F24" i="7"/>
  <c r="V24" i="7" s="1"/>
  <c r="U23" i="7"/>
  <c r="R23" i="7"/>
  <c r="O23" i="7"/>
  <c r="M23" i="7"/>
  <c r="L23" i="7"/>
  <c r="I23" i="7"/>
  <c r="F23" i="7"/>
  <c r="V23" i="7" s="1"/>
  <c r="F22" i="7"/>
  <c r="V21" i="7"/>
  <c r="U21" i="7"/>
  <c r="R21" i="7"/>
  <c r="P21" i="7"/>
  <c r="O21" i="7"/>
  <c r="L21" i="7"/>
  <c r="J21" i="7"/>
  <c r="I21" i="7"/>
  <c r="F21" i="7"/>
  <c r="S21" i="7" s="1"/>
  <c r="V20" i="7"/>
  <c r="P20" i="7"/>
  <c r="O20" i="7"/>
  <c r="M20" i="7"/>
  <c r="J20" i="7"/>
  <c r="F20" i="7"/>
  <c r="L20" i="7" s="1"/>
  <c r="U19" i="7"/>
  <c r="S19" i="7"/>
  <c r="R19" i="7"/>
  <c r="I19" i="7"/>
  <c r="F19" i="7"/>
  <c r="V18" i="7"/>
  <c r="S18" i="7"/>
  <c r="M18" i="7"/>
  <c r="L18" i="7"/>
  <c r="J18" i="7"/>
  <c r="F18" i="7"/>
  <c r="V17" i="7"/>
  <c r="U17" i="7"/>
  <c r="R17" i="7"/>
  <c r="P17" i="7"/>
  <c r="O17" i="7"/>
  <c r="M17" i="7"/>
  <c r="L17" i="7"/>
  <c r="J17" i="7"/>
  <c r="I17" i="7"/>
  <c r="F17" i="7"/>
  <c r="S17" i="7" s="1"/>
  <c r="U16" i="7"/>
  <c r="S16" i="7"/>
  <c r="P16" i="7"/>
  <c r="J16" i="7"/>
  <c r="F16" i="7"/>
  <c r="V16" i="7" s="1"/>
  <c r="U15" i="7"/>
  <c r="R15" i="7"/>
  <c r="O15" i="7"/>
  <c r="M15" i="7"/>
  <c r="L15" i="7"/>
  <c r="I15" i="7"/>
  <c r="F15" i="7"/>
  <c r="V15" i="7" s="1"/>
  <c r="P14" i="7"/>
  <c r="F14" i="7"/>
  <c r="V13" i="7"/>
  <c r="U13" i="7"/>
  <c r="R13" i="7"/>
  <c r="P13" i="7"/>
  <c r="O13" i="7"/>
  <c r="L13" i="7"/>
  <c r="J13" i="7"/>
  <c r="I13" i="7"/>
  <c r="F13" i="7"/>
  <c r="S13" i="7" s="1"/>
  <c r="F12" i="7"/>
  <c r="F11" i="7"/>
  <c r="J10" i="7"/>
  <c r="F10" i="7"/>
  <c r="H430" i="6"/>
  <c r="H429" i="6"/>
  <c r="F429" i="6"/>
  <c r="H428" i="6"/>
  <c r="F428" i="6"/>
  <c r="H427" i="6"/>
  <c r="F427" i="6"/>
  <c r="H426" i="6"/>
  <c r="F426" i="6"/>
  <c r="H425" i="6"/>
  <c r="F425" i="6"/>
  <c r="H424" i="6"/>
  <c r="F424" i="6"/>
  <c r="H423" i="6"/>
  <c r="F423" i="6"/>
  <c r="H422" i="6"/>
  <c r="F422" i="6"/>
  <c r="H421" i="6"/>
  <c r="F421" i="6"/>
  <c r="H420" i="6"/>
  <c r="F420" i="6"/>
  <c r="H419" i="6"/>
  <c r="F419" i="6"/>
  <c r="H418" i="6"/>
  <c r="F418" i="6"/>
  <c r="H417" i="6"/>
  <c r="F417" i="6"/>
  <c r="H416" i="6"/>
  <c r="F416" i="6"/>
  <c r="H415" i="6"/>
  <c r="F415" i="6"/>
  <c r="H414" i="6"/>
  <c r="F414" i="6"/>
  <c r="H413" i="6"/>
  <c r="F413" i="6"/>
  <c r="H412" i="6"/>
  <c r="F412" i="6"/>
  <c r="H411" i="6"/>
  <c r="F411" i="6"/>
  <c r="H410" i="6"/>
  <c r="F410" i="6"/>
  <c r="H409" i="6"/>
  <c r="F409" i="6"/>
  <c r="H408" i="6"/>
  <c r="F408" i="6"/>
  <c r="H407" i="6"/>
  <c r="F407" i="6"/>
  <c r="H406" i="6"/>
  <c r="F406" i="6"/>
  <c r="H405" i="6"/>
  <c r="F405" i="6"/>
  <c r="H404" i="6"/>
  <c r="F404" i="6"/>
  <c r="H403" i="6"/>
  <c r="F403" i="6"/>
  <c r="H402" i="6"/>
  <c r="F402" i="6"/>
  <c r="H401" i="6"/>
  <c r="F401" i="6"/>
  <c r="H400" i="6"/>
  <c r="F400" i="6"/>
  <c r="H399" i="6"/>
  <c r="F399" i="6"/>
  <c r="H398" i="6"/>
  <c r="F398" i="6"/>
  <c r="H397" i="6"/>
  <c r="F397" i="6"/>
  <c r="H396" i="6"/>
  <c r="F396" i="6"/>
  <c r="H395" i="6"/>
  <c r="F395" i="6"/>
  <c r="H394" i="6"/>
  <c r="F394" i="6"/>
  <c r="H393" i="6"/>
  <c r="F393" i="6"/>
  <c r="H392" i="6"/>
  <c r="F392" i="6"/>
  <c r="H391" i="6"/>
  <c r="F391" i="6"/>
  <c r="H390" i="6"/>
  <c r="F390" i="6"/>
  <c r="H389" i="6"/>
  <c r="F389" i="6"/>
  <c r="H388" i="6"/>
  <c r="F388" i="6"/>
  <c r="H387" i="6"/>
  <c r="F387" i="6"/>
  <c r="H386" i="6"/>
  <c r="F386" i="6"/>
  <c r="H385" i="6"/>
  <c r="F385" i="6"/>
  <c r="H384" i="6"/>
  <c r="F384" i="6"/>
  <c r="H383" i="6"/>
  <c r="F383" i="6"/>
  <c r="H382" i="6"/>
  <c r="F382" i="6"/>
  <c r="H381" i="6"/>
  <c r="F381" i="6"/>
  <c r="H380" i="6"/>
  <c r="F380" i="6"/>
  <c r="H379" i="6"/>
  <c r="F379" i="6"/>
  <c r="H378" i="6"/>
  <c r="F378" i="6"/>
  <c r="H377" i="6"/>
  <c r="F377" i="6"/>
  <c r="H376" i="6"/>
  <c r="F376" i="6"/>
  <c r="H375" i="6"/>
  <c r="F375" i="6"/>
  <c r="H374" i="6"/>
  <c r="F374" i="6"/>
  <c r="H373" i="6"/>
  <c r="F373" i="6"/>
  <c r="H372" i="6"/>
  <c r="F372" i="6"/>
  <c r="H371" i="6"/>
  <c r="F371" i="6"/>
  <c r="H370" i="6"/>
  <c r="F370" i="6"/>
  <c r="H369" i="6"/>
  <c r="F369" i="6"/>
  <c r="H368" i="6"/>
  <c r="F368" i="6"/>
  <c r="H367" i="6"/>
  <c r="F367" i="6"/>
  <c r="H366" i="6"/>
  <c r="F366" i="6"/>
  <c r="H365" i="6"/>
  <c r="F365" i="6"/>
  <c r="H364" i="6"/>
  <c r="F364" i="6"/>
  <c r="H363" i="6"/>
  <c r="F363" i="6"/>
  <c r="H362" i="6"/>
  <c r="F362" i="6"/>
  <c r="H361" i="6"/>
  <c r="F361" i="6"/>
  <c r="H360" i="6"/>
  <c r="F360" i="6"/>
  <c r="H359" i="6"/>
  <c r="F359" i="6"/>
  <c r="H358" i="6"/>
  <c r="F358" i="6"/>
  <c r="H357" i="6"/>
  <c r="F357" i="6"/>
  <c r="H356" i="6"/>
  <c r="F356" i="6"/>
  <c r="H355" i="6"/>
  <c r="F355" i="6"/>
  <c r="H354" i="6"/>
  <c r="F354" i="6"/>
  <c r="H353" i="6"/>
  <c r="F353" i="6"/>
  <c r="H352" i="6"/>
  <c r="F352" i="6"/>
  <c r="H351" i="6"/>
  <c r="F351" i="6"/>
  <c r="H350" i="6"/>
  <c r="F350" i="6"/>
  <c r="H349" i="6"/>
  <c r="F349" i="6"/>
  <c r="H348" i="6"/>
  <c r="F348" i="6"/>
  <c r="H347" i="6"/>
  <c r="F347" i="6"/>
  <c r="H346" i="6"/>
  <c r="F346" i="6"/>
  <c r="H345" i="6"/>
  <c r="F345" i="6"/>
  <c r="H344" i="6"/>
  <c r="F344" i="6"/>
  <c r="H343" i="6"/>
  <c r="F343" i="6"/>
  <c r="H342" i="6"/>
  <c r="F342" i="6"/>
  <c r="H341" i="6"/>
  <c r="F341" i="6"/>
  <c r="H340" i="6"/>
  <c r="F340" i="6"/>
  <c r="H339" i="6"/>
  <c r="F339" i="6"/>
  <c r="H338" i="6"/>
  <c r="F338" i="6"/>
  <c r="H337" i="6"/>
  <c r="F337" i="6"/>
  <c r="H336" i="6"/>
  <c r="H335" i="6"/>
  <c r="F335" i="6"/>
  <c r="H334" i="6"/>
  <c r="F334" i="6"/>
  <c r="H333" i="6"/>
  <c r="F333" i="6"/>
  <c r="H332" i="6"/>
  <c r="F332" i="6"/>
  <c r="H331" i="6"/>
  <c r="F331" i="6"/>
  <c r="H330" i="6"/>
  <c r="F330" i="6"/>
  <c r="H329" i="6"/>
  <c r="F329" i="6"/>
  <c r="H328" i="6"/>
  <c r="F328" i="6"/>
  <c r="H327" i="6"/>
  <c r="F327" i="6"/>
  <c r="H326" i="6"/>
  <c r="F326" i="6"/>
  <c r="H325" i="6"/>
  <c r="F325" i="6"/>
  <c r="H324" i="6"/>
  <c r="F324" i="6"/>
  <c r="H323" i="6"/>
  <c r="F323" i="6"/>
  <c r="H322" i="6"/>
  <c r="F322" i="6"/>
  <c r="H321" i="6"/>
  <c r="F321" i="6"/>
  <c r="H320" i="6"/>
  <c r="F320" i="6"/>
  <c r="H319" i="6"/>
  <c r="F319" i="6"/>
  <c r="H318" i="6"/>
  <c r="F318" i="6"/>
  <c r="H317" i="6"/>
  <c r="F317" i="6"/>
  <c r="H316" i="6"/>
  <c r="F316" i="6"/>
  <c r="H315" i="6"/>
  <c r="F315" i="6"/>
  <c r="H314" i="6"/>
  <c r="F314" i="6"/>
  <c r="H313" i="6"/>
  <c r="F313" i="6"/>
  <c r="H312" i="6"/>
  <c r="F312" i="6"/>
  <c r="H311" i="6"/>
  <c r="F311" i="6"/>
  <c r="H310" i="6"/>
  <c r="F310" i="6"/>
  <c r="H309" i="6"/>
  <c r="F309" i="6"/>
  <c r="H308" i="6"/>
  <c r="F308" i="6"/>
  <c r="H307" i="6"/>
  <c r="F307" i="6"/>
  <c r="H306" i="6"/>
  <c r="F306" i="6"/>
  <c r="H305" i="6"/>
  <c r="F305" i="6"/>
  <c r="H304" i="6"/>
  <c r="F304" i="6"/>
  <c r="H303" i="6"/>
  <c r="F303" i="6"/>
  <c r="H302" i="6"/>
  <c r="F302" i="6"/>
  <c r="H301" i="6"/>
  <c r="F301" i="6"/>
  <c r="H300" i="6"/>
  <c r="F300" i="6"/>
  <c r="H299" i="6"/>
  <c r="F299" i="6"/>
  <c r="H298" i="6"/>
  <c r="F298" i="6"/>
  <c r="H297" i="6"/>
  <c r="F297" i="6"/>
  <c r="V291" i="6"/>
  <c r="S291" i="6"/>
  <c r="P291" i="6"/>
  <c r="M291" i="6"/>
  <c r="J291" i="6"/>
  <c r="V290" i="6"/>
  <c r="S290" i="6"/>
  <c r="P290" i="6"/>
  <c r="F290" i="6"/>
  <c r="M290" i="6" s="1"/>
  <c r="V289" i="6"/>
  <c r="S289" i="6"/>
  <c r="P289" i="6"/>
  <c r="M289" i="6"/>
  <c r="J289" i="6"/>
  <c r="F289" i="6"/>
  <c r="F288" i="6"/>
  <c r="V287" i="6"/>
  <c r="P287" i="6"/>
  <c r="J287" i="6"/>
  <c r="F287" i="6"/>
  <c r="S287" i="6" s="1"/>
  <c r="F286" i="6"/>
  <c r="P286" i="6" s="1"/>
  <c r="V285" i="6"/>
  <c r="S285" i="6"/>
  <c r="P285" i="6"/>
  <c r="M285" i="6"/>
  <c r="J285" i="6"/>
  <c r="F285" i="6"/>
  <c r="S284" i="6"/>
  <c r="F284" i="6"/>
  <c r="P284" i="6" s="1"/>
  <c r="V283" i="6"/>
  <c r="P283" i="6"/>
  <c r="M283" i="6"/>
  <c r="J283" i="6"/>
  <c r="F283" i="6"/>
  <c r="S283" i="6" s="1"/>
  <c r="F282" i="6"/>
  <c r="V281" i="6"/>
  <c r="S281" i="6"/>
  <c r="P281" i="6"/>
  <c r="M281" i="6"/>
  <c r="J281" i="6"/>
  <c r="F281" i="6"/>
  <c r="V280" i="6"/>
  <c r="S280" i="6"/>
  <c r="P280" i="6"/>
  <c r="M280" i="6"/>
  <c r="F280" i="6"/>
  <c r="J280" i="6" s="1"/>
  <c r="P279" i="6"/>
  <c r="M279" i="6"/>
  <c r="J279" i="6"/>
  <c r="F279" i="6"/>
  <c r="S279" i="6" s="1"/>
  <c r="V278" i="6"/>
  <c r="F278" i="6"/>
  <c r="M278" i="6" s="1"/>
  <c r="V277" i="6"/>
  <c r="S277" i="6"/>
  <c r="P277" i="6"/>
  <c r="M277" i="6"/>
  <c r="J277" i="6"/>
  <c r="F277" i="6"/>
  <c r="F276" i="6"/>
  <c r="J275" i="6"/>
  <c r="F275" i="6"/>
  <c r="S275" i="6" s="1"/>
  <c r="V274" i="6"/>
  <c r="S274" i="6"/>
  <c r="P274" i="6"/>
  <c r="F274" i="6"/>
  <c r="M274" i="6" s="1"/>
  <c r="V273" i="6"/>
  <c r="S273" i="6"/>
  <c r="P273" i="6"/>
  <c r="M273" i="6"/>
  <c r="J273" i="6"/>
  <c r="F273" i="6"/>
  <c r="F272" i="6"/>
  <c r="V271" i="6"/>
  <c r="P271" i="6"/>
  <c r="J271" i="6"/>
  <c r="F271" i="6"/>
  <c r="S271" i="6" s="1"/>
  <c r="F270" i="6"/>
  <c r="P270" i="6" s="1"/>
  <c r="V269" i="6"/>
  <c r="S269" i="6"/>
  <c r="P269" i="6"/>
  <c r="M269" i="6"/>
  <c r="J269" i="6"/>
  <c r="F269" i="6"/>
  <c r="S268" i="6"/>
  <c r="F268" i="6"/>
  <c r="P268" i="6" s="1"/>
  <c r="V267" i="6"/>
  <c r="P267" i="6"/>
  <c r="M267" i="6"/>
  <c r="J267" i="6"/>
  <c r="F267" i="6"/>
  <c r="S267" i="6" s="1"/>
  <c r="F266" i="6"/>
  <c r="V265" i="6"/>
  <c r="S265" i="6"/>
  <c r="P265" i="6"/>
  <c r="M265" i="6"/>
  <c r="J265" i="6"/>
  <c r="F265" i="6"/>
  <c r="V264" i="6"/>
  <c r="S264" i="6"/>
  <c r="P264" i="6"/>
  <c r="M264" i="6"/>
  <c r="F264" i="6"/>
  <c r="J264" i="6" s="1"/>
  <c r="P263" i="6"/>
  <c r="M263" i="6"/>
  <c r="J263" i="6"/>
  <c r="F263" i="6"/>
  <c r="S263" i="6" s="1"/>
  <c r="V262" i="6"/>
  <c r="F262" i="6"/>
  <c r="M262" i="6" s="1"/>
  <c r="V261" i="6"/>
  <c r="S261" i="6"/>
  <c r="P261" i="6"/>
  <c r="M261" i="6"/>
  <c r="J261" i="6"/>
  <c r="F261" i="6"/>
  <c r="M260" i="6"/>
  <c r="F260" i="6"/>
  <c r="J259" i="6"/>
  <c r="F259" i="6"/>
  <c r="S259" i="6" s="1"/>
  <c r="V258" i="6"/>
  <c r="S258" i="6"/>
  <c r="P258" i="6"/>
  <c r="F258" i="6"/>
  <c r="M258" i="6" s="1"/>
  <c r="V257" i="6"/>
  <c r="S257" i="6"/>
  <c r="P257" i="6"/>
  <c r="M257" i="6"/>
  <c r="J257" i="6"/>
  <c r="F257" i="6"/>
  <c r="F256" i="6"/>
  <c r="V255" i="6"/>
  <c r="P255" i="6"/>
  <c r="J255" i="6"/>
  <c r="F255" i="6"/>
  <c r="S255" i="6" s="1"/>
  <c r="F254" i="6"/>
  <c r="V253" i="6"/>
  <c r="S253" i="6"/>
  <c r="P253" i="6"/>
  <c r="M253" i="6"/>
  <c r="J253" i="6"/>
  <c r="F253" i="6"/>
  <c r="S252" i="6"/>
  <c r="F252" i="6"/>
  <c r="P252" i="6" s="1"/>
  <c r="V251" i="6"/>
  <c r="P251" i="6"/>
  <c r="M251" i="6"/>
  <c r="J251" i="6"/>
  <c r="F251" i="6"/>
  <c r="S251" i="6" s="1"/>
  <c r="F250" i="6"/>
  <c r="V249" i="6"/>
  <c r="S249" i="6"/>
  <c r="P249" i="6"/>
  <c r="M249" i="6"/>
  <c r="J249" i="6"/>
  <c r="F249" i="6"/>
  <c r="V248" i="6"/>
  <c r="S248" i="6"/>
  <c r="P248" i="6"/>
  <c r="M248" i="6"/>
  <c r="F248" i="6"/>
  <c r="J248" i="6" s="1"/>
  <c r="P247" i="6"/>
  <c r="M247" i="6"/>
  <c r="J247" i="6"/>
  <c r="F247" i="6"/>
  <c r="S247" i="6" s="1"/>
  <c r="V246" i="6"/>
  <c r="F246" i="6"/>
  <c r="M246" i="6" s="1"/>
  <c r="V245" i="6"/>
  <c r="S245" i="6"/>
  <c r="P245" i="6"/>
  <c r="M245" i="6"/>
  <c r="J245" i="6"/>
  <c r="F245" i="6"/>
  <c r="M244" i="6"/>
  <c r="F244" i="6"/>
  <c r="J243" i="6"/>
  <c r="F243" i="6"/>
  <c r="S243" i="6" s="1"/>
  <c r="V242" i="6"/>
  <c r="S242" i="6"/>
  <c r="P242" i="6"/>
  <c r="F242" i="6"/>
  <c r="M242" i="6" s="1"/>
  <c r="V241" i="6"/>
  <c r="S241" i="6"/>
  <c r="P241" i="6"/>
  <c r="M241" i="6"/>
  <c r="J241" i="6"/>
  <c r="F241" i="6"/>
  <c r="F240" i="6"/>
  <c r="V239" i="6"/>
  <c r="P239" i="6"/>
  <c r="J239" i="6"/>
  <c r="F239" i="6"/>
  <c r="S239" i="6" s="1"/>
  <c r="F238" i="6"/>
  <c r="V237" i="6"/>
  <c r="S237" i="6"/>
  <c r="P237" i="6"/>
  <c r="M237" i="6"/>
  <c r="J237" i="6"/>
  <c r="F237" i="6"/>
  <c r="S236" i="6"/>
  <c r="F236" i="6"/>
  <c r="P236" i="6" s="1"/>
  <c r="V235" i="6"/>
  <c r="P235" i="6"/>
  <c r="M235" i="6"/>
  <c r="J235" i="6"/>
  <c r="F235" i="6"/>
  <c r="S235" i="6" s="1"/>
  <c r="F234" i="6"/>
  <c r="V233" i="6"/>
  <c r="S233" i="6"/>
  <c r="P233" i="6"/>
  <c r="M233" i="6"/>
  <c r="J233" i="6"/>
  <c r="F233" i="6"/>
  <c r="V232" i="6"/>
  <c r="S232" i="6"/>
  <c r="P232" i="6"/>
  <c r="M232" i="6"/>
  <c r="F232" i="6"/>
  <c r="J232" i="6" s="1"/>
  <c r="P231" i="6"/>
  <c r="M231" i="6"/>
  <c r="J231" i="6"/>
  <c r="F231" i="6"/>
  <c r="S231" i="6" s="1"/>
  <c r="V230" i="6"/>
  <c r="F230" i="6"/>
  <c r="M230" i="6" s="1"/>
  <c r="V229" i="6"/>
  <c r="S229" i="6"/>
  <c r="P229" i="6"/>
  <c r="M229" i="6"/>
  <c r="J229" i="6"/>
  <c r="F229" i="6"/>
  <c r="M228" i="6"/>
  <c r="F228" i="6"/>
  <c r="J227" i="6"/>
  <c r="F227" i="6"/>
  <c r="S227" i="6" s="1"/>
  <c r="V226" i="6"/>
  <c r="S226" i="6"/>
  <c r="P226" i="6"/>
  <c r="F226" i="6"/>
  <c r="M226" i="6" s="1"/>
  <c r="V225" i="6"/>
  <c r="S225" i="6"/>
  <c r="P225" i="6"/>
  <c r="M225" i="6"/>
  <c r="J225" i="6"/>
  <c r="F225" i="6"/>
  <c r="F224" i="6"/>
  <c r="V223" i="6"/>
  <c r="P223" i="6"/>
  <c r="J223" i="6"/>
  <c r="F223" i="6"/>
  <c r="S223" i="6" s="1"/>
  <c r="F222" i="6"/>
  <c r="V221" i="6"/>
  <c r="S221" i="6"/>
  <c r="P221" i="6"/>
  <c r="M221" i="6"/>
  <c r="J221" i="6"/>
  <c r="F221" i="6"/>
  <c r="S220" i="6"/>
  <c r="F220" i="6"/>
  <c r="P220" i="6" s="1"/>
  <c r="V219" i="6"/>
  <c r="P219" i="6"/>
  <c r="M219" i="6"/>
  <c r="J219" i="6"/>
  <c r="F219" i="6"/>
  <c r="S219" i="6" s="1"/>
  <c r="F218" i="6"/>
  <c r="V217" i="6"/>
  <c r="S217" i="6"/>
  <c r="P217" i="6"/>
  <c r="M217" i="6"/>
  <c r="J217" i="6"/>
  <c r="F217" i="6"/>
  <c r="V216" i="6"/>
  <c r="S216" i="6"/>
  <c r="P216" i="6"/>
  <c r="M216" i="6"/>
  <c r="F216" i="6"/>
  <c r="J216" i="6" s="1"/>
  <c r="P215" i="6"/>
  <c r="M215" i="6"/>
  <c r="J215" i="6"/>
  <c r="F215" i="6"/>
  <c r="S215" i="6" s="1"/>
  <c r="V214" i="6"/>
  <c r="F214" i="6"/>
  <c r="M214" i="6" s="1"/>
  <c r="V213" i="6"/>
  <c r="S213" i="6"/>
  <c r="P213" i="6"/>
  <c r="M213" i="6"/>
  <c r="J213" i="6"/>
  <c r="F213" i="6"/>
  <c r="F212" i="6"/>
  <c r="J211" i="6"/>
  <c r="F211" i="6"/>
  <c r="S211" i="6" s="1"/>
  <c r="V210" i="6"/>
  <c r="S210" i="6"/>
  <c r="P210" i="6"/>
  <c r="F210" i="6"/>
  <c r="M210" i="6" s="1"/>
  <c r="V209" i="6"/>
  <c r="S209" i="6"/>
  <c r="P209" i="6"/>
  <c r="M209" i="6"/>
  <c r="J209" i="6"/>
  <c r="F209" i="6"/>
  <c r="F208" i="6"/>
  <c r="V207" i="6"/>
  <c r="P207" i="6"/>
  <c r="J207" i="6"/>
  <c r="F207" i="6"/>
  <c r="S207" i="6" s="1"/>
  <c r="F206" i="6"/>
  <c r="V205" i="6"/>
  <c r="S205" i="6"/>
  <c r="P205" i="6"/>
  <c r="M205" i="6"/>
  <c r="J205" i="6"/>
  <c r="F205" i="6"/>
  <c r="S204" i="6"/>
  <c r="F204" i="6"/>
  <c r="P204" i="6" s="1"/>
  <c r="V203" i="6"/>
  <c r="P203" i="6"/>
  <c r="M203" i="6"/>
  <c r="J203" i="6"/>
  <c r="F203" i="6"/>
  <c r="S203" i="6" s="1"/>
  <c r="F202" i="6"/>
  <c r="V201" i="6"/>
  <c r="S201" i="6"/>
  <c r="P201" i="6"/>
  <c r="M201" i="6"/>
  <c r="J201" i="6"/>
  <c r="F201" i="6"/>
  <c r="V200" i="6"/>
  <c r="S200" i="6"/>
  <c r="P200" i="6"/>
  <c r="M200" i="6"/>
  <c r="F200" i="6"/>
  <c r="J200" i="6" s="1"/>
  <c r="V199" i="6"/>
  <c r="S199" i="6"/>
  <c r="P199" i="6"/>
  <c r="M199" i="6"/>
  <c r="J199" i="6"/>
  <c r="V198" i="6"/>
  <c r="F198" i="6"/>
  <c r="J198" i="6" s="1"/>
  <c r="V197" i="6"/>
  <c r="S197" i="6"/>
  <c r="P197" i="6"/>
  <c r="M197" i="6"/>
  <c r="F197" i="6"/>
  <c r="J197" i="6" s="1"/>
  <c r="P196" i="6"/>
  <c r="M196" i="6"/>
  <c r="J196" i="6"/>
  <c r="F196" i="6"/>
  <c r="V196" i="6" s="1"/>
  <c r="V195" i="6"/>
  <c r="F195" i="6"/>
  <c r="P195" i="6" s="1"/>
  <c r="V194" i="6"/>
  <c r="S194" i="6"/>
  <c r="P194" i="6"/>
  <c r="M194" i="6"/>
  <c r="F194" i="6"/>
  <c r="J194" i="6" s="1"/>
  <c r="P193" i="6"/>
  <c r="M193" i="6"/>
  <c r="J193" i="6"/>
  <c r="F193" i="6"/>
  <c r="V193" i="6" s="1"/>
  <c r="S192" i="6"/>
  <c r="F192" i="6"/>
  <c r="V192" i="6" s="1"/>
  <c r="V191" i="6"/>
  <c r="S191" i="6"/>
  <c r="M191" i="6"/>
  <c r="J191" i="6"/>
  <c r="F191" i="6"/>
  <c r="P191" i="6" s="1"/>
  <c r="F190" i="6"/>
  <c r="F189" i="6"/>
  <c r="S188" i="6"/>
  <c r="P188" i="6"/>
  <c r="M188" i="6"/>
  <c r="J188" i="6"/>
  <c r="F188" i="6"/>
  <c r="V188" i="6" s="1"/>
  <c r="F187" i="6"/>
  <c r="V186" i="6"/>
  <c r="S186" i="6"/>
  <c r="M186" i="6"/>
  <c r="F186" i="6"/>
  <c r="J186" i="6" s="1"/>
  <c r="V185" i="6"/>
  <c r="S185" i="6"/>
  <c r="P185" i="6"/>
  <c r="M185" i="6"/>
  <c r="J185" i="6"/>
  <c r="F185" i="6"/>
  <c r="M184" i="6"/>
  <c r="F184" i="6"/>
  <c r="V183" i="6"/>
  <c r="S183" i="6"/>
  <c r="J183" i="6"/>
  <c r="F183" i="6"/>
  <c r="P183" i="6" s="1"/>
  <c r="F182" i="6"/>
  <c r="P182" i="6" s="1"/>
  <c r="F181" i="6"/>
  <c r="S180" i="6"/>
  <c r="P180" i="6"/>
  <c r="J180" i="6"/>
  <c r="F180" i="6"/>
  <c r="V180" i="6" s="1"/>
  <c r="M179" i="6"/>
  <c r="F179" i="6"/>
  <c r="M178" i="6"/>
  <c r="F178" i="6"/>
  <c r="J178" i="6" s="1"/>
  <c r="V177" i="6"/>
  <c r="S177" i="6"/>
  <c r="P177" i="6"/>
  <c r="J177" i="6"/>
  <c r="F177" i="6"/>
  <c r="M177" i="6" s="1"/>
  <c r="S176" i="6"/>
  <c r="M176" i="6"/>
  <c r="F176" i="6"/>
  <c r="J175" i="6"/>
  <c r="F175" i="6"/>
  <c r="P175" i="6" s="1"/>
  <c r="V174" i="6"/>
  <c r="S174" i="6"/>
  <c r="P174" i="6"/>
  <c r="F174" i="6"/>
  <c r="J174" i="6" s="1"/>
  <c r="S173" i="6"/>
  <c r="F173" i="6"/>
  <c r="J172" i="6"/>
  <c r="F172" i="6"/>
  <c r="V172" i="6" s="1"/>
  <c r="V171" i="6"/>
  <c r="S171" i="6"/>
  <c r="M171" i="6"/>
  <c r="F171" i="6"/>
  <c r="P171" i="6" s="1"/>
  <c r="S170" i="6"/>
  <c r="P170" i="6"/>
  <c r="M170" i="6"/>
  <c r="F170" i="6"/>
  <c r="J170" i="6" s="1"/>
  <c r="V169" i="6"/>
  <c r="J169" i="6"/>
  <c r="F169" i="6"/>
  <c r="S169" i="6" s="1"/>
  <c r="S168" i="6"/>
  <c r="P168" i="6"/>
  <c r="M168" i="6"/>
  <c r="F168" i="6"/>
  <c r="V168" i="6" s="1"/>
  <c r="S167" i="6"/>
  <c r="M167" i="6"/>
  <c r="J167" i="6"/>
  <c r="F167" i="6"/>
  <c r="P167" i="6" s="1"/>
  <c r="V166" i="6"/>
  <c r="F166" i="6"/>
  <c r="V165" i="6"/>
  <c r="S165" i="6"/>
  <c r="P165" i="6"/>
  <c r="M165" i="6"/>
  <c r="F165" i="6"/>
  <c r="J165" i="6" s="1"/>
  <c r="P164" i="6"/>
  <c r="M164" i="6"/>
  <c r="J164" i="6"/>
  <c r="F164" i="6"/>
  <c r="V164" i="6" s="1"/>
  <c r="F163" i="6"/>
  <c r="Q158" i="6"/>
  <c r="N158" i="6"/>
  <c r="K158" i="6"/>
  <c r="H158" i="6"/>
  <c r="E158" i="6"/>
  <c r="D158" i="6"/>
  <c r="T157" i="6"/>
  <c r="N157" i="6"/>
  <c r="K157" i="6"/>
  <c r="H157" i="6"/>
  <c r="E157" i="6"/>
  <c r="D157" i="6"/>
  <c r="T156" i="6"/>
  <c r="Q156" i="6"/>
  <c r="K156" i="6"/>
  <c r="H156" i="6"/>
  <c r="E156" i="6"/>
  <c r="D156" i="6"/>
  <c r="T155" i="6"/>
  <c r="Q155" i="6"/>
  <c r="N155" i="6"/>
  <c r="H155" i="6"/>
  <c r="E155" i="6"/>
  <c r="D155" i="6"/>
  <c r="T154" i="6"/>
  <c r="Q154" i="6"/>
  <c r="N154" i="6"/>
  <c r="K154" i="6"/>
  <c r="E154" i="6"/>
  <c r="D154" i="6"/>
  <c r="T152" i="6"/>
  <c r="Q152" i="6"/>
  <c r="N152" i="6"/>
  <c r="K152" i="6"/>
  <c r="H152" i="6"/>
  <c r="D152" i="6"/>
  <c r="T151" i="6"/>
  <c r="Q151" i="6"/>
  <c r="N151" i="6"/>
  <c r="K151" i="6"/>
  <c r="H151" i="6"/>
  <c r="E151" i="6"/>
  <c r="T149" i="6"/>
  <c r="Q149" i="6"/>
  <c r="N149" i="6"/>
  <c r="K149" i="6"/>
  <c r="H149" i="6"/>
  <c r="E149" i="6"/>
  <c r="D149" i="6"/>
  <c r="T148" i="6"/>
  <c r="Q148" i="6"/>
  <c r="N148" i="6"/>
  <c r="K148" i="6"/>
  <c r="H148" i="6"/>
  <c r="E148" i="6"/>
  <c r="D148" i="6"/>
  <c r="T147" i="6"/>
  <c r="Q147" i="6"/>
  <c r="N147" i="6"/>
  <c r="K147" i="6"/>
  <c r="H147" i="6"/>
  <c r="E147" i="6"/>
  <c r="D147" i="6"/>
  <c r="T146" i="6"/>
  <c r="Q146" i="6"/>
  <c r="N146" i="6"/>
  <c r="K146" i="6"/>
  <c r="H146" i="6"/>
  <c r="E146" i="6"/>
  <c r="D146" i="6"/>
  <c r="T145" i="6"/>
  <c r="Q145" i="6"/>
  <c r="N145" i="6"/>
  <c r="K145" i="6"/>
  <c r="H145" i="6"/>
  <c r="E145" i="6"/>
  <c r="D145" i="6"/>
  <c r="T144" i="6"/>
  <c r="Q144" i="6"/>
  <c r="N144" i="6"/>
  <c r="K144" i="6"/>
  <c r="H144" i="6"/>
  <c r="E144" i="6"/>
  <c r="D144" i="6"/>
  <c r="T143" i="6"/>
  <c r="Q143" i="6"/>
  <c r="N143" i="6"/>
  <c r="K143" i="6"/>
  <c r="H143" i="6"/>
  <c r="E143" i="6"/>
  <c r="D143" i="6"/>
  <c r="T142" i="6"/>
  <c r="Q142" i="6"/>
  <c r="N142" i="6"/>
  <c r="K142" i="6"/>
  <c r="H142" i="6"/>
  <c r="E142" i="6"/>
  <c r="D142" i="6"/>
  <c r="T141" i="6"/>
  <c r="Q141" i="6"/>
  <c r="N141" i="6"/>
  <c r="K141" i="6"/>
  <c r="H141" i="6"/>
  <c r="E141" i="6"/>
  <c r="D141" i="6"/>
  <c r="T140" i="6"/>
  <c r="Q140" i="6"/>
  <c r="N140" i="6"/>
  <c r="K140" i="6"/>
  <c r="H140" i="6"/>
  <c r="E140" i="6"/>
  <c r="D140" i="6"/>
  <c r="V138" i="6"/>
  <c r="U138" i="6"/>
  <c r="S138" i="6"/>
  <c r="R138" i="6"/>
  <c r="P138" i="6"/>
  <c r="O138" i="6"/>
  <c r="M138" i="6"/>
  <c r="L138" i="6"/>
  <c r="J138" i="6"/>
  <c r="I138" i="6"/>
  <c r="V137" i="6"/>
  <c r="S137" i="6"/>
  <c r="L137" i="6"/>
  <c r="J137" i="6"/>
  <c r="I137" i="6"/>
  <c r="F137" i="6"/>
  <c r="P137" i="6" s="1"/>
  <c r="V136" i="6"/>
  <c r="F136" i="6"/>
  <c r="R135" i="6"/>
  <c r="P135" i="6"/>
  <c r="O135" i="6"/>
  <c r="L135" i="6"/>
  <c r="J135" i="6"/>
  <c r="F135" i="6"/>
  <c r="M135" i="6" s="1"/>
  <c r="S134" i="6"/>
  <c r="M134" i="6"/>
  <c r="F134" i="6"/>
  <c r="U133" i="6"/>
  <c r="F133" i="6"/>
  <c r="V132" i="6"/>
  <c r="S132" i="6"/>
  <c r="L132" i="6"/>
  <c r="J132" i="6"/>
  <c r="I132" i="6"/>
  <c r="F132" i="6"/>
  <c r="O132" i="6" s="1"/>
  <c r="V131" i="6"/>
  <c r="U131" i="6"/>
  <c r="R131" i="6"/>
  <c r="P131" i="6"/>
  <c r="O131" i="6"/>
  <c r="M131" i="6"/>
  <c r="L131" i="6"/>
  <c r="J131" i="6"/>
  <c r="I131" i="6"/>
  <c r="F131" i="6"/>
  <c r="S131" i="6" s="1"/>
  <c r="V130" i="6"/>
  <c r="S130" i="6"/>
  <c r="R130" i="6"/>
  <c r="P130" i="6"/>
  <c r="O130" i="6"/>
  <c r="M130" i="6"/>
  <c r="I130" i="6"/>
  <c r="F130" i="6"/>
  <c r="L130" i="6" s="1"/>
  <c r="V129" i="6"/>
  <c r="U129" i="6"/>
  <c r="S129" i="6"/>
  <c r="O129" i="6"/>
  <c r="I129" i="6"/>
  <c r="F129" i="6"/>
  <c r="R128" i="6"/>
  <c r="J128" i="6"/>
  <c r="F128" i="6"/>
  <c r="U127" i="6"/>
  <c r="F127" i="6"/>
  <c r="P126" i="6"/>
  <c r="O126" i="6"/>
  <c r="M126" i="6"/>
  <c r="L126" i="6"/>
  <c r="J126" i="6"/>
  <c r="F126" i="6"/>
  <c r="R126" i="6" s="1"/>
  <c r="S125" i="6"/>
  <c r="R125" i="6"/>
  <c r="P125" i="6"/>
  <c r="O125" i="6"/>
  <c r="M125" i="6"/>
  <c r="I125" i="6"/>
  <c r="F125" i="6"/>
  <c r="S124" i="6"/>
  <c r="I124" i="6"/>
  <c r="F124" i="6"/>
  <c r="V123" i="6"/>
  <c r="U123" i="6"/>
  <c r="R123" i="6"/>
  <c r="P123" i="6"/>
  <c r="O123" i="6"/>
  <c r="M123" i="6"/>
  <c r="L123" i="6"/>
  <c r="J123" i="6"/>
  <c r="I123" i="6"/>
  <c r="F123" i="6"/>
  <c r="S123" i="6" s="1"/>
  <c r="V122" i="6"/>
  <c r="S122" i="6"/>
  <c r="R122" i="6"/>
  <c r="P122" i="6"/>
  <c r="O122" i="6"/>
  <c r="M122" i="6"/>
  <c r="J122" i="6"/>
  <c r="I122" i="6"/>
  <c r="F122" i="6"/>
  <c r="L122" i="6" s="1"/>
  <c r="V121" i="6"/>
  <c r="S121" i="6"/>
  <c r="R121" i="6"/>
  <c r="O121" i="6"/>
  <c r="M121" i="6"/>
  <c r="L121" i="6"/>
  <c r="I121" i="6"/>
  <c r="F121" i="6"/>
  <c r="P121" i="6" s="1"/>
  <c r="S120" i="6"/>
  <c r="O120" i="6"/>
  <c r="F120" i="6"/>
  <c r="V119" i="6"/>
  <c r="I119" i="6"/>
  <c r="F119" i="6"/>
  <c r="U118" i="6"/>
  <c r="M118" i="6"/>
  <c r="L118" i="6"/>
  <c r="J118" i="6"/>
  <c r="F118" i="6"/>
  <c r="S117" i="6"/>
  <c r="R117" i="6"/>
  <c r="P117" i="6"/>
  <c r="O117" i="6"/>
  <c r="M117" i="6"/>
  <c r="L117" i="6"/>
  <c r="I117" i="6"/>
  <c r="F117" i="6"/>
  <c r="V116" i="6"/>
  <c r="S116" i="6"/>
  <c r="R116" i="6"/>
  <c r="P116" i="6"/>
  <c r="M116" i="6"/>
  <c r="L116" i="6"/>
  <c r="I116" i="6"/>
  <c r="F116" i="6"/>
  <c r="O116" i="6" s="1"/>
  <c r="V115" i="6"/>
  <c r="U115" i="6"/>
  <c r="R115" i="6"/>
  <c r="P115" i="6"/>
  <c r="O115" i="6"/>
  <c r="M115" i="6"/>
  <c r="L115" i="6"/>
  <c r="J115" i="6"/>
  <c r="I115" i="6"/>
  <c r="F115" i="6"/>
  <c r="S115" i="6" s="1"/>
  <c r="V114" i="6"/>
  <c r="S114" i="6"/>
  <c r="M114" i="6"/>
  <c r="J114" i="6"/>
  <c r="I114" i="6"/>
  <c r="F114" i="6"/>
  <c r="L114" i="6" s="1"/>
  <c r="V113" i="6"/>
  <c r="S113" i="6"/>
  <c r="R113" i="6"/>
  <c r="O113" i="6"/>
  <c r="M113" i="6"/>
  <c r="L113" i="6"/>
  <c r="J113" i="6"/>
  <c r="I113" i="6"/>
  <c r="F113" i="6"/>
  <c r="P113" i="6" s="1"/>
  <c r="R112" i="6"/>
  <c r="P112" i="6"/>
  <c r="O112" i="6"/>
  <c r="M112" i="6"/>
  <c r="L112" i="6"/>
  <c r="F112" i="6"/>
  <c r="S112" i="6" s="1"/>
  <c r="F111" i="6"/>
  <c r="U110" i="6"/>
  <c r="F110" i="6"/>
  <c r="V110" i="6" s="1"/>
  <c r="S109" i="6"/>
  <c r="M109" i="6"/>
  <c r="L109" i="6"/>
  <c r="I109" i="6"/>
  <c r="F109" i="6"/>
  <c r="V108" i="6"/>
  <c r="S108" i="6"/>
  <c r="R108" i="6"/>
  <c r="P108" i="6"/>
  <c r="M108" i="6"/>
  <c r="L108" i="6"/>
  <c r="J108" i="6"/>
  <c r="I108" i="6"/>
  <c r="F108" i="6"/>
  <c r="O108" i="6" s="1"/>
  <c r="V107" i="6"/>
  <c r="U107" i="6"/>
  <c r="R107" i="6"/>
  <c r="P107" i="6"/>
  <c r="O107" i="6"/>
  <c r="M107" i="6"/>
  <c r="L107" i="6"/>
  <c r="J107" i="6"/>
  <c r="I107" i="6"/>
  <c r="F107" i="6"/>
  <c r="S107" i="6" s="1"/>
  <c r="V106" i="6"/>
  <c r="U106" i="6"/>
  <c r="S106" i="6"/>
  <c r="P106" i="6"/>
  <c r="I106" i="6"/>
  <c r="F106" i="6"/>
  <c r="V105" i="6"/>
  <c r="S105" i="6"/>
  <c r="L105" i="6"/>
  <c r="J105" i="6"/>
  <c r="I105" i="6"/>
  <c r="F105" i="6"/>
  <c r="P105" i="6" s="1"/>
  <c r="L104" i="6"/>
  <c r="F104" i="6"/>
  <c r="R103" i="6"/>
  <c r="P103" i="6"/>
  <c r="O103" i="6"/>
  <c r="L103" i="6"/>
  <c r="J103" i="6"/>
  <c r="F103" i="6"/>
  <c r="M103" i="6" s="1"/>
  <c r="F102" i="6"/>
  <c r="I101" i="6"/>
  <c r="F101" i="6"/>
  <c r="V100" i="6"/>
  <c r="S100" i="6"/>
  <c r="L100" i="6"/>
  <c r="J100" i="6"/>
  <c r="I100" i="6"/>
  <c r="F100" i="6"/>
  <c r="O100" i="6" s="1"/>
  <c r="V99" i="6"/>
  <c r="U99" i="6"/>
  <c r="R99" i="6"/>
  <c r="P99" i="6"/>
  <c r="O99" i="6"/>
  <c r="M99" i="6"/>
  <c r="L99" i="6"/>
  <c r="J99" i="6"/>
  <c r="I99" i="6"/>
  <c r="F99" i="6"/>
  <c r="S99" i="6" s="1"/>
  <c r="V98" i="6"/>
  <c r="S98" i="6"/>
  <c r="R98" i="6"/>
  <c r="P98" i="6"/>
  <c r="O98" i="6"/>
  <c r="M98" i="6"/>
  <c r="I98" i="6"/>
  <c r="F98" i="6"/>
  <c r="L98" i="6" s="1"/>
  <c r="V97" i="6"/>
  <c r="U97" i="6"/>
  <c r="S97" i="6"/>
  <c r="F97" i="6"/>
  <c r="F96" i="6"/>
  <c r="J95" i="6"/>
  <c r="F95" i="6"/>
  <c r="P94" i="6"/>
  <c r="O94" i="6"/>
  <c r="M94" i="6"/>
  <c r="L94" i="6"/>
  <c r="J94" i="6"/>
  <c r="F94" i="6"/>
  <c r="R94" i="6" s="1"/>
  <c r="U93" i="6"/>
  <c r="S93" i="6"/>
  <c r="R93" i="6"/>
  <c r="O93" i="6"/>
  <c r="I93" i="6"/>
  <c r="F93" i="6"/>
  <c r="M92" i="6"/>
  <c r="J92" i="6"/>
  <c r="F92" i="6"/>
  <c r="U91" i="6"/>
  <c r="R91" i="6"/>
  <c r="P91" i="6"/>
  <c r="O91" i="6"/>
  <c r="M91" i="6"/>
  <c r="L91" i="6"/>
  <c r="I91" i="6"/>
  <c r="F91" i="6"/>
  <c r="V91" i="6" s="1"/>
  <c r="V90" i="6"/>
  <c r="F90" i="6"/>
  <c r="V89" i="6"/>
  <c r="U89" i="6"/>
  <c r="R89" i="6"/>
  <c r="P89" i="6"/>
  <c r="O89" i="6"/>
  <c r="M89" i="6"/>
  <c r="L89" i="6"/>
  <c r="J89" i="6"/>
  <c r="I89" i="6"/>
  <c r="F89" i="6"/>
  <c r="S89" i="6" s="1"/>
  <c r="M88" i="6"/>
  <c r="F88" i="6"/>
  <c r="V87" i="6"/>
  <c r="U87" i="6"/>
  <c r="R87" i="6"/>
  <c r="L87" i="6"/>
  <c r="J87" i="6"/>
  <c r="I87" i="6"/>
  <c r="F87" i="6"/>
  <c r="P87" i="6" s="1"/>
  <c r="V86" i="6"/>
  <c r="P86" i="6"/>
  <c r="O86" i="6"/>
  <c r="M86" i="6"/>
  <c r="L86" i="6"/>
  <c r="J86" i="6"/>
  <c r="F86" i="6"/>
  <c r="U86" i="6" s="1"/>
  <c r="U85" i="6"/>
  <c r="S85" i="6"/>
  <c r="R85" i="6"/>
  <c r="O85" i="6"/>
  <c r="I85" i="6"/>
  <c r="F85" i="6"/>
  <c r="M84" i="6"/>
  <c r="J84" i="6"/>
  <c r="F84" i="6"/>
  <c r="U83" i="6"/>
  <c r="R83" i="6"/>
  <c r="P83" i="6"/>
  <c r="O83" i="6"/>
  <c r="M83" i="6"/>
  <c r="L83" i="6"/>
  <c r="I83" i="6"/>
  <c r="F83" i="6"/>
  <c r="V83" i="6" s="1"/>
  <c r="V82" i="6"/>
  <c r="F82" i="6"/>
  <c r="S82" i="6" s="1"/>
  <c r="V81" i="6"/>
  <c r="U81" i="6"/>
  <c r="R81" i="6"/>
  <c r="P81" i="6"/>
  <c r="O81" i="6"/>
  <c r="M81" i="6"/>
  <c r="L81" i="6"/>
  <c r="J81" i="6"/>
  <c r="I81" i="6"/>
  <c r="F81" i="6"/>
  <c r="S81" i="6" s="1"/>
  <c r="M80" i="6"/>
  <c r="F80" i="6"/>
  <c r="V79" i="6"/>
  <c r="U79" i="6"/>
  <c r="R79" i="6"/>
  <c r="L79" i="6"/>
  <c r="J79" i="6"/>
  <c r="I79" i="6"/>
  <c r="F79" i="6"/>
  <c r="P79" i="6" s="1"/>
  <c r="V78" i="6"/>
  <c r="P78" i="6"/>
  <c r="O78" i="6"/>
  <c r="M78" i="6"/>
  <c r="L78" i="6"/>
  <c r="J78" i="6"/>
  <c r="F78" i="6"/>
  <c r="U78" i="6" s="1"/>
  <c r="U77" i="6"/>
  <c r="S77" i="6"/>
  <c r="R77" i="6"/>
  <c r="O77" i="6"/>
  <c r="I77" i="6"/>
  <c r="F77" i="6"/>
  <c r="M76" i="6"/>
  <c r="J76" i="6"/>
  <c r="F76" i="6"/>
  <c r="U75" i="6"/>
  <c r="R75" i="6"/>
  <c r="P75" i="6"/>
  <c r="O75" i="6"/>
  <c r="M75" i="6"/>
  <c r="L75" i="6"/>
  <c r="I75" i="6"/>
  <c r="F75" i="6"/>
  <c r="V75" i="6" s="1"/>
  <c r="V74" i="6"/>
  <c r="F74" i="6"/>
  <c r="I74" i="6" s="1"/>
  <c r="V73" i="6"/>
  <c r="U73" i="6"/>
  <c r="R73" i="6"/>
  <c r="P73" i="6"/>
  <c r="O73" i="6"/>
  <c r="M73" i="6"/>
  <c r="L73" i="6"/>
  <c r="J73" i="6"/>
  <c r="I73" i="6"/>
  <c r="F73" i="6"/>
  <c r="S73" i="6" s="1"/>
  <c r="M72" i="6"/>
  <c r="F72" i="6"/>
  <c r="V71" i="6"/>
  <c r="U71" i="6"/>
  <c r="R71" i="6"/>
  <c r="L71" i="6"/>
  <c r="J71" i="6"/>
  <c r="I71" i="6"/>
  <c r="F71" i="6"/>
  <c r="P71" i="6" s="1"/>
  <c r="V70" i="6"/>
  <c r="P70" i="6"/>
  <c r="O70" i="6"/>
  <c r="M70" i="6"/>
  <c r="L70" i="6"/>
  <c r="J70" i="6"/>
  <c r="F70" i="6"/>
  <c r="U70" i="6" s="1"/>
  <c r="U69" i="6"/>
  <c r="S69" i="6"/>
  <c r="R69" i="6"/>
  <c r="O69" i="6"/>
  <c r="I69" i="6"/>
  <c r="F69" i="6"/>
  <c r="M68" i="6"/>
  <c r="J68" i="6"/>
  <c r="F68" i="6"/>
  <c r="U67" i="6"/>
  <c r="R67" i="6"/>
  <c r="P67" i="6"/>
  <c r="O67" i="6"/>
  <c r="M67" i="6"/>
  <c r="L67" i="6"/>
  <c r="I67" i="6"/>
  <c r="F67" i="6"/>
  <c r="V67" i="6" s="1"/>
  <c r="V66" i="6"/>
  <c r="F66" i="6"/>
  <c r="S66" i="6" s="1"/>
  <c r="V65" i="6"/>
  <c r="U65" i="6"/>
  <c r="R65" i="6"/>
  <c r="P65" i="6"/>
  <c r="O65" i="6"/>
  <c r="M65" i="6"/>
  <c r="L65" i="6"/>
  <c r="J65" i="6"/>
  <c r="I65" i="6"/>
  <c r="F65" i="6"/>
  <c r="S65" i="6" s="1"/>
  <c r="M64" i="6"/>
  <c r="F64" i="6"/>
  <c r="V63" i="6"/>
  <c r="R63" i="6"/>
  <c r="F63" i="6"/>
  <c r="U63" i="6" s="1"/>
  <c r="V62" i="6"/>
  <c r="P62" i="6"/>
  <c r="O62" i="6"/>
  <c r="M62" i="6"/>
  <c r="L62" i="6"/>
  <c r="J62" i="6"/>
  <c r="F62" i="6"/>
  <c r="U62" i="6" s="1"/>
  <c r="U61" i="6"/>
  <c r="S61" i="6"/>
  <c r="R61" i="6"/>
  <c r="P61" i="6"/>
  <c r="O61" i="6"/>
  <c r="I61" i="6"/>
  <c r="F61" i="6"/>
  <c r="V60" i="6"/>
  <c r="U60" i="6"/>
  <c r="S60" i="6"/>
  <c r="M60" i="6"/>
  <c r="L60" i="6"/>
  <c r="J60" i="6"/>
  <c r="I60" i="6"/>
  <c r="F60" i="6"/>
  <c r="U59" i="6"/>
  <c r="R59" i="6"/>
  <c r="P59" i="6"/>
  <c r="O59" i="6"/>
  <c r="M59" i="6"/>
  <c r="L59" i="6"/>
  <c r="I59" i="6"/>
  <c r="F59" i="6"/>
  <c r="V59" i="6" s="1"/>
  <c r="V58" i="6"/>
  <c r="U58" i="6"/>
  <c r="S58" i="6"/>
  <c r="R58" i="6"/>
  <c r="P58" i="6"/>
  <c r="J58" i="6"/>
  <c r="I58" i="6"/>
  <c r="F58" i="6"/>
  <c r="V57" i="6"/>
  <c r="U57" i="6"/>
  <c r="R57" i="6"/>
  <c r="P57" i="6"/>
  <c r="O57" i="6"/>
  <c r="M57" i="6"/>
  <c r="L57" i="6"/>
  <c r="J57" i="6"/>
  <c r="I57" i="6"/>
  <c r="F57" i="6"/>
  <c r="S57" i="6" s="1"/>
  <c r="S56" i="6"/>
  <c r="R56" i="6"/>
  <c r="P56" i="6"/>
  <c r="O56" i="6"/>
  <c r="M56" i="6"/>
  <c r="F56" i="6"/>
  <c r="V55" i="6"/>
  <c r="U55" i="6"/>
  <c r="S55" i="6"/>
  <c r="R55" i="6"/>
  <c r="L55" i="6"/>
  <c r="J55" i="6"/>
  <c r="I55" i="6"/>
  <c r="F55" i="6"/>
  <c r="V54" i="6"/>
  <c r="P54" i="6"/>
  <c r="O54" i="6"/>
  <c r="M54" i="6"/>
  <c r="L54" i="6"/>
  <c r="J54" i="6"/>
  <c r="F54" i="6"/>
  <c r="U54" i="6" s="1"/>
  <c r="F53" i="6"/>
  <c r="F52" i="6"/>
  <c r="U51" i="6"/>
  <c r="R51" i="6"/>
  <c r="P51" i="6"/>
  <c r="O51" i="6"/>
  <c r="M51" i="6"/>
  <c r="L51" i="6"/>
  <c r="I51" i="6"/>
  <c r="F51" i="6"/>
  <c r="V51" i="6" s="1"/>
  <c r="F50" i="6"/>
  <c r="V49" i="6"/>
  <c r="U49" i="6"/>
  <c r="R49" i="6"/>
  <c r="P49" i="6"/>
  <c r="O49" i="6"/>
  <c r="M49" i="6"/>
  <c r="L49" i="6"/>
  <c r="J49" i="6"/>
  <c r="I49" i="6"/>
  <c r="F49" i="6"/>
  <c r="S49" i="6" s="1"/>
  <c r="F48" i="6"/>
  <c r="F47" i="6"/>
  <c r="V46" i="6"/>
  <c r="U46" i="6"/>
  <c r="S46" i="6"/>
  <c r="R46" i="6"/>
  <c r="P46" i="6"/>
  <c r="O46" i="6"/>
  <c r="M46" i="6"/>
  <c r="L46" i="6"/>
  <c r="J46" i="6"/>
  <c r="I46" i="6"/>
  <c r="F45" i="6"/>
  <c r="F44" i="6"/>
  <c r="V43" i="6"/>
  <c r="P43" i="6"/>
  <c r="O43" i="6"/>
  <c r="M43" i="6"/>
  <c r="L43" i="6"/>
  <c r="J43" i="6"/>
  <c r="F43" i="6"/>
  <c r="U43" i="6" s="1"/>
  <c r="U42" i="6"/>
  <c r="F42" i="6"/>
  <c r="U41" i="6"/>
  <c r="F41" i="6"/>
  <c r="M41" i="6" s="1"/>
  <c r="U40" i="6"/>
  <c r="R40" i="6"/>
  <c r="P40" i="6"/>
  <c r="O40" i="6"/>
  <c r="M40" i="6"/>
  <c r="L40" i="6"/>
  <c r="I40" i="6"/>
  <c r="F40" i="6"/>
  <c r="V40" i="6" s="1"/>
  <c r="U39" i="6"/>
  <c r="F39" i="6"/>
  <c r="V39" i="6" s="1"/>
  <c r="V38" i="6"/>
  <c r="U38" i="6"/>
  <c r="R38" i="6"/>
  <c r="P38" i="6"/>
  <c r="O38" i="6"/>
  <c r="M38" i="6"/>
  <c r="L38" i="6"/>
  <c r="J38" i="6"/>
  <c r="I38" i="6"/>
  <c r="F38" i="6"/>
  <c r="S38" i="6" s="1"/>
  <c r="F37" i="6"/>
  <c r="R37" i="6" s="1"/>
  <c r="U36" i="6"/>
  <c r="F36" i="6"/>
  <c r="V36" i="6" s="1"/>
  <c r="V35" i="6"/>
  <c r="P35" i="6"/>
  <c r="O35" i="6"/>
  <c r="M35" i="6"/>
  <c r="L35" i="6"/>
  <c r="J35" i="6"/>
  <c r="F35" i="6"/>
  <c r="U35" i="6" s="1"/>
  <c r="U34" i="6"/>
  <c r="R34" i="6"/>
  <c r="F34" i="6"/>
  <c r="S34" i="6" s="1"/>
  <c r="U33" i="6"/>
  <c r="M33" i="6"/>
  <c r="F33" i="6"/>
  <c r="V33" i="6" s="1"/>
  <c r="U32" i="6"/>
  <c r="R32" i="6"/>
  <c r="P32" i="6"/>
  <c r="O32" i="6"/>
  <c r="M32" i="6"/>
  <c r="L32" i="6"/>
  <c r="I32" i="6"/>
  <c r="F32" i="6"/>
  <c r="V32" i="6" s="1"/>
  <c r="U31" i="6"/>
  <c r="R31" i="6"/>
  <c r="F31" i="6"/>
  <c r="V31" i="6" s="1"/>
  <c r="V30" i="6"/>
  <c r="U30" i="6"/>
  <c r="R30" i="6"/>
  <c r="P30" i="6"/>
  <c r="O30" i="6"/>
  <c r="M30" i="6"/>
  <c r="L30" i="6"/>
  <c r="J30" i="6"/>
  <c r="I30" i="6"/>
  <c r="F30" i="6"/>
  <c r="S30" i="6" s="1"/>
  <c r="R29" i="6"/>
  <c r="F29" i="6"/>
  <c r="S29" i="6" s="1"/>
  <c r="U28" i="6"/>
  <c r="R28" i="6"/>
  <c r="F28" i="6"/>
  <c r="I28" i="6" s="1"/>
  <c r="V27" i="6"/>
  <c r="P27" i="6"/>
  <c r="O27" i="6"/>
  <c r="M27" i="6"/>
  <c r="L27" i="6"/>
  <c r="J27" i="6"/>
  <c r="F27" i="6"/>
  <c r="U27" i="6" s="1"/>
  <c r="U26" i="6"/>
  <c r="S26" i="6"/>
  <c r="R26" i="6"/>
  <c r="P26" i="6"/>
  <c r="O26" i="6"/>
  <c r="I26" i="6"/>
  <c r="F26" i="6"/>
  <c r="V25" i="6"/>
  <c r="U25" i="6"/>
  <c r="S25" i="6"/>
  <c r="M25" i="6"/>
  <c r="L25" i="6"/>
  <c r="J25" i="6"/>
  <c r="I25" i="6"/>
  <c r="F25" i="6"/>
  <c r="U24" i="6"/>
  <c r="R24" i="6"/>
  <c r="P24" i="6"/>
  <c r="O24" i="6"/>
  <c r="M24" i="6"/>
  <c r="L24" i="6"/>
  <c r="I24" i="6"/>
  <c r="F24" i="6"/>
  <c r="V24" i="6" s="1"/>
  <c r="V23" i="6"/>
  <c r="U23" i="6"/>
  <c r="S23" i="6"/>
  <c r="R23" i="6"/>
  <c r="P23" i="6"/>
  <c r="J23" i="6"/>
  <c r="I23" i="6"/>
  <c r="F23" i="6"/>
  <c r="V22" i="6"/>
  <c r="U22" i="6"/>
  <c r="R22" i="6"/>
  <c r="P22" i="6"/>
  <c r="O22" i="6"/>
  <c r="M22" i="6"/>
  <c r="L22" i="6"/>
  <c r="J22" i="6"/>
  <c r="I22" i="6"/>
  <c r="F22" i="6"/>
  <c r="S22" i="6" s="1"/>
  <c r="S21" i="6"/>
  <c r="R21" i="6"/>
  <c r="P21" i="6"/>
  <c r="O21" i="6"/>
  <c r="M21" i="6"/>
  <c r="F21" i="6"/>
  <c r="V20" i="6"/>
  <c r="U20" i="6"/>
  <c r="S20" i="6"/>
  <c r="R20" i="6"/>
  <c r="L20" i="6"/>
  <c r="J20" i="6"/>
  <c r="I20" i="6"/>
  <c r="F20" i="6"/>
  <c r="V19" i="6"/>
  <c r="P19" i="6"/>
  <c r="O19" i="6"/>
  <c r="M19" i="6"/>
  <c r="L19" i="6"/>
  <c r="J19" i="6"/>
  <c r="F19" i="6"/>
  <c r="U19" i="6" s="1"/>
  <c r="F18" i="6"/>
  <c r="F17" i="6"/>
  <c r="U16" i="6"/>
  <c r="R16" i="6"/>
  <c r="P16" i="6"/>
  <c r="O16" i="6"/>
  <c r="M16" i="6"/>
  <c r="L16" i="6"/>
  <c r="I16" i="6"/>
  <c r="F16" i="6"/>
  <c r="V16" i="6" s="1"/>
  <c r="F15" i="6"/>
  <c r="V14" i="6"/>
  <c r="U14" i="6"/>
  <c r="R14" i="6"/>
  <c r="P14" i="6"/>
  <c r="O14" i="6"/>
  <c r="M14" i="6"/>
  <c r="L14" i="6"/>
  <c r="J14" i="6"/>
  <c r="I14" i="6"/>
  <c r="F14" i="6"/>
  <c r="S14" i="6" s="1"/>
  <c r="F13" i="6"/>
  <c r="F12" i="6"/>
  <c r="V11" i="6"/>
  <c r="P11" i="6"/>
  <c r="O11" i="6"/>
  <c r="M11" i="6"/>
  <c r="L11" i="6"/>
  <c r="J11" i="6"/>
  <c r="F11" i="6"/>
  <c r="U11" i="6" s="1"/>
  <c r="U10" i="6"/>
  <c r="F10" i="6"/>
  <c r="D153" i="6" s="1"/>
  <c r="K135" i="3"/>
  <c r="K134" i="3"/>
  <c r="F134" i="3"/>
  <c r="K133" i="3"/>
  <c r="F133" i="3"/>
  <c r="K132" i="3"/>
  <c r="F132" i="3"/>
  <c r="K131" i="3"/>
  <c r="F131" i="3"/>
  <c r="K130" i="3"/>
  <c r="F130" i="3"/>
  <c r="K129" i="3"/>
  <c r="F129" i="3"/>
  <c r="K128" i="3"/>
  <c r="F128" i="3"/>
  <c r="K127" i="3"/>
  <c r="F127" i="3"/>
  <c r="K126" i="3"/>
  <c r="F126" i="3"/>
  <c r="K125" i="3"/>
  <c r="F125" i="3"/>
  <c r="K124" i="3"/>
  <c r="F124" i="3"/>
  <c r="K123" i="3"/>
  <c r="F123" i="3"/>
  <c r="K122" i="3"/>
  <c r="F122" i="3"/>
  <c r="K121" i="3"/>
  <c r="F121" i="3"/>
  <c r="K120" i="3"/>
  <c r="F120" i="3"/>
  <c r="K119" i="3"/>
  <c r="F119" i="3"/>
  <c r="K118" i="3"/>
  <c r="F118" i="3"/>
  <c r="K117" i="3"/>
  <c r="F117" i="3"/>
  <c r="K116" i="3"/>
  <c r="F116" i="3"/>
  <c r="K115" i="3"/>
  <c r="F115" i="3"/>
  <c r="K114" i="3"/>
  <c r="F114" i="3"/>
  <c r="K113" i="3"/>
  <c r="F113" i="3"/>
  <c r="K112" i="3"/>
  <c r="F112" i="3"/>
  <c r="K111" i="3"/>
  <c r="F111" i="3"/>
  <c r="K110" i="3"/>
  <c r="F110" i="3"/>
  <c r="K109" i="3"/>
  <c r="F109" i="3"/>
  <c r="K108" i="3"/>
  <c r="F108" i="3"/>
  <c r="K107" i="3"/>
  <c r="F107" i="3"/>
  <c r="K106" i="3"/>
  <c r="F106" i="3"/>
  <c r="K105" i="3"/>
  <c r="F105" i="3"/>
  <c r="K104" i="3"/>
  <c r="F104" i="3"/>
  <c r="K103" i="3"/>
  <c r="F103" i="3"/>
  <c r="K102" i="3"/>
  <c r="F102" i="3"/>
  <c r="K101" i="3"/>
  <c r="F101" i="3"/>
  <c r="K100" i="3"/>
  <c r="F100" i="3"/>
  <c r="K99" i="3"/>
  <c r="F99" i="3"/>
  <c r="K98" i="3"/>
  <c r="F98" i="3"/>
  <c r="K97" i="3"/>
  <c r="F97" i="3"/>
  <c r="K96" i="3"/>
  <c r="F96" i="3"/>
  <c r="K95" i="3"/>
  <c r="F95" i="3"/>
  <c r="K94" i="3"/>
  <c r="F94" i="3"/>
  <c r="K93" i="3"/>
  <c r="F93" i="3"/>
  <c r="K92" i="3"/>
  <c r="F92" i="3"/>
  <c r="K91" i="3"/>
  <c r="F91" i="3"/>
  <c r="K90" i="3"/>
  <c r="F90" i="3"/>
  <c r="K89" i="3"/>
  <c r="F89" i="3"/>
  <c r="K88" i="3"/>
  <c r="F88" i="3"/>
  <c r="K87" i="3"/>
  <c r="F87" i="3"/>
  <c r="K86" i="3"/>
  <c r="F86" i="3"/>
  <c r="K85" i="3"/>
  <c r="F85" i="3"/>
  <c r="K84" i="3"/>
  <c r="F84" i="3"/>
  <c r="K83" i="3"/>
  <c r="F83" i="3"/>
  <c r="K82" i="3"/>
  <c r="F82" i="3"/>
  <c r="K81" i="3"/>
  <c r="F81" i="3"/>
  <c r="K80" i="3"/>
  <c r="F80" i="3"/>
  <c r="K79" i="3"/>
  <c r="F79" i="3"/>
  <c r="K78" i="3"/>
  <c r="F78" i="3"/>
  <c r="K77" i="3"/>
  <c r="F77" i="3"/>
  <c r="K76" i="3"/>
  <c r="F76" i="3"/>
  <c r="K75" i="3"/>
  <c r="F75" i="3"/>
  <c r="K74" i="3"/>
  <c r="F74" i="3"/>
  <c r="K73" i="3"/>
  <c r="F73" i="3"/>
  <c r="K72" i="3"/>
  <c r="F72" i="3"/>
  <c r="K71" i="3"/>
  <c r="F71" i="3"/>
  <c r="K70" i="3"/>
  <c r="F70" i="3"/>
  <c r="K69" i="3"/>
  <c r="F69" i="3"/>
  <c r="K68" i="3"/>
  <c r="F68" i="3"/>
  <c r="K67" i="3"/>
  <c r="F67" i="3"/>
  <c r="K66" i="3"/>
  <c r="F66" i="3"/>
  <c r="K65" i="3"/>
  <c r="F65" i="3"/>
  <c r="K64" i="3"/>
  <c r="F64" i="3"/>
  <c r="K63" i="3"/>
  <c r="F63" i="3"/>
  <c r="K62" i="3"/>
  <c r="F62" i="3"/>
  <c r="K61" i="3"/>
  <c r="F61" i="3"/>
  <c r="K60" i="3"/>
  <c r="F60" i="3"/>
  <c r="K59" i="3"/>
  <c r="F59" i="3"/>
  <c r="K58" i="3"/>
  <c r="F58" i="3"/>
  <c r="K57" i="3"/>
  <c r="F57" i="3"/>
  <c r="K56" i="3"/>
  <c r="F56" i="3"/>
  <c r="K55" i="3"/>
  <c r="F55" i="3"/>
  <c r="K54" i="3"/>
  <c r="F54" i="3"/>
  <c r="K53" i="3"/>
  <c r="F53" i="3"/>
  <c r="K52" i="3"/>
  <c r="F52" i="3"/>
  <c r="K51" i="3"/>
  <c r="F51" i="3"/>
  <c r="K50" i="3"/>
  <c r="F50" i="3"/>
  <c r="K49" i="3"/>
  <c r="F49" i="3"/>
  <c r="K48" i="3"/>
  <c r="F48" i="3"/>
  <c r="K47" i="3"/>
  <c r="F47" i="3"/>
  <c r="K46" i="3"/>
  <c r="F46" i="3"/>
  <c r="K45" i="3"/>
  <c r="F45" i="3"/>
  <c r="K44" i="3"/>
  <c r="F44" i="3"/>
  <c r="K43" i="3"/>
  <c r="F43" i="3"/>
  <c r="K42" i="3"/>
  <c r="F42" i="3"/>
  <c r="K41" i="3"/>
  <c r="K40" i="3"/>
  <c r="F40" i="3"/>
  <c r="K39" i="3"/>
  <c r="F39" i="3"/>
  <c r="K38" i="3"/>
  <c r="F38" i="3"/>
  <c r="K37" i="3"/>
  <c r="F37" i="3"/>
  <c r="K36" i="3"/>
  <c r="F36" i="3"/>
  <c r="K35" i="3"/>
  <c r="F35" i="3"/>
  <c r="K34" i="3"/>
  <c r="F34" i="3"/>
  <c r="K33" i="3"/>
  <c r="F33" i="3"/>
  <c r="K32" i="3"/>
  <c r="F32" i="3"/>
  <c r="K31" i="3"/>
  <c r="F31" i="3"/>
  <c r="K30" i="3"/>
  <c r="F30" i="3"/>
  <c r="K29" i="3"/>
  <c r="F29" i="3"/>
  <c r="K28" i="3"/>
  <c r="F28" i="3"/>
  <c r="K27" i="3"/>
  <c r="F27" i="3"/>
  <c r="K26" i="3"/>
  <c r="F26" i="3"/>
  <c r="K25" i="3"/>
  <c r="F25" i="3"/>
  <c r="K24" i="3"/>
  <c r="F24" i="3"/>
  <c r="K23" i="3"/>
  <c r="F23" i="3"/>
  <c r="K22" i="3"/>
  <c r="F22" i="3"/>
  <c r="K21" i="3"/>
  <c r="F21" i="3"/>
  <c r="K20" i="3"/>
  <c r="F20" i="3"/>
  <c r="K19" i="3"/>
  <c r="F19" i="3"/>
  <c r="K18" i="3"/>
  <c r="F18" i="3"/>
  <c r="K17" i="3"/>
  <c r="F17" i="3"/>
  <c r="K16" i="3"/>
  <c r="F16" i="3"/>
  <c r="K15" i="3"/>
  <c r="F15" i="3"/>
  <c r="K14" i="3"/>
  <c r="F14" i="3"/>
  <c r="K13" i="3"/>
  <c r="F13" i="3"/>
  <c r="K12" i="3"/>
  <c r="F12" i="3"/>
  <c r="K11" i="3"/>
  <c r="F11" i="3"/>
  <c r="K10" i="3"/>
  <c r="F10" i="3"/>
  <c r="K9" i="3"/>
  <c r="F9" i="3"/>
  <c r="K8" i="3"/>
  <c r="F8" i="3"/>
  <c r="K7" i="3"/>
  <c r="F7" i="3"/>
  <c r="K6" i="3"/>
  <c r="F6" i="3"/>
  <c r="K5" i="3"/>
  <c r="F5" i="3"/>
  <c r="K4" i="3"/>
  <c r="F4" i="3"/>
  <c r="K3" i="3"/>
  <c r="F3" i="3"/>
  <c r="K2" i="3"/>
  <c r="F2" i="3"/>
  <c r="L13" i="6" l="1"/>
  <c r="J13" i="6"/>
  <c r="V13" i="6"/>
  <c r="U13" i="6"/>
  <c r="I13" i="6"/>
  <c r="M18" i="6"/>
  <c r="L18" i="6"/>
  <c r="V18" i="6"/>
  <c r="J18" i="6"/>
  <c r="P44" i="6"/>
  <c r="O44" i="6"/>
  <c r="M44" i="6"/>
  <c r="L45" i="6"/>
  <c r="V45" i="6"/>
  <c r="J45" i="6"/>
  <c r="U45" i="6"/>
  <c r="I45" i="6"/>
  <c r="P47" i="6"/>
  <c r="O47" i="6"/>
  <c r="M47" i="6"/>
  <c r="M53" i="6"/>
  <c r="L53" i="6"/>
  <c r="V53" i="6"/>
  <c r="J53" i="6"/>
  <c r="U96" i="6"/>
  <c r="I96" i="6"/>
  <c r="P96" i="6"/>
  <c r="O96" i="6"/>
  <c r="M96" i="6"/>
  <c r="S96" i="6"/>
  <c r="R102" i="6"/>
  <c r="L102" i="6"/>
  <c r="J102" i="6"/>
  <c r="V102" i="6"/>
  <c r="I102" i="6"/>
  <c r="O102" i="6"/>
  <c r="V272" i="6"/>
  <c r="S272" i="6"/>
  <c r="M272" i="6"/>
  <c r="P272" i="6"/>
  <c r="J272" i="6"/>
  <c r="P12" i="6"/>
  <c r="O12" i="6"/>
  <c r="M12" i="6"/>
  <c r="O15" i="6"/>
  <c r="M15" i="6"/>
  <c r="L15" i="6"/>
  <c r="R17" i="6"/>
  <c r="P17" i="6"/>
  <c r="O17" i="6"/>
  <c r="L48" i="6"/>
  <c r="V48" i="6"/>
  <c r="J48" i="6"/>
  <c r="U48" i="6"/>
  <c r="I48" i="6"/>
  <c r="O50" i="6"/>
  <c r="M50" i="6"/>
  <c r="L50" i="6"/>
  <c r="R52" i="6"/>
  <c r="P52" i="6"/>
  <c r="O52" i="6"/>
  <c r="V181" i="6"/>
  <c r="S181" i="6"/>
  <c r="P181" i="6"/>
  <c r="J181" i="6"/>
  <c r="V208" i="6"/>
  <c r="S208" i="6"/>
  <c r="M208" i="6"/>
  <c r="P208" i="6"/>
  <c r="J208" i="6"/>
  <c r="M234" i="6"/>
  <c r="P234" i="6"/>
  <c r="V234" i="6"/>
  <c r="S234" i="6"/>
  <c r="J234" i="6"/>
  <c r="M254" i="6"/>
  <c r="V254" i="6"/>
  <c r="S254" i="6"/>
  <c r="J254" i="6"/>
  <c r="I12" i="6"/>
  <c r="M13" i="6"/>
  <c r="I15" i="6"/>
  <c r="I17" i="6"/>
  <c r="I18" i="6"/>
  <c r="S28" i="6"/>
  <c r="S31" i="6"/>
  <c r="S33" i="6"/>
  <c r="V41" i="6"/>
  <c r="I44" i="6"/>
  <c r="M45" i="6"/>
  <c r="I47" i="6"/>
  <c r="M48" i="6"/>
  <c r="I50" i="6"/>
  <c r="I52" i="6"/>
  <c r="I53" i="6"/>
  <c r="R68" i="6"/>
  <c r="P68" i="6"/>
  <c r="O68" i="6"/>
  <c r="U68" i="6"/>
  <c r="I68" i="6"/>
  <c r="R76" i="6"/>
  <c r="P76" i="6"/>
  <c r="O76" i="6"/>
  <c r="U76" i="6"/>
  <c r="I76" i="6"/>
  <c r="R84" i="6"/>
  <c r="P84" i="6"/>
  <c r="O84" i="6"/>
  <c r="U84" i="6"/>
  <c r="I84" i="6"/>
  <c r="R92" i="6"/>
  <c r="P92" i="6"/>
  <c r="O92" i="6"/>
  <c r="U92" i="6"/>
  <c r="I92" i="6"/>
  <c r="J96" i="6"/>
  <c r="M102" i="6"/>
  <c r="U120" i="6"/>
  <c r="I120" i="6"/>
  <c r="M120" i="6"/>
  <c r="L120" i="6"/>
  <c r="J120" i="6"/>
  <c r="P120" i="6"/>
  <c r="O124" i="6"/>
  <c r="M124" i="6"/>
  <c r="L124" i="6"/>
  <c r="J124" i="6"/>
  <c r="R124" i="6"/>
  <c r="U128" i="6"/>
  <c r="I128" i="6"/>
  <c r="P128" i="6"/>
  <c r="O128" i="6"/>
  <c r="M128" i="6"/>
  <c r="S128" i="6"/>
  <c r="R134" i="6"/>
  <c r="L134" i="6"/>
  <c r="J134" i="6"/>
  <c r="V134" i="6"/>
  <c r="I134" i="6"/>
  <c r="O134" i="6"/>
  <c r="P179" i="6"/>
  <c r="S179" i="6"/>
  <c r="J179" i="6"/>
  <c r="M181" i="6"/>
  <c r="V184" i="6"/>
  <c r="S184" i="6"/>
  <c r="P184" i="6"/>
  <c r="J184" i="6"/>
  <c r="S244" i="6"/>
  <c r="V244" i="6"/>
  <c r="P244" i="6"/>
  <c r="J244" i="6"/>
  <c r="P254" i="6"/>
  <c r="P171" i="7"/>
  <c r="V171" i="7"/>
  <c r="S171" i="7"/>
  <c r="M171" i="7"/>
  <c r="J171" i="7"/>
  <c r="F158" i="6"/>
  <c r="Q153" i="6"/>
  <c r="K153" i="6"/>
  <c r="F151" i="6"/>
  <c r="F140" i="6"/>
  <c r="M10" i="6"/>
  <c r="H153" i="6"/>
  <c r="F152" i="6"/>
  <c r="L10" i="6"/>
  <c r="E153" i="6"/>
  <c r="V10" i="6"/>
  <c r="J10" i="6"/>
  <c r="F157" i="6"/>
  <c r="T153" i="6"/>
  <c r="J17" i="6"/>
  <c r="O48" i="6"/>
  <c r="O53" i="6"/>
  <c r="O90" i="6"/>
  <c r="M90" i="6"/>
  <c r="L90" i="6"/>
  <c r="R90" i="6"/>
  <c r="N153" i="6"/>
  <c r="M206" i="6"/>
  <c r="V206" i="6"/>
  <c r="S206" i="6"/>
  <c r="J206" i="6"/>
  <c r="J12" i="6"/>
  <c r="J15" i="6"/>
  <c r="O18" i="6"/>
  <c r="P36" i="6"/>
  <c r="O36" i="6"/>
  <c r="M36" i="6"/>
  <c r="O39" i="6"/>
  <c r="M39" i="6"/>
  <c r="L39" i="6"/>
  <c r="M42" i="6"/>
  <c r="L42" i="6"/>
  <c r="V42" i="6"/>
  <c r="J42" i="6"/>
  <c r="J44" i="6"/>
  <c r="J47" i="6"/>
  <c r="P102" i="6"/>
  <c r="M111" i="6"/>
  <c r="L111" i="6"/>
  <c r="J111" i="6"/>
  <c r="V111" i="6"/>
  <c r="I111" i="6"/>
  <c r="P111" i="6"/>
  <c r="I10" i="6"/>
  <c r="L12" i="6"/>
  <c r="P13" i="6"/>
  <c r="P15" i="6"/>
  <c r="L17" i="6"/>
  <c r="P18" i="6"/>
  <c r="V28" i="6"/>
  <c r="I36" i="6"/>
  <c r="M37" i="6"/>
  <c r="I39" i="6"/>
  <c r="I41" i="6"/>
  <c r="I42" i="6"/>
  <c r="L44" i="6"/>
  <c r="P45" i="6"/>
  <c r="L47" i="6"/>
  <c r="P48" i="6"/>
  <c r="P50" i="6"/>
  <c r="L52" i="6"/>
  <c r="P53" i="6"/>
  <c r="L64" i="6"/>
  <c r="J64" i="6"/>
  <c r="V64" i="6"/>
  <c r="U64" i="6"/>
  <c r="I64" i="6"/>
  <c r="O64" i="6"/>
  <c r="I66" i="6"/>
  <c r="L68" i="6"/>
  <c r="L72" i="6"/>
  <c r="J72" i="6"/>
  <c r="V72" i="6"/>
  <c r="U72" i="6"/>
  <c r="I72" i="6"/>
  <c r="O72" i="6"/>
  <c r="L76" i="6"/>
  <c r="L80" i="6"/>
  <c r="V80" i="6"/>
  <c r="J80" i="6"/>
  <c r="U80" i="6"/>
  <c r="I80" i="6"/>
  <c r="O80" i="6"/>
  <c r="I82" i="6"/>
  <c r="L84" i="6"/>
  <c r="L88" i="6"/>
  <c r="V88" i="6"/>
  <c r="J88" i="6"/>
  <c r="U88" i="6"/>
  <c r="I88" i="6"/>
  <c r="O88" i="6"/>
  <c r="I90" i="6"/>
  <c r="L92" i="6"/>
  <c r="M95" i="6"/>
  <c r="S95" i="6"/>
  <c r="R95" i="6"/>
  <c r="P95" i="6"/>
  <c r="V95" i="6"/>
  <c r="I95" i="6"/>
  <c r="R96" i="6"/>
  <c r="V101" i="6"/>
  <c r="J101" i="6"/>
  <c r="O101" i="6"/>
  <c r="M101" i="6"/>
  <c r="L101" i="6"/>
  <c r="R101" i="6"/>
  <c r="S102" i="6"/>
  <c r="U104" i="6"/>
  <c r="I104" i="6"/>
  <c r="S104" i="6"/>
  <c r="R104" i="6"/>
  <c r="P104" i="6"/>
  <c r="J104" i="6"/>
  <c r="O111" i="6"/>
  <c r="M119" i="6"/>
  <c r="P119" i="6"/>
  <c r="O119" i="6"/>
  <c r="L119" i="6"/>
  <c r="S119" i="6"/>
  <c r="R120" i="6"/>
  <c r="P124" i="6"/>
  <c r="L128" i="6"/>
  <c r="P134" i="6"/>
  <c r="F156" i="6"/>
  <c r="V179" i="6"/>
  <c r="P206" i="6"/>
  <c r="S260" i="6"/>
  <c r="V260" i="6"/>
  <c r="P260" i="6"/>
  <c r="J260" i="6"/>
  <c r="M270" i="6"/>
  <c r="V270" i="6"/>
  <c r="S270" i="6"/>
  <c r="J270" i="6"/>
  <c r="M17" i="6"/>
  <c r="O31" i="6"/>
  <c r="M31" i="6"/>
  <c r="L31" i="6"/>
  <c r="M225" i="7"/>
  <c r="S225" i="7"/>
  <c r="P225" i="7"/>
  <c r="J225" i="7"/>
  <c r="V225" i="7"/>
  <c r="O13" i="6"/>
  <c r="O45" i="6"/>
  <c r="J52" i="6"/>
  <c r="O74" i="6"/>
  <c r="M74" i="6"/>
  <c r="L74" i="6"/>
  <c r="R74" i="6"/>
  <c r="L96" i="6"/>
  <c r="F141" i="6"/>
  <c r="J182" i="6"/>
  <c r="S182" i="6"/>
  <c r="M182" i="6"/>
  <c r="R13" i="6"/>
  <c r="R18" i="6"/>
  <c r="L29" i="6"/>
  <c r="V29" i="6"/>
  <c r="J29" i="6"/>
  <c r="U29" i="6"/>
  <c r="I29" i="6"/>
  <c r="M34" i="6"/>
  <c r="L34" i="6"/>
  <c r="V34" i="6"/>
  <c r="J34" i="6"/>
  <c r="J36" i="6"/>
  <c r="O42" i="6"/>
  <c r="R44" i="6"/>
  <c r="R47" i="6"/>
  <c r="R50" i="6"/>
  <c r="M52" i="6"/>
  <c r="P63" i="6"/>
  <c r="O63" i="6"/>
  <c r="M63" i="6"/>
  <c r="S63" i="6"/>
  <c r="J74" i="6"/>
  <c r="J82" i="6"/>
  <c r="J90" i="6"/>
  <c r="V96" i="6"/>
  <c r="U102" i="6"/>
  <c r="R110" i="6"/>
  <c r="O110" i="6"/>
  <c r="M110" i="6"/>
  <c r="L110" i="6"/>
  <c r="S110" i="6"/>
  <c r="M127" i="6"/>
  <c r="S127" i="6"/>
  <c r="R127" i="6"/>
  <c r="P127" i="6"/>
  <c r="V127" i="6"/>
  <c r="I127" i="6"/>
  <c r="V133" i="6"/>
  <c r="J133" i="6"/>
  <c r="O133" i="6"/>
  <c r="M133" i="6"/>
  <c r="L133" i="6"/>
  <c r="R133" i="6"/>
  <c r="U136" i="6"/>
  <c r="I136" i="6"/>
  <c r="S136" i="6"/>
  <c r="R136" i="6"/>
  <c r="P136" i="6"/>
  <c r="J136" i="6"/>
  <c r="F155" i="6"/>
  <c r="P163" i="6"/>
  <c r="S163" i="6"/>
  <c r="M163" i="6"/>
  <c r="J163" i="6"/>
  <c r="V182" i="6"/>
  <c r="P189" i="6"/>
  <c r="M189" i="6"/>
  <c r="J189" i="6"/>
  <c r="V189" i="6"/>
  <c r="M222" i="6"/>
  <c r="V222" i="6"/>
  <c r="S222" i="6"/>
  <c r="J222" i="6"/>
  <c r="M266" i="6"/>
  <c r="V266" i="6"/>
  <c r="P266" i="6"/>
  <c r="S266" i="6"/>
  <c r="J266" i="6"/>
  <c r="P10" i="6"/>
  <c r="S13" i="6"/>
  <c r="S17" i="6"/>
  <c r="I31" i="6"/>
  <c r="I34" i="6"/>
  <c r="L36" i="6"/>
  <c r="P39" i="6"/>
  <c r="L41" i="6"/>
  <c r="S44" i="6"/>
  <c r="S48" i="6"/>
  <c r="S50" i="6"/>
  <c r="S52" i="6"/>
  <c r="P64" i="6"/>
  <c r="P80" i="6"/>
  <c r="P82" i="6"/>
  <c r="P88" i="6"/>
  <c r="P90" i="6"/>
  <c r="S92" i="6"/>
  <c r="L95" i="6"/>
  <c r="I110" i="6"/>
  <c r="J119" i="6"/>
  <c r="J127" i="6"/>
  <c r="U134" i="6"/>
  <c r="F154" i="6"/>
  <c r="V163" i="6"/>
  <c r="P187" i="6"/>
  <c r="V187" i="6"/>
  <c r="S187" i="6"/>
  <c r="J187" i="6"/>
  <c r="S189" i="6"/>
  <c r="S212" i="6"/>
  <c r="V212" i="6"/>
  <c r="P212" i="6"/>
  <c r="J212" i="6"/>
  <c r="P222" i="6"/>
  <c r="S276" i="6"/>
  <c r="V276" i="6"/>
  <c r="P276" i="6"/>
  <c r="J276" i="6"/>
  <c r="P77" i="7"/>
  <c r="V77" i="7"/>
  <c r="J77" i="7"/>
  <c r="U77" i="7"/>
  <c r="R77" i="7"/>
  <c r="O77" i="7"/>
  <c r="M77" i="7"/>
  <c r="S77" i="7"/>
  <c r="L77" i="7"/>
  <c r="I77" i="7"/>
  <c r="O10" i="6"/>
  <c r="R12" i="6"/>
  <c r="R15" i="6"/>
  <c r="P28" i="6"/>
  <c r="O28" i="6"/>
  <c r="M28" i="6"/>
  <c r="R33" i="6"/>
  <c r="P33" i="6"/>
  <c r="O33" i="6"/>
  <c r="O37" i="6"/>
  <c r="J39" i="6"/>
  <c r="J41" i="6"/>
  <c r="R45" i="6"/>
  <c r="R53" i="6"/>
  <c r="J66" i="6"/>
  <c r="R111" i="6"/>
  <c r="M202" i="6"/>
  <c r="P202" i="6"/>
  <c r="V202" i="6"/>
  <c r="S202" i="6"/>
  <c r="J202" i="6"/>
  <c r="V240" i="6"/>
  <c r="M240" i="6"/>
  <c r="S240" i="6"/>
  <c r="P240" i="6"/>
  <c r="J240" i="6"/>
  <c r="M286" i="6"/>
  <c r="V286" i="6"/>
  <c r="S286" i="6"/>
  <c r="J286" i="6"/>
  <c r="S12" i="6"/>
  <c r="I33" i="6"/>
  <c r="P37" i="6"/>
  <c r="P42" i="6"/>
  <c r="S45" i="6"/>
  <c r="S47" i="6"/>
  <c r="S53" i="6"/>
  <c r="I63" i="6"/>
  <c r="P66" i="6"/>
  <c r="S68" i="6"/>
  <c r="P72" i="6"/>
  <c r="P74" i="6"/>
  <c r="S76" i="6"/>
  <c r="S84" i="6"/>
  <c r="P97" i="6"/>
  <c r="M97" i="6"/>
  <c r="L97" i="6"/>
  <c r="J97" i="6"/>
  <c r="R97" i="6"/>
  <c r="P101" i="6"/>
  <c r="M104" i="6"/>
  <c r="S111" i="6"/>
  <c r="V120" i="6"/>
  <c r="U124" i="6"/>
  <c r="V128" i="6"/>
  <c r="I133" i="6"/>
  <c r="L136" i="6"/>
  <c r="R10" i="6"/>
  <c r="U12" i="6"/>
  <c r="U140" i="6" s="1"/>
  <c r="U15" i="6"/>
  <c r="U17" i="6"/>
  <c r="U18" i="6"/>
  <c r="P20" i="6"/>
  <c r="O20" i="6"/>
  <c r="M20" i="6"/>
  <c r="L21" i="6"/>
  <c r="V21" i="6"/>
  <c r="J21" i="6"/>
  <c r="U21" i="6"/>
  <c r="I21" i="6"/>
  <c r="O23" i="6"/>
  <c r="M23" i="6"/>
  <c r="L23" i="6"/>
  <c r="R25" i="6"/>
  <c r="P25" i="6"/>
  <c r="O25" i="6"/>
  <c r="M26" i="6"/>
  <c r="L26" i="6"/>
  <c r="V26" i="6"/>
  <c r="J26" i="6"/>
  <c r="J28" i="6"/>
  <c r="O29" i="6"/>
  <c r="J31" i="6"/>
  <c r="J33" i="6"/>
  <c r="O34" i="6"/>
  <c r="R36" i="6"/>
  <c r="R39" i="6"/>
  <c r="R42" i="6"/>
  <c r="U44" i="6"/>
  <c r="U47" i="6"/>
  <c r="U50" i="6"/>
  <c r="U52" i="6"/>
  <c r="U53" i="6"/>
  <c r="P55" i="6"/>
  <c r="O55" i="6"/>
  <c r="M55" i="6"/>
  <c r="L56" i="6"/>
  <c r="V56" i="6"/>
  <c r="J56" i="6"/>
  <c r="U56" i="6"/>
  <c r="I56" i="6"/>
  <c r="O58" i="6"/>
  <c r="M58" i="6"/>
  <c r="L58" i="6"/>
  <c r="R60" i="6"/>
  <c r="P60" i="6"/>
  <c r="O60" i="6"/>
  <c r="M61" i="6"/>
  <c r="L61" i="6"/>
  <c r="V61" i="6"/>
  <c r="J61" i="6"/>
  <c r="J63" i="6"/>
  <c r="R64" i="6"/>
  <c r="V68" i="6"/>
  <c r="R72" i="6"/>
  <c r="S74" i="6"/>
  <c r="V76" i="6"/>
  <c r="R80" i="6"/>
  <c r="V84" i="6"/>
  <c r="R88" i="6"/>
  <c r="S90" i="6"/>
  <c r="V92" i="6"/>
  <c r="O95" i="6"/>
  <c r="I97" i="6"/>
  <c r="S101" i="6"/>
  <c r="O104" i="6"/>
  <c r="L106" i="6"/>
  <c r="O106" i="6"/>
  <c r="M106" i="6"/>
  <c r="J106" i="6"/>
  <c r="R106" i="6"/>
  <c r="J110" i="6"/>
  <c r="U111" i="6"/>
  <c r="R118" i="6"/>
  <c r="S118" i="6"/>
  <c r="P118" i="6"/>
  <c r="O118" i="6"/>
  <c r="V118" i="6"/>
  <c r="I118" i="6"/>
  <c r="R119" i="6"/>
  <c r="V124" i="6"/>
  <c r="L127" i="6"/>
  <c r="P129" i="6"/>
  <c r="M129" i="6"/>
  <c r="L129" i="6"/>
  <c r="J129" i="6"/>
  <c r="R129" i="6"/>
  <c r="P133" i="6"/>
  <c r="M136" i="6"/>
  <c r="V173" i="6"/>
  <c r="P173" i="6"/>
  <c r="J173" i="6"/>
  <c r="M187" i="6"/>
  <c r="J190" i="6"/>
  <c r="V190" i="6"/>
  <c r="P190" i="6"/>
  <c r="S190" i="6"/>
  <c r="M190" i="6"/>
  <c r="M212" i="6"/>
  <c r="M218" i="6"/>
  <c r="V218" i="6"/>
  <c r="P218" i="6"/>
  <c r="S218" i="6"/>
  <c r="J218" i="6"/>
  <c r="M238" i="6"/>
  <c r="V238" i="6"/>
  <c r="S238" i="6"/>
  <c r="J238" i="6"/>
  <c r="V256" i="6"/>
  <c r="M256" i="6"/>
  <c r="S256" i="6"/>
  <c r="P256" i="6"/>
  <c r="J256" i="6"/>
  <c r="M276" i="6"/>
  <c r="M282" i="6"/>
  <c r="P282" i="6"/>
  <c r="V282" i="6"/>
  <c r="S282" i="6"/>
  <c r="J282" i="6"/>
  <c r="J179" i="7"/>
  <c r="M179" i="7"/>
  <c r="P179" i="7"/>
  <c r="V179" i="7"/>
  <c r="S179" i="7"/>
  <c r="L37" i="6"/>
  <c r="J37" i="6"/>
  <c r="V37" i="6"/>
  <c r="U37" i="6"/>
  <c r="I37" i="6"/>
  <c r="R41" i="6"/>
  <c r="P41" i="6"/>
  <c r="O41" i="6"/>
  <c r="J50" i="6"/>
  <c r="O66" i="6"/>
  <c r="M66" i="6"/>
  <c r="L66" i="6"/>
  <c r="R66" i="6"/>
  <c r="O82" i="6"/>
  <c r="M82" i="6"/>
  <c r="L82" i="6"/>
  <c r="R82" i="6"/>
  <c r="V224" i="6"/>
  <c r="S224" i="6"/>
  <c r="M224" i="6"/>
  <c r="P224" i="6"/>
  <c r="J224" i="6"/>
  <c r="M250" i="6"/>
  <c r="P250" i="6"/>
  <c r="V250" i="6"/>
  <c r="S250" i="6"/>
  <c r="J250" i="6"/>
  <c r="V288" i="6"/>
  <c r="M288" i="6"/>
  <c r="S288" i="6"/>
  <c r="P288" i="6"/>
  <c r="J288" i="6"/>
  <c r="R48" i="6"/>
  <c r="S15" i="6"/>
  <c r="S18" i="6"/>
  <c r="M29" i="6"/>
  <c r="S10" i="6"/>
  <c r="V12" i="6"/>
  <c r="V15" i="6"/>
  <c r="V17" i="6"/>
  <c r="L28" i="6"/>
  <c r="P29" i="6"/>
  <c r="P31" i="6"/>
  <c r="L33" i="6"/>
  <c r="P34" i="6"/>
  <c r="S36" i="6"/>
  <c r="S37" i="6"/>
  <c r="S39" i="6"/>
  <c r="S41" i="6"/>
  <c r="S42" i="6"/>
  <c r="V44" i="6"/>
  <c r="V47" i="6"/>
  <c r="V50" i="6"/>
  <c r="V52" i="6"/>
  <c r="L63" i="6"/>
  <c r="S64" i="6"/>
  <c r="U66" i="6"/>
  <c r="M69" i="6"/>
  <c r="L69" i="6"/>
  <c r="V69" i="6"/>
  <c r="J69" i="6"/>
  <c r="P69" i="6"/>
  <c r="S72" i="6"/>
  <c r="U74" i="6"/>
  <c r="M77" i="6"/>
  <c r="L77" i="6"/>
  <c r="V77" i="6"/>
  <c r="J77" i="6"/>
  <c r="P77" i="6"/>
  <c r="S80" i="6"/>
  <c r="U82" i="6"/>
  <c r="M85" i="6"/>
  <c r="L85" i="6"/>
  <c r="V85" i="6"/>
  <c r="J85" i="6"/>
  <c r="P85" i="6"/>
  <c r="S88" i="6"/>
  <c r="U90" i="6"/>
  <c r="M93" i="6"/>
  <c r="L93" i="6"/>
  <c r="V93" i="6"/>
  <c r="J93" i="6"/>
  <c r="P93" i="6"/>
  <c r="U95" i="6"/>
  <c r="O97" i="6"/>
  <c r="U101" i="6"/>
  <c r="V104" i="6"/>
  <c r="P110" i="6"/>
  <c r="U119" i="6"/>
  <c r="O127" i="6"/>
  <c r="S133" i="6"/>
  <c r="O136" i="6"/>
  <c r="F142" i="6"/>
  <c r="F143" i="6"/>
  <c r="F144" i="6"/>
  <c r="F145" i="6"/>
  <c r="F146" i="6"/>
  <c r="F147" i="6"/>
  <c r="F148" i="6"/>
  <c r="F149" i="6"/>
  <c r="J166" i="6"/>
  <c r="S166" i="6"/>
  <c r="P166" i="6"/>
  <c r="M166" i="6"/>
  <c r="M173" i="6"/>
  <c r="V176" i="6"/>
  <c r="P176" i="6"/>
  <c r="J176" i="6"/>
  <c r="V228" i="6"/>
  <c r="S228" i="6"/>
  <c r="P228" i="6"/>
  <c r="J228" i="6"/>
  <c r="P238" i="6"/>
  <c r="L12" i="7"/>
  <c r="U12" i="7"/>
  <c r="I12" i="7"/>
  <c r="R12" i="7"/>
  <c r="V12" i="7"/>
  <c r="S12" i="7"/>
  <c r="P12" i="7"/>
  <c r="F151" i="7"/>
  <c r="O12" i="7"/>
  <c r="M12" i="7"/>
  <c r="J12" i="7"/>
  <c r="O49" i="7"/>
  <c r="L49" i="7"/>
  <c r="V49" i="7"/>
  <c r="J49" i="7"/>
  <c r="U49" i="7"/>
  <c r="I49" i="7"/>
  <c r="S49" i="7"/>
  <c r="R49" i="7"/>
  <c r="P49" i="7"/>
  <c r="M49" i="7"/>
  <c r="S71" i="6"/>
  <c r="S79" i="6"/>
  <c r="S87" i="6"/>
  <c r="U100" i="6"/>
  <c r="U105" i="6"/>
  <c r="V109" i="6"/>
  <c r="J109" i="6"/>
  <c r="U109" i="6"/>
  <c r="U114" i="6"/>
  <c r="U132" i="6"/>
  <c r="U137" i="6"/>
  <c r="V204" i="6"/>
  <c r="V220" i="6"/>
  <c r="V236" i="6"/>
  <c r="V252" i="6"/>
  <c r="V268" i="6"/>
  <c r="V284" i="6"/>
  <c r="O22" i="7"/>
  <c r="L22" i="7"/>
  <c r="V22" i="7"/>
  <c r="J22" i="7"/>
  <c r="U22" i="7"/>
  <c r="I22" i="7"/>
  <c r="S22" i="7"/>
  <c r="R22" i="7"/>
  <c r="P22" i="7"/>
  <c r="V53" i="7"/>
  <c r="J53" i="7"/>
  <c r="I53" i="7"/>
  <c r="S53" i="7"/>
  <c r="R53" i="7"/>
  <c r="P53" i="7"/>
  <c r="U53" i="7"/>
  <c r="P125" i="7"/>
  <c r="V125" i="7"/>
  <c r="J125" i="7"/>
  <c r="S125" i="7"/>
  <c r="O125" i="7"/>
  <c r="M125" i="7"/>
  <c r="L125" i="7"/>
  <c r="U125" i="7"/>
  <c r="M219" i="7"/>
  <c r="P219" i="7"/>
  <c r="J219" i="7"/>
  <c r="S236" i="7"/>
  <c r="J236" i="7"/>
  <c r="V236" i="7"/>
  <c r="P236" i="7"/>
  <c r="S256" i="7"/>
  <c r="P256" i="7"/>
  <c r="V256" i="7"/>
  <c r="M256" i="7"/>
  <c r="J256" i="7"/>
  <c r="F154" i="7"/>
  <c r="E153" i="7"/>
  <c r="F158" i="7"/>
  <c r="Q153" i="7"/>
  <c r="D153" i="7"/>
  <c r="U10" i="7"/>
  <c r="I10" i="7"/>
  <c r="R10" i="7"/>
  <c r="F155" i="7"/>
  <c r="F141" i="7"/>
  <c r="F140" i="7"/>
  <c r="F156" i="7"/>
  <c r="T153" i="7"/>
  <c r="F149" i="7"/>
  <c r="F148" i="7"/>
  <c r="F147" i="7"/>
  <c r="F146" i="7"/>
  <c r="F145" i="7"/>
  <c r="F144" i="7"/>
  <c r="F143" i="7"/>
  <c r="F142" i="7"/>
  <c r="O10" i="7"/>
  <c r="K153" i="7"/>
  <c r="S10" i="7"/>
  <c r="H153" i="7"/>
  <c r="P10" i="7"/>
  <c r="F157" i="7"/>
  <c r="M10" i="7"/>
  <c r="L10" i="7"/>
  <c r="M22" i="7"/>
  <c r="L53" i="7"/>
  <c r="V81" i="7"/>
  <c r="J81" i="7"/>
  <c r="P81" i="7"/>
  <c r="R81" i="7"/>
  <c r="M81" i="7"/>
  <c r="L81" i="7"/>
  <c r="I81" i="7"/>
  <c r="U81" i="7"/>
  <c r="I125" i="7"/>
  <c r="F152" i="7"/>
  <c r="J187" i="7"/>
  <c r="S187" i="7"/>
  <c r="V187" i="7"/>
  <c r="P187" i="7"/>
  <c r="S219" i="7"/>
  <c r="M236" i="7"/>
  <c r="S284" i="7"/>
  <c r="J284" i="7"/>
  <c r="V284" i="7"/>
  <c r="P284" i="7"/>
  <c r="M284" i="7"/>
  <c r="O30" i="7"/>
  <c r="L30" i="7"/>
  <c r="V30" i="7"/>
  <c r="J30" i="7"/>
  <c r="U30" i="7"/>
  <c r="I30" i="7"/>
  <c r="S30" i="7"/>
  <c r="R30" i="7"/>
  <c r="P30" i="7"/>
  <c r="M203" i="7"/>
  <c r="P203" i="7"/>
  <c r="V203" i="7"/>
  <c r="S203" i="7"/>
  <c r="S228" i="7"/>
  <c r="J228" i="7"/>
  <c r="V228" i="7"/>
  <c r="P228" i="7"/>
  <c r="M228" i="7"/>
  <c r="S288" i="7"/>
  <c r="P288" i="7"/>
  <c r="J288" i="7"/>
  <c r="V288" i="7"/>
  <c r="V10" i="7"/>
  <c r="M30" i="7"/>
  <c r="O53" i="7"/>
  <c r="R66" i="7"/>
  <c r="L66" i="7"/>
  <c r="U66" i="7"/>
  <c r="P66" i="7"/>
  <c r="O66" i="7"/>
  <c r="M66" i="7"/>
  <c r="V66" i="7"/>
  <c r="S66" i="7"/>
  <c r="J66" i="7"/>
  <c r="I66" i="7"/>
  <c r="S81" i="7"/>
  <c r="P109" i="7"/>
  <c r="V109" i="7"/>
  <c r="J109" i="7"/>
  <c r="S109" i="7"/>
  <c r="O109" i="7"/>
  <c r="M109" i="7"/>
  <c r="L109" i="7"/>
  <c r="U109" i="7"/>
  <c r="J203" i="7"/>
  <c r="M288" i="7"/>
  <c r="R11" i="6"/>
  <c r="S16" i="6"/>
  <c r="R19" i="6"/>
  <c r="S24" i="6"/>
  <c r="R27" i="6"/>
  <c r="S32" i="6"/>
  <c r="R35" i="6"/>
  <c r="S40" i="6"/>
  <c r="R43" i="6"/>
  <c r="S51" i="6"/>
  <c r="R54" i="6"/>
  <c r="S59" i="6"/>
  <c r="R62" i="6"/>
  <c r="S67" i="6"/>
  <c r="R70" i="6"/>
  <c r="M71" i="6"/>
  <c r="S75" i="6"/>
  <c r="R78" i="6"/>
  <c r="M79" i="6"/>
  <c r="S83" i="6"/>
  <c r="R86" i="6"/>
  <c r="M87" i="6"/>
  <c r="S91" i="6"/>
  <c r="S94" i="6"/>
  <c r="U98" i="6"/>
  <c r="M100" i="6"/>
  <c r="S103" i="6"/>
  <c r="M105" i="6"/>
  <c r="O109" i="6"/>
  <c r="O114" i="6"/>
  <c r="U116" i="6"/>
  <c r="U121" i="6"/>
  <c r="V125" i="6"/>
  <c r="J125" i="6"/>
  <c r="U125" i="6"/>
  <c r="S126" i="6"/>
  <c r="U130" i="6"/>
  <c r="M132" i="6"/>
  <c r="S135" i="6"/>
  <c r="M137" i="6"/>
  <c r="S164" i="6"/>
  <c r="V167" i="6"/>
  <c r="M169" i="6"/>
  <c r="V170" i="6"/>
  <c r="M172" i="6"/>
  <c r="M175" i="6"/>
  <c r="P178" i="6"/>
  <c r="J192" i="6"/>
  <c r="S193" i="6"/>
  <c r="J195" i="6"/>
  <c r="S196" i="6"/>
  <c r="M198" i="6"/>
  <c r="J204" i="6"/>
  <c r="M211" i="6"/>
  <c r="J214" i="6"/>
  <c r="V215" i="6"/>
  <c r="J220" i="6"/>
  <c r="M227" i="6"/>
  <c r="J230" i="6"/>
  <c r="V231" i="6"/>
  <c r="J236" i="6"/>
  <c r="M243" i="6"/>
  <c r="J246" i="6"/>
  <c r="V247" i="6"/>
  <c r="J252" i="6"/>
  <c r="M259" i="6"/>
  <c r="J262" i="6"/>
  <c r="V263" i="6"/>
  <c r="J268" i="6"/>
  <c r="M275" i="6"/>
  <c r="J278" i="6"/>
  <c r="V279" i="6"/>
  <c r="J284" i="6"/>
  <c r="P11" i="7"/>
  <c r="M11" i="7"/>
  <c r="V11" i="7"/>
  <c r="J11" i="7"/>
  <c r="J139" i="7" s="1"/>
  <c r="U11" i="7"/>
  <c r="S11" i="7"/>
  <c r="R11" i="7"/>
  <c r="O11" i="7"/>
  <c r="O14" i="7"/>
  <c r="L14" i="7"/>
  <c r="U14" i="7"/>
  <c r="I14" i="7"/>
  <c r="V14" i="7"/>
  <c r="S14" i="7"/>
  <c r="R14" i="7"/>
  <c r="O38" i="7"/>
  <c r="L38" i="7"/>
  <c r="V38" i="7"/>
  <c r="J38" i="7"/>
  <c r="U38" i="7"/>
  <c r="I38" i="7"/>
  <c r="S38" i="7"/>
  <c r="R38" i="7"/>
  <c r="P38" i="7"/>
  <c r="P133" i="7"/>
  <c r="V133" i="7"/>
  <c r="J133" i="7"/>
  <c r="I133" i="7"/>
  <c r="U133" i="7"/>
  <c r="S133" i="7"/>
  <c r="R133" i="7"/>
  <c r="S11" i="6"/>
  <c r="S43" i="6"/>
  <c r="O71" i="6"/>
  <c r="S78" i="6"/>
  <c r="P100" i="6"/>
  <c r="U103" i="6"/>
  <c r="O105" i="6"/>
  <c r="P109" i="6"/>
  <c r="P114" i="6"/>
  <c r="U126" i="6"/>
  <c r="P132" i="6"/>
  <c r="U135" i="6"/>
  <c r="O137" i="6"/>
  <c r="P172" i="6"/>
  <c r="M192" i="6"/>
  <c r="M195" i="6"/>
  <c r="P198" i="6"/>
  <c r="P211" i="6"/>
  <c r="P214" i="6"/>
  <c r="M220" i="6"/>
  <c r="P227" i="6"/>
  <c r="M236" i="6"/>
  <c r="P243" i="6"/>
  <c r="P246" i="6"/>
  <c r="M252" i="6"/>
  <c r="P259" i="6"/>
  <c r="P262" i="6"/>
  <c r="M268" i="6"/>
  <c r="P275" i="6"/>
  <c r="P278" i="6"/>
  <c r="M284" i="6"/>
  <c r="I11" i="7"/>
  <c r="J14" i="7"/>
  <c r="M38" i="7"/>
  <c r="R109" i="7"/>
  <c r="L133" i="7"/>
  <c r="P176" i="7"/>
  <c r="J176" i="7"/>
  <c r="V176" i="7"/>
  <c r="P178" i="7"/>
  <c r="V178" i="7"/>
  <c r="S178" i="7"/>
  <c r="M178" i="7"/>
  <c r="V185" i="7"/>
  <c r="M185" i="7"/>
  <c r="S185" i="7"/>
  <c r="P185" i="7"/>
  <c r="J185" i="7"/>
  <c r="S252" i="7"/>
  <c r="J252" i="7"/>
  <c r="M252" i="7"/>
  <c r="S19" i="6"/>
  <c r="S27" i="6"/>
  <c r="S35" i="6"/>
  <c r="S54" i="6"/>
  <c r="S62" i="6"/>
  <c r="S70" i="6"/>
  <c r="O79" i="6"/>
  <c r="S86" i="6"/>
  <c r="O87" i="6"/>
  <c r="U94" i="6"/>
  <c r="U112" i="6"/>
  <c r="I112" i="6"/>
  <c r="V112" i="6"/>
  <c r="P169" i="6"/>
  <c r="S175" i="6"/>
  <c r="S178" i="6"/>
  <c r="M204" i="6"/>
  <c r="P230" i="6"/>
  <c r="I11" i="6"/>
  <c r="J16" i="6"/>
  <c r="I19" i="6"/>
  <c r="J24" i="6"/>
  <c r="I27" i="6"/>
  <c r="J32" i="6"/>
  <c r="I35" i="6"/>
  <c r="J40" i="6"/>
  <c r="I43" i="6"/>
  <c r="J51" i="6"/>
  <c r="I54" i="6"/>
  <c r="J59" i="6"/>
  <c r="I62" i="6"/>
  <c r="J67" i="6"/>
  <c r="I70" i="6"/>
  <c r="J75" i="6"/>
  <c r="I78" i="6"/>
  <c r="J83" i="6"/>
  <c r="I86" i="6"/>
  <c r="J91" i="6"/>
  <c r="I94" i="6"/>
  <c r="V94" i="6"/>
  <c r="J98" i="6"/>
  <c r="R100" i="6"/>
  <c r="I103" i="6"/>
  <c r="V103" i="6"/>
  <c r="R105" i="6"/>
  <c r="U108" i="6"/>
  <c r="R109" i="6"/>
  <c r="J112" i="6"/>
  <c r="U113" i="6"/>
  <c r="R114" i="6"/>
  <c r="J116" i="6"/>
  <c r="V117" i="6"/>
  <c r="J117" i="6"/>
  <c r="U117" i="6"/>
  <c r="J121" i="6"/>
  <c r="U122" i="6"/>
  <c r="L125" i="6"/>
  <c r="I126" i="6"/>
  <c r="V126" i="6"/>
  <c r="J130" i="6"/>
  <c r="R132" i="6"/>
  <c r="I135" i="6"/>
  <c r="V135" i="6"/>
  <c r="R137" i="6"/>
  <c r="J168" i="6"/>
  <c r="J171" i="6"/>
  <c r="S172" i="6"/>
  <c r="M174" i="6"/>
  <c r="V175" i="6"/>
  <c r="V178" i="6"/>
  <c r="M180" i="6"/>
  <c r="M183" i="6"/>
  <c r="P186" i="6"/>
  <c r="P192" i="6"/>
  <c r="S195" i="6"/>
  <c r="S198" i="6"/>
  <c r="M207" i="6"/>
  <c r="J210" i="6"/>
  <c r="V211" i="6"/>
  <c r="S214" i="6"/>
  <c r="M223" i="6"/>
  <c r="J226" i="6"/>
  <c r="V227" i="6"/>
  <c r="S230" i="6"/>
  <c r="M239" i="6"/>
  <c r="J242" i="6"/>
  <c r="V243" i="6"/>
  <c r="S246" i="6"/>
  <c r="M255" i="6"/>
  <c r="J258" i="6"/>
  <c r="V259" i="6"/>
  <c r="S262" i="6"/>
  <c r="M271" i="6"/>
  <c r="J274" i="6"/>
  <c r="V275" i="6"/>
  <c r="S278" i="6"/>
  <c r="M287" i="6"/>
  <c r="J290" i="6"/>
  <c r="L11" i="7"/>
  <c r="M14" i="7"/>
  <c r="P61" i="7"/>
  <c r="V61" i="7"/>
  <c r="J61" i="7"/>
  <c r="I61" i="7"/>
  <c r="U61" i="7"/>
  <c r="S61" i="7"/>
  <c r="R61" i="7"/>
  <c r="O61" i="7"/>
  <c r="O64" i="7"/>
  <c r="U64" i="7"/>
  <c r="I64" i="7"/>
  <c r="V64" i="7"/>
  <c r="R64" i="7"/>
  <c r="P64" i="7"/>
  <c r="M64" i="7"/>
  <c r="S64" i="7"/>
  <c r="L64" i="7"/>
  <c r="J64" i="7"/>
  <c r="P93" i="7"/>
  <c r="V93" i="7"/>
  <c r="J93" i="7"/>
  <c r="S93" i="7"/>
  <c r="O93" i="7"/>
  <c r="M93" i="7"/>
  <c r="L93" i="7"/>
  <c r="U93" i="7"/>
  <c r="M133" i="7"/>
  <c r="O136" i="7"/>
  <c r="U136" i="7"/>
  <c r="I136" i="7"/>
  <c r="S136" i="7"/>
  <c r="P136" i="7"/>
  <c r="M136" i="7"/>
  <c r="L136" i="7"/>
  <c r="V136" i="7"/>
  <c r="R136" i="7"/>
  <c r="J136" i="7"/>
  <c r="M176" i="7"/>
  <c r="J178" i="7"/>
  <c r="M233" i="7"/>
  <c r="V233" i="7"/>
  <c r="S233" i="7"/>
  <c r="P233" i="7"/>
  <c r="P252" i="7"/>
  <c r="S264" i="7"/>
  <c r="P264" i="7"/>
  <c r="V264" i="7"/>
  <c r="M264" i="7"/>
  <c r="J264" i="7"/>
  <c r="U132" i="7"/>
  <c r="I132" i="7"/>
  <c r="O132" i="7"/>
  <c r="J132" i="7"/>
  <c r="V132" i="7"/>
  <c r="S132" i="7"/>
  <c r="R132" i="7"/>
  <c r="L134" i="7"/>
  <c r="R134" i="7"/>
  <c r="I134" i="7"/>
  <c r="U134" i="7"/>
  <c r="S134" i="7"/>
  <c r="P134" i="7"/>
  <c r="J164" i="7"/>
  <c r="V164" i="7"/>
  <c r="S164" i="7"/>
  <c r="P164" i="7"/>
  <c r="M164" i="7"/>
  <c r="P169" i="7"/>
  <c r="V169" i="7"/>
  <c r="S169" i="7"/>
  <c r="J172" i="7"/>
  <c r="V172" i="7"/>
  <c r="M172" i="7"/>
  <c r="J191" i="7"/>
  <c r="P191" i="7"/>
  <c r="V191" i="7"/>
  <c r="S191" i="7"/>
  <c r="M191" i="7"/>
  <c r="P194" i="7"/>
  <c r="J194" i="7"/>
  <c r="S220" i="7"/>
  <c r="J220" i="7"/>
  <c r="V220" i="7"/>
  <c r="P220" i="7"/>
  <c r="M220" i="7"/>
  <c r="M257" i="7"/>
  <c r="J257" i="7"/>
  <c r="S272" i="7"/>
  <c r="P272" i="7"/>
  <c r="V272" i="7"/>
  <c r="P19" i="7"/>
  <c r="M19" i="7"/>
  <c r="L19" i="7"/>
  <c r="V19" i="7"/>
  <c r="J19" i="7"/>
  <c r="P27" i="7"/>
  <c r="M27" i="7"/>
  <c r="L27" i="7"/>
  <c r="V27" i="7"/>
  <c r="J27" i="7"/>
  <c r="P35" i="7"/>
  <c r="M35" i="7"/>
  <c r="L35" i="7"/>
  <c r="V35" i="7"/>
  <c r="J35" i="7"/>
  <c r="P43" i="7"/>
  <c r="M43" i="7"/>
  <c r="L43" i="7"/>
  <c r="V43" i="7"/>
  <c r="J43" i="7"/>
  <c r="M55" i="7"/>
  <c r="R55" i="7"/>
  <c r="O55" i="7"/>
  <c r="L55" i="7"/>
  <c r="J55" i="7"/>
  <c r="U60" i="7"/>
  <c r="I60" i="7"/>
  <c r="O60" i="7"/>
  <c r="J60" i="7"/>
  <c r="V60" i="7"/>
  <c r="S60" i="7"/>
  <c r="R60" i="7"/>
  <c r="L62" i="7"/>
  <c r="R62" i="7"/>
  <c r="I62" i="7"/>
  <c r="U62" i="7"/>
  <c r="S62" i="7"/>
  <c r="P62" i="7"/>
  <c r="O80" i="7"/>
  <c r="U80" i="7"/>
  <c r="I80" i="7"/>
  <c r="R80" i="7"/>
  <c r="M80" i="7"/>
  <c r="L80" i="7"/>
  <c r="J80" i="7"/>
  <c r="R82" i="7"/>
  <c r="L82" i="7"/>
  <c r="P82" i="7"/>
  <c r="M82" i="7"/>
  <c r="J82" i="7"/>
  <c r="I82" i="7"/>
  <c r="U92" i="7"/>
  <c r="I92" i="7"/>
  <c r="O92" i="7"/>
  <c r="S92" i="7"/>
  <c r="P92" i="7"/>
  <c r="M92" i="7"/>
  <c r="L92" i="7"/>
  <c r="L94" i="7"/>
  <c r="R94" i="7"/>
  <c r="S94" i="7"/>
  <c r="O94" i="7"/>
  <c r="M94" i="7"/>
  <c r="J94" i="7"/>
  <c r="U108" i="7"/>
  <c r="I108" i="7"/>
  <c r="O108" i="7"/>
  <c r="S108" i="7"/>
  <c r="P108" i="7"/>
  <c r="M108" i="7"/>
  <c r="L108" i="7"/>
  <c r="L110" i="7"/>
  <c r="R110" i="7"/>
  <c r="S110" i="7"/>
  <c r="O110" i="7"/>
  <c r="M110" i="7"/>
  <c r="J110" i="7"/>
  <c r="U124" i="7"/>
  <c r="I124" i="7"/>
  <c r="O124" i="7"/>
  <c r="S124" i="7"/>
  <c r="P124" i="7"/>
  <c r="M124" i="7"/>
  <c r="L124" i="7"/>
  <c r="L126" i="7"/>
  <c r="R126" i="7"/>
  <c r="S126" i="7"/>
  <c r="O126" i="7"/>
  <c r="M126" i="7"/>
  <c r="J126" i="7"/>
  <c r="P165" i="7"/>
  <c r="J165" i="7"/>
  <c r="J169" i="7"/>
  <c r="P172" i="7"/>
  <c r="V189" i="7"/>
  <c r="J189" i="7"/>
  <c r="S189" i="7"/>
  <c r="P189" i="7"/>
  <c r="P192" i="7"/>
  <c r="J192" i="7"/>
  <c r="M192" i="7"/>
  <c r="S224" i="7"/>
  <c r="P224" i="7"/>
  <c r="J224" i="7"/>
  <c r="P257" i="7"/>
  <c r="J272" i="7"/>
  <c r="M289" i="7"/>
  <c r="S289" i="7"/>
  <c r="P289" i="7"/>
  <c r="J289" i="7"/>
  <c r="R16" i="7"/>
  <c r="O16" i="7"/>
  <c r="M16" i="7"/>
  <c r="L16" i="7"/>
  <c r="R24" i="7"/>
  <c r="O24" i="7"/>
  <c r="M24" i="7"/>
  <c r="L24" i="7"/>
  <c r="R32" i="7"/>
  <c r="O32" i="7"/>
  <c r="M32" i="7"/>
  <c r="L32" i="7"/>
  <c r="R40" i="7"/>
  <c r="O40" i="7"/>
  <c r="M40" i="7"/>
  <c r="L40" i="7"/>
  <c r="S200" i="7"/>
  <c r="P200" i="7"/>
  <c r="V200" i="7"/>
  <c r="M200" i="7"/>
  <c r="M259" i="7"/>
  <c r="P259" i="7"/>
  <c r="V259" i="7"/>
  <c r="S259" i="7"/>
  <c r="M283" i="7"/>
  <c r="P283" i="7"/>
  <c r="J283" i="7"/>
  <c r="I16" i="7"/>
  <c r="U18" i="7"/>
  <c r="I18" i="7"/>
  <c r="R18" i="7"/>
  <c r="P18" i="7"/>
  <c r="O18" i="7"/>
  <c r="O19" i="7"/>
  <c r="I24" i="7"/>
  <c r="U26" i="7"/>
  <c r="I26" i="7"/>
  <c r="R26" i="7"/>
  <c r="P26" i="7"/>
  <c r="O26" i="7"/>
  <c r="O27" i="7"/>
  <c r="I32" i="7"/>
  <c r="U34" i="7"/>
  <c r="I34" i="7"/>
  <c r="R34" i="7"/>
  <c r="P34" i="7"/>
  <c r="O34" i="7"/>
  <c r="O35" i="7"/>
  <c r="I40" i="7"/>
  <c r="U42" i="7"/>
  <c r="I42" i="7"/>
  <c r="R42" i="7"/>
  <c r="P42" i="7"/>
  <c r="O42" i="7"/>
  <c r="O43" i="7"/>
  <c r="R51" i="7"/>
  <c r="O51" i="7"/>
  <c r="M51" i="7"/>
  <c r="L51" i="7"/>
  <c r="P55" i="7"/>
  <c r="M60" i="7"/>
  <c r="M62" i="7"/>
  <c r="V65" i="7"/>
  <c r="J65" i="7"/>
  <c r="P65" i="7"/>
  <c r="U65" i="7"/>
  <c r="R65" i="7"/>
  <c r="O65" i="7"/>
  <c r="M65" i="7"/>
  <c r="U76" i="7"/>
  <c r="I76" i="7"/>
  <c r="O76" i="7"/>
  <c r="V76" i="7"/>
  <c r="R76" i="7"/>
  <c r="P76" i="7"/>
  <c r="M76" i="7"/>
  <c r="L78" i="7"/>
  <c r="R78" i="7"/>
  <c r="U78" i="7"/>
  <c r="P78" i="7"/>
  <c r="O78" i="7"/>
  <c r="M78" i="7"/>
  <c r="S80" i="7"/>
  <c r="S82" i="7"/>
  <c r="R92" i="7"/>
  <c r="P94" i="7"/>
  <c r="R108" i="7"/>
  <c r="P110" i="7"/>
  <c r="R124" i="7"/>
  <c r="P126" i="7"/>
  <c r="P132" i="7"/>
  <c r="O134" i="7"/>
  <c r="V137" i="7"/>
  <c r="J137" i="7"/>
  <c r="P137" i="7"/>
  <c r="S137" i="7"/>
  <c r="O137" i="7"/>
  <c r="M137" i="7"/>
  <c r="L137" i="7"/>
  <c r="P173" i="7"/>
  <c r="S173" i="7"/>
  <c r="M173" i="7"/>
  <c r="J173" i="7"/>
  <c r="J200" i="7"/>
  <c r="S208" i="7"/>
  <c r="P208" i="7"/>
  <c r="V208" i="7"/>
  <c r="M241" i="7"/>
  <c r="V241" i="7"/>
  <c r="S241" i="7"/>
  <c r="M251" i="7"/>
  <c r="P251" i="7"/>
  <c r="V251" i="7"/>
  <c r="S251" i="7"/>
  <c r="J251" i="7"/>
  <c r="J259" i="7"/>
  <c r="M267" i="7"/>
  <c r="P267" i="7"/>
  <c r="V267" i="7"/>
  <c r="S283" i="7"/>
  <c r="M13" i="7"/>
  <c r="P15" i="7"/>
  <c r="R20" i="7"/>
  <c r="M21" i="7"/>
  <c r="P23" i="7"/>
  <c r="R28" i="7"/>
  <c r="M29" i="7"/>
  <c r="P31" i="7"/>
  <c r="R36" i="7"/>
  <c r="M37" i="7"/>
  <c r="P39" i="7"/>
  <c r="R44" i="7"/>
  <c r="M45" i="7"/>
  <c r="R47" i="7"/>
  <c r="M48" i="7"/>
  <c r="P50" i="7"/>
  <c r="M54" i="7"/>
  <c r="O56" i="7"/>
  <c r="U56" i="7"/>
  <c r="I56" i="7"/>
  <c r="V57" i="7"/>
  <c r="J57" i="7"/>
  <c r="P57" i="7"/>
  <c r="R58" i="7"/>
  <c r="L58" i="7"/>
  <c r="V58" i="7"/>
  <c r="U68" i="7"/>
  <c r="I68" i="7"/>
  <c r="O68" i="7"/>
  <c r="P69" i="7"/>
  <c r="V69" i="7"/>
  <c r="J69" i="7"/>
  <c r="L70" i="7"/>
  <c r="R70" i="7"/>
  <c r="V70" i="7"/>
  <c r="O96" i="7"/>
  <c r="U96" i="7"/>
  <c r="I96" i="7"/>
  <c r="V97" i="7"/>
  <c r="J97" i="7"/>
  <c r="P97" i="7"/>
  <c r="R98" i="7"/>
  <c r="L98" i="7"/>
  <c r="V98" i="7"/>
  <c r="O112" i="7"/>
  <c r="U112" i="7"/>
  <c r="I112" i="7"/>
  <c r="V113" i="7"/>
  <c r="J113" i="7"/>
  <c r="P113" i="7"/>
  <c r="R114" i="7"/>
  <c r="L114" i="7"/>
  <c r="V114" i="7"/>
  <c r="V166" i="7"/>
  <c r="J166" i="7"/>
  <c r="J195" i="7"/>
  <c r="M195" i="7"/>
  <c r="V197" i="7"/>
  <c r="P197" i="7"/>
  <c r="S212" i="7"/>
  <c r="J212" i="7"/>
  <c r="M243" i="7"/>
  <c r="P243" i="7"/>
  <c r="S248" i="7"/>
  <c r="P248" i="7"/>
  <c r="S276" i="7"/>
  <c r="J276" i="7"/>
  <c r="S20" i="7"/>
  <c r="S28" i="7"/>
  <c r="S36" i="7"/>
  <c r="S44" i="7"/>
  <c r="S47" i="7"/>
  <c r="O128" i="7"/>
  <c r="U128" i="7"/>
  <c r="I128" i="7"/>
  <c r="V129" i="7"/>
  <c r="J129" i="7"/>
  <c r="P129" i="7"/>
  <c r="R130" i="7"/>
  <c r="L130" i="7"/>
  <c r="V130" i="7"/>
  <c r="J168" i="7"/>
  <c r="V168" i="7"/>
  <c r="S204" i="7"/>
  <c r="J204" i="7"/>
  <c r="M235" i="7"/>
  <c r="P235" i="7"/>
  <c r="S240" i="7"/>
  <c r="P240" i="7"/>
  <c r="S268" i="7"/>
  <c r="J268" i="7"/>
  <c r="S15" i="7"/>
  <c r="I20" i="7"/>
  <c r="U20" i="7"/>
  <c r="S23" i="7"/>
  <c r="I28" i="7"/>
  <c r="U28" i="7"/>
  <c r="S31" i="7"/>
  <c r="I36" i="7"/>
  <c r="U36" i="7"/>
  <c r="S39" i="7"/>
  <c r="I44" i="7"/>
  <c r="U44" i="7"/>
  <c r="I47" i="7"/>
  <c r="U47" i="7"/>
  <c r="S50" i="7"/>
  <c r="O72" i="7"/>
  <c r="U72" i="7"/>
  <c r="I72" i="7"/>
  <c r="V73" i="7"/>
  <c r="J73" i="7"/>
  <c r="P73" i="7"/>
  <c r="R74" i="7"/>
  <c r="L74" i="7"/>
  <c r="V74" i="7"/>
  <c r="U84" i="7"/>
  <c r="I84" i="7"/>
  <c r="O84" i="7"/>
  <c r="P85" i="7"/>
  <c r="V85" i="7"/>
  <c r="J85" i="7"/>
  <c r="L86" i="7"/>
  <c r="R86" i="7"/>
  <c r="V86" i="7"/>
  <c r="U100" i="7"/>
  <c r="I100" i="7"/>
  <c r="O100" i="7"/>
  <c r="P101" i="7"/>
  <c r="V101" i="7"/>
  <c r="J101" i="7"/>
  <c r="L102" i="7"/>
  <c r="R102" i="7"/>
  <c r="V102" i="7"/>
  <c r="U116" i="7"/>
  <c r="I116" i="7"/>
  <c r="O116" i="7"/>
  <c r="P117" i="7"/>
  <c r="V117" i="7"/>
  <c r="J117" i="7"/>
  <c r="L118" i="7"/>
  <c r="R118" i="7"/>
  <c r="V118" i="7"/>
  <c r="J128" i="7"/>
  <c r="I129" i="7"/>
  <c r="I130" i="7"/>
  <c r="M168" i="7"/>
  <c r="V170" i="7"/>
  <c r="J170" i="7"/>
  <c r="P184" i="7"/>
  <c r="S184" i="7"/>
  <c r="V186" i="7"/>
  <c r="J186" i="7"/>
  <c r="P188" i="7"/>
  <c r="M188" i="7"/>
  <c r="M204" i="7"/>
  <c r="J209" i="7"/>
  <c r="M227" i="7"/>
  <c r="P227" i="7"/>
  <c r="S232" i="7"/>
  <c r="P232" i="7"/>
  <c r="J235" i="7"/>
  <c r="J240" i="7"/>
  <c r="S260" i="7"/>
  <c r="J260" i="7"/>
  <c r="M268" i="7"/>
  <c r="J273" i="7"/>
  <c r="M15" i="8"/>
  <c r="S15" i="8"/>
  <c r="U15" i="8"/>
  <c r="R15" i="8"/>
  <c r="P15" i="8"/>
  <c r="O15" i="8"/>
  <c r="L15" i="8"/>
  <c r="J15" i="8"/>
  <c r="V15" i="8"/>
  <c r="I15" i="8"/>
  <c r="O131" i="8"/>
  <c r="L131" i="8"/>
  <c r="U131" i="8"/>
  <c r="S131" i="8"/>
  <c r="V131" i="8"/>
  <c r="P131" i="8"/>
  <c r="R131" i="8"/>
  <c r="M131" i="8"/>
  <c r="J131" i="8"/>
  <c r="I131" i="8"/>
  <c r="M126" i="8"/>
  <c r="V126" i="8"/>
  <c r="J126" i="8"/>
  <c r="L126" i="8"/>
  <c r="I126" i="8"/>
  <c r="R126" i="8"/>
  <c r="O126" i="8"/>
  <c r="U126" i="8"/>
  <c r="S126" i="8"/>
  <c r="P126" i="8"/>
  <c r="J15" i="7"/>
  <c r="J141" i="7" s="1"/>
  <c r="J23" i="7"/>
  <c r="J31" i="7"/>
  <c r="J39" i="7"/>
  <c r="J50" i="7"/>
  <c r="U54" i="7"/>
  <c r="L72" i="7"/>
  <c r="L73" i="7"/>
  <c r="J74" i="7"/>
  <c r="L84" i="7"/>
  <c r="L85" i="7"/>
  <c r="J86" i="7"/>
  <c r="O88" i="7"/>
  <c r="U88" i="7"/>
  <c r="I88" i="7"/>
  <c r="V89" i="7"/>
  <c r="J89" i="7"/>
  <c r="P89" i="7"/>
  <c r="R90" i="7"/>
  <c r="L90" i="7"/>
  <c r="V90" i="7"/>
  <c r="L100" i="7"/>
  <c r="L101" i="7"/>
  <c r="J102" i="7"/>
  <c r="O104" i="7"/>
  <c r="U104" i="7"/>
  <c r="I104" i="7"/>
  <c r="V105" i="7"/>
  <c r="J105" i="7"/>
  <c r="P105" i="7"/>
  <c r="R106" i="7"/>
  <c r="L106" i="7"/>
  <c r="V106" i="7"/>
  <c r="L116" i="7"/>
  <c r="L117" i="7"/>
  <c r="J118" i="7"/>
  <c r="O120" i="7"/>
  <c r="U120" i="7"/>
  <c r="I120" i="7"/>
  <c r="V121" i="7"/>
  <c r="J121" i="7"/>
  <c r="P121" i="7"/>
  <c r="R122" i="7"/>
  <c r="L122" i="7"/>
  <c r="V122" i="7"/>
  <c r="M128" i="7"/>
  <c r="M129" i="7"/>
  <c r="M130" i="7"/>
  <c r="M163" i="7"/>
  <c r="S168" i="7"/>
  <c r="P170" i="7"/>
  <c r="V174" i="7"/>
  <c r="J174" i="7"/>
  <c r="V175" i="7"/>
  <c r="V181" i="7"/>
  <c r="P181" i="7"/>
  <c r="V182" i="7"/>
  <c r="M184" i="7"/>
  <c r="P186" i="7"/>
  <c r="S188" i="7"/>
  <c r="P201" i="7"/>
  <c r="V204" i="7"/>
  <c r="S209" i="7"/>
  <c r="M211" i="7"/>
  <c r="P211" i="7"/>
  <c r="S216" i="7"/>
  <c r="P216" i="7"/>
  <c r="V217" i="7"/>
  <c r="S227" i="7"/>
  <c r="M232" i="7"/>
  <c r="V235" i="7"/>
  <c r="V240" i="7"/>
  <c r="S244" i="7"/>
  <c r="J244" i="7"/>
  <c r="P260" i="7"/>
  <c r="P265" i="7"/>
  <c r="V268" i="7"/>
  <c r="S273" i="7"/>
  <c r="M275" i="7"/>
  <c r="P275" i="7"/>
  <c r="S280" i="7"/>
  <c r="P280" i="7"/>
  <c r="V281" i="7"/>
  <c r="U87" i="8"/>
  <c r="I87" i="8"/>
  <c r="R87" i="8"/>
  <c r="M87" i="8"/>
  <c r="L87" i="8"/>
  <c r="J87" i="8"/>
  <c r="V87" i="8"/>
  <c r="S87" i="8"/>
  <c r="P87" i="8"/>
  <c r="O87" i="8"/>
  <c r="P64" i="8"/>
  <c r="M64" i="8"/>
  <c r="L64" i="8"/>
  <c r="S64" i="8"/>
  <c r="O64" i="8"/>
  <c r="V64" i="8"/>
  <c r="U64" i="8"/>
  <c r="R64" i="8"/>
  <c r="J64" i="8"/>
  <c r="I64" i="8"/>
  <c r="R77" i="8"/>
  <c r="O77" i="8"/>
  <c r="M77" i="8"/>
  <c r="P77" i="8"/>
  <c r="J77" i="8"/>
  <c r="V77" i="8"/>
  <c r="U77" i="8"/>
  <c r="S77" i="8"/>
  <c r="L77" i="8"/>
  <c r="M63" i="7"/>
  <c r="M71" i="7"/>
  <c r="M79" i="7"/>
  <c r="M87" i="7"/>
  <c r="S91" i="7"/>
  <c r="M95" i="7"/>
  <c r="S99" i="7"/>
  <c r="M103" i="7"/>
  <c r="S107" i="7"/>
  <c r="M111" i="7"/>
  <c r="S115" i="7"/>
  <c r="M119" i="7"/>
  <c r="S123" i="7"/>
  <c r="S131" i="7"/>
  <c r="S193" i="7"/>
  <c r="V196" i="7"/>
  <c r="V215" i="7"/>
  <c r="V231" i="7"/>
  <c r="V247" i="7"/>
  <c r="V263" i="7"/>
  <c r="V279" i="7"/>
  <c r="L26" i="8"/>
  <c r="O26" i="8"/>
  <c r="U26" i="8"/>
  <c r="S26" i="8"/>
  <c r="R26" i="8"/>
  <c r="P26" i="8"/>
  <c r="M26" i="8"/>
  <c r="J26" i="8"/>
  <c r="O83" i="8"/>
  <c r="L83" i="8"/>
  <c r="R83" i="8"/>
  <c r="P83" i="8"/>
  <c r="U83" i="8"/>
  <c r="M83" i="8"/>
  <c r="V83" i="8"/>
  <c r="S83" i="8"/>
  <c r="J83" i="8"/>
  <c r="I83" i="8"/>
  <c r="L113" i="8"/>
  <c r="U113" i="8"/>
  <c r="I113" i="8"/>
  <c r="O113" i="8"/>
  <c r="M113" i="8"/>
  <c r="R113" i="8"/>
  <c r="J113" i="8"/>
  <c r="V113" i="8"/>
  <c r="S113" i="8"/>
  <c r="P113" i="8"/>
  <c r="U16" i="8"/>
  <c r="I16" i="8"/>
  <c r="P16" i="8"/>
  <c r="S16" i="8"/>
  <c r="R16" i="8"/>
  <c r="R141" i="8" s="1"/>
  <c r="O16" i="8"/>
  <c r="M16" i="8"/>
  <c r="L16" i="8"/>
  <c r="J16" i="8"/>
  <c r="I26" i="8"/>
  <c r="R69" i="8"/>
  <c r="L69" i="8"/>
  <c r="J69" i="8"/>
  <c r="S69" i="8"/>
  <c r="O69" i="8"/>
  <c r="V69" i="8"/>
  <c r="U69" i="8"/>
  <c r="P69" i="8"/>
  <c r="M69" i="8"/>
  <c r="I69" i="8"/>
  <c r="V26" i="8"/>
  <c r="V60" i="8"/>
  <c r="J60" i="8"/>
  <c r="L60" i="8"/>
  <c r="I60" i="8"/>
  <c r="R60" i="8"/>
  <c r="O60" i="8"/>
  <c r="U60" i="8"/>
  <c r="S60" i="8"/>
  <c r="P60" i="8"/>
  <c r="R101" i="8"/>
  <c r="O101" i="8"/>
  <c r="J101" i="8"/>
  <c r="I101" i="8"/>
  <c r="S101" i="8"/>
  <c r="M101" i="8"/>
  <c r="V101" i="8"/>
  <c r="U101" i="8"/>
  <c r="P101" i="8"/>
  <c r="M110" i="8"/>
  <c r="V110" i="8"/>
  <c r="J110" i="8"/>
  <c r="P110" i="8"/>
  <c r="O110" i="8"/>
  <c r="S110" i="8"/>
  <c r="U110" i="8"/>
  <c r="R110" i="8"/>
  <c r="L110" i="8"/>
  <c r="P128" i="8"/>
  <c r="M128" i="8"/>
  <c r="J128" i="8"/>
  <c r="I128" i="8"/>
  <c r="U128" i="8"/>
  <c r="V128" i="8"/>
  <c r="S128" i="8"/>
  <c r="R128" i="8"/>
  <c r="O128" i="8"/>
  <c r="L128" i="8"/>
  <c r="P17" i="8"/>
  <c r="M17" i="8"/>
  <c r="S17" i="8"/>
  <c r="R17" i="8"/>
  <c r="R140" i="8" s="1"/>
  <c r="O17" i="8"/>
  <c r="O141" i="8" s="1"/>
  <c r="L17" i="8"/>
  <c r="J17" i="8"/>
  <c r="I17" i="8"/>
  <c r="U71" i="8"/>
  <c r="I71" i="8"/>
  <c r="S71" i="8"/>
  <c r="R71" i="8"/>
  <c r="O71" i="8"/>
  <c r="L71" i="8"/>
  <c r="V71" i="8"/>
  <c r="P71" i="8"/>
  <c r="M71" i="8"/>
  <c r="U17" i="8"/>
  <c r="J71" i="8"/>
  <c r="L18" i="8"/>
  <c r="J18" i="8"/>
  <c r="V18" i="8"/>
  <c r="O36" i="8"/>
  <c r="J36" i="8"/>
  <c r="V36" i="8"/>
  <c r="L56" i="8"/>
  <c r="V56" i="8"/>
  <c r="J56" i="8"/>
  <c r="S56" i="8"/>
  <c r="P56" i="8"/>
  <c r="O59" i="8"/>
  <c r="M59" i="8"/>
  <c r="L59" i="8"/>
  <c r="R59" i="8"/>
  <c r="J59" i="8"/>
  <c r="L89" i="8"/>
  <c r="U89" i="8"/>
  <c r="I89" i="8"/>
  <c r="M89" i="8"/>
  <c r="J89" i="8"/>
  <c r="S89" i="8"/>
  <c r="P89" i="8"/>
  <c r="U119" i="8"/>
  <c r="I119" i="8"/>
  <c r="R119" i="8"/>
  <c r="V119" i="8"/>
  <c r="S119" i="8"/>
  <c r="O119" i="8"/>
  <c r="U12" i="8"/>
  <c r="I18" i="8"/>
  <c r="I36" i="8"/>
  <c r="R38" i="8"/>
  <c r="S38" i="8"/>
  <c r="V38" i="8"/>
  <c r="R41" i="8"/>
  <c r="P41" i="8"/>
  <c r="M41" i="8"/>
  <c r="M42" i="8"/>
  <c r="L42" i="8"/>
  <c r="O42" i="8"/>
  <c r="R52" i="8"/>
  <c r="P52" i="8"/>
  <c r="L52" i="8"/>
  <c r="I52" i="8"/>
  <c r="P55" i="8"/>
  <c r="O55" i="8"/>
  <c r="U55" i="8"/>
  <c r="R55" i="8"/>
  <c r="I56" i="8"/>
  <c r="I59" i="8"/>
  <c r="L73" i="8"/>
  <c r="O73" i="8"/>
  <c r="M73" i="8"/>
  <c r="S73" i="8"/>
  <c r="P73" i="8"/>
  <c r="V76" i="8"/>
  <c r="J76" i="8"/>
  <c r="R76" i="8"/>
  <c r="P76" i="8"/>
  <c r="M76" i="8"/>
  <c r="I76" i="8"/>
  <c r="L81" i="8"/>
  <c r="U81" i="8"/>
  <c r="I81" i="8"/>
  <c r="V81" i="8"/>
  <c r="S81" i="8"/>
  <c r="R81" i="8"/>
  <c r="O81" i="8"/>
  <c r="M86" i="8"/>
  <c r="V86" i="8"/>
  <c r="J86" i="8"/>
  <c r="O86" i="8"/>
  <c r="L86" i="8"/>
  <c r="U86" i="8"/>
  <c r="O89" i="8"/>
  <c r="O99" i="8"/>
  <c r="L99" i="8"/>
  <c r="M99" i="8"/>
  <c r="J99" i="8"/>
  <c r="R99" i="8"/>
  <c r="I99" i="8"/>
  <c r="R109" i="8"/>
  <c r="O109" i="8"/>
  <c r="P109" i="8"/>
  <c r="M109" i="8"/>
  <c r="U109" i="8"/>
  <c r="L109" i="8"/>
  <c r="J119" i="8"/>
  <c r="L168" i="8"/>
  <c r="U168" i="8"/>
  <c r="I168" i="8"/>
  <c r="R168" i="8"/>
  <c r="P168" i="8"/>
  <c r="S168" i="8"/>
  <c r="O168" i="8"/>
  <c r="M168" i="8"/>
  <c r="J168" i="8"/>
  <c r="V168" i="8"/>
  <c r="I12" i="8"/>
  <c r="I140" i="8" s="1"/>
  <c r="V12" i="8"/>
  <c r="V147" i="8" s="1"/>
  <c r="P14" i="8"/>
  <c r="P140" i="8" s="1"/>
  <c r="M18" i="8"/>
  <c r="S21" i="8"/>
  <c r="S22" i="8"/>
  <c r="V29" i="8"/>
  <c r="J29" i="8"/>
  <c r="R29" i="8"/>
  <c r="R30" i="8"/>
  <c r="O30" i="8"/>
  <c r="V30" i="8"/>
  <c r="S32" i="8"/>
  <c r="L36" i="8"/>
  <c r="I38" i="8"/>
  <c r="M39" i="8"/>
  <c r="P39" i="8"/>
  <c r="V39" i="8"/>
  <c r="I41" i="8"/>
  <c r="I42" i="8"/>
  <c r="U47" i="8"/>
  <c r="J52" i="8"/>
  <c r="I55" i="8"/>
  <c r="M56" i="8"/>
  <c r="P59" i="8"/>
  <c r="U63" i="8"/>
  <c r="I63" i="8"/>
  <c r="P63" i="8"/>
  <c r="O63" i="8"/>
  <c r="R63" i="8"/>
  <c r="L63" i="8"/>
  <c r="V68" i="8"/>
  <c r="J68" i="8"/>
  <c r="O68" i="8"/>
  <c r="M68" i="8"/>
  <c r="R68" i="8"/>
  <c r="L68" i="8"/>
  <c r="I73" i="8"/>
  <c r="L76" i="8"/>
  <c r="J81" i="8"/>
  <c r="I86" i="8"/>
  <c r="R89" i="8"/>
  <c r="M94" i="8"/>
  <c r="V94" i="8"/>
  <c r="J94" i="8"/>
  <c r="S94" i="8"/>
  <c r="R94" i="8"/>
  <c r="P94" i="8"/>
  <c r="P99" i="8"/>
  <c r="I109" i="8"/>
  <c r="L119" i="8"/>
  <c r="M187" i="8"/>
  <c r="S187" i="8"/>
  <c r="L187" i="8"/>
  <c r="I187" i="8"/>
  <c r="U187" i="8"/>
  <c r="R187" i="8"/>
  <c r="V187" i="8"/>
  <c r="P187" i="8"/>
  <c r="J187" i="8"/>
  <c r="U225" i="8"/>
  <c r="I225" i="8"/>
  <c r="R225" i="8"/>
  <c r="M225" i="8"/>
  <c r="J225" i="8"/>
  <c r="V225" i="8"/>
  <c r="P225" i="8"/>
  <c r="O225" i="8"/>
  <c r="L225" i="8"/>
  <c r="S225" i="8"/>
  <c r="J12" i="8"/>
  <c r="J139" i="8" s="1"/>
  <c r="I139" i="8" s="1"/>
  <c r="V13" i="8"/>
  <c r="J13" i="8"/>
  <c r="J140" i="8" s="1"/>
  <c r="U13" i="8"/>
  <c r="S14" i="8"/>
  <c r="S139" i="8" s="1"/>
  <c r="R139" i="8" s="1"/>
  <c r="O18" i="8"/>
  <c r="O20" i="8"/>
  <c r="R20" i="8"/>
  <c r="V20" i="8"/>
  <c r="M31" i="8"/>
  <c r="L31" i="8"/>
  <c r="V31" i="8"/>
  <c r="M36" i="8"/>
  <c r="J38" i="8"/>
  <c r="V40" i="8"/>
  <c r="J40" i="8"/>
  <c r="U40" i="8"/>
  <c r="I40" i="8"/>
  <c r="O40" i="8"/>
  <c r="J41" i="8"/>
  <c r="J42" i="8"/>
  <c r="L45" i="8"/>
  <c r="V45" i="8"/>
  <c r="J45" i="8"/>
  <c r="U45" i="8"/>
  <c r="M52" i="8"/>
  <c r="J55" i="8"/>
  <c r="O56" i="8"/>
  <c r="S59" i="8"/>
  <c r="P72" i="8"/>
  <c r="R72" i="8"/>
  <c r="O72" i="8"/>
  <c r="S72" i="8"/>
  <c r="L72" i="8"/>
  <c r="J73" i="8"/>
  <c r="O76" i="8"/>
  <c r="M81" i="8"/>
  <c r="P86" i="8"/>
  <c r="P88" i="8"/>
  <c r="M88" i="8"/>
  <c r="L88" i="8"/>
  <c r="J88" i="8"/>
  <c r="R88" i="8"/>
  <c r="I88" i="8"/>
  <c r="V89" i="8"/>
  <c r="L97" i="8"/>
  <c r="U97" i="8"/>
  <c r="I97" i="8"/>
  <c r="R97" i="8"/>
  <c r="P97" i="8"/>
  <c r="O97" i="8"/>
  <c r="J97" i="8"/>
  <c r="S99" i="8"/>
  <c r="J109" i="8"/>
  <c r="M119" i="8"/>
  <c r="O123" i="8"/>
  <c r="L123" i="8"/>
  <c r="P123" i="8"/>
  <c r="M123" i="8"/>
  <c r="I123" i="8"/>
  <c r="U127" i="8"/>
  <c r="I127" i="8"/>
  <c r="R127" i="8"/>
  <c r="L127" i="8"/>
  <c r="J127" i="8"/>
  <c r="V127" i="8"/>
  <c r="P127" i="8"/>
  <c r="R164" i="8"/>
  <c r="O164" i="8"/>
  <c r="L164" i="8"/>
  <c r="V164" i="8"/>
  <c r="J164" i="8"/>
  <c r="S164" i="8"/>
  <c r="P164" i="8"/>
  <c r="M164" i="8"/>
  <c r="I164" i="8"/>
  <c r="U164" i="8"/>
  <c r="O187" i="8"/>
  <c r="O192" i="8"/>
  <c r="L192" i="8"/>
  <c r="U192" i="8"/>
  <c r="I192" i="8"/>
  <c r="P192" i="8"/>
  <c r="J192" i="8"/>
  <c r="V192" i="8"/>
  <c r="R192" i="8"/>
  <c r="M192" i="8"/>
  <c r="L12" i="8"/>
  <c r="U14" i="8"/>
  <c r="P18" i="8"/>
  <c r="V21" i="8"/>
  <c r="J21" i="8"/>
  <c r="O21" i="8"/>
  <c r="R22" i="8"/>
  <c r="L22" i="8"/>
  <c r="V22" i="8"/>
  <c r="U32" i="8"/>
  <c r="I32" i="8"/>
  <c r="J32" i="8"/>
  <c r="P36" i="8"/>
  <c r="L38" i="8"/>
  <c r="L41" i="8"/>
  <c r="P42" i="8"/>
  <c r="P47" i="8"/>
  <c r="O47" i="8"/>
  <c r="R47" i="8"/>
  <c r="L48" i="8"/>
  <c r="V48" i="8"/>
  <c r="J48" i="8"/>
  <c r="P48" i="8"/>
  <c r="O50" i="8"/>
  <c r="M50" i="8"/>
  <c r="L50" i="8"/>
  <c r="I50" i="8"/>
  <c r="O52" i="8"/>
  <c r="L55" i="8"/>
  <c r="R56" i="8"/>
  <c r="U59" i="8"/>
  <c r="M62" i="8"/>
  <c r="S62" i="8"/>
  <c r="R62" i="8"/>
  <c r="O62" i="8"/>
  <c r="J62" i="8"/>
  <c r="O67" i="8"/>
  <c r="R67" i="8"/>
  <c r="P67" i="8"/>
  <c r="M67" i="8"/>
  <c r="J67" i="8"/>
  <c r="R73" i="8"/>
  <c r="S76" i="8"/>
  <c r="M78" i="8"/>
  <c r="L78" i="8"/>
  <c r="J78" i="8"/>
  <c r="R78" i="8"/>
  <c r="O78" i="8"/>
  <c r="P81" i="8"/>
  <c r="R85" i="8"/>
  <c r="O85" i="8"/>
  <c r="M85" i="8"/>
  <c r="L85" i="8"/>
  <c r="V85" i="8"/>
  <c r="S85" i="8"/>
  <c r="R86" i="8"/>
  <c r="U99" i="8"/>
  <c r="O107" i="8"/>
  <c r="L107" i="8"/>
  <c r="S107" i="8"/>
  <c r="R107" i="8"/>
  <c r="P107" i="8"/>
  <c r="J107" i="8"/>
  <c r="S109" i="8"/>
  <c r="M118" i="8"/>
  <c r="V118" i="8"/>
  <c r="J118" i="8"/>
  <c r="U118" i="8"/>
  <c r="S118" i="8"/>
  <c r="P118" i="8"/>
  <c r="L118" i="8"/>
  <c r="P119" i="8"/>
  <c r="L121" i="8"/>
  <c r="U121" i="8"/>
  <c r="I121" i="8"/>
  <c r="S121" i="8"/>
  <c r="R121" i="8"/>
  <c r="J121" i="8"/>
  <c r="R133" i="8"/>
  <c r="O133" i="8"/>
  <c r="S133" i="8"/>
  <c r="P133" i="8"/>
  <c r="U133" i="8"/>
  <c r="P183" i="8"/>
  <c r="M183" i="8"/>
  <c r="V183" i="8"/>
  <c r="J183" i="8"/>
  <c r="U183" i="8"/>
  <c r="I183" i="8"/>
  <c r="S183" i="8"/>
  <c r="O183" i="8"/>
  <c r="L183" i="8"/>
  <c r="L201" i="8"/>
  <c r="U201" i="8"/>
  <c r="I201" i="8"/>
  <c r="R201" i="8"/>
  <c r="V201" i="8"/>
  <c r="P201" i="8"/>
  <c r="M201" i="8"/>
  <c r="J201" i="8"/>
  <c r="S201" i="8"/>
  <c r="O201" i="8"/>
  <c r="N153" i="8"/>
  <c r="F148" i="8"/>
  <c r="F146" i="8"/>
  <c r="F144" i="8"/>
  <c r="H153" i="8"/>
  <c r="F152" i="8"/>
  <c r="F155" i="8"/>
  <c r="D153" i="8"/>
  <c r="F149" i="8"/>
  <c r="F147" i="8"/>
  <c r="F145" i="8"/>
  <c r="F141" i="8"/>
  <c r="F140" i="8"/>
  <c r="F157" i="8"/>
  <c r="Q153" i="8"/>
  <c r="F143" i="8"/>
  <c r="F142" i="8"/>
  <c r="F158" i="8"/>
  <c r="K153" i="8"/>
  <c r="E153" i="8"/>
  <c r="L10" i="8"/>
  <c r="F151" i="8"/>
  <c r="F154" i="8"/>
  <c r="F156" i="8"/>
  <c r="T153" i="8"/>
  <c r="U10" i="8"/>
  <c r="M12" i="8"/>
  <c r="M143" i="8" s="1"/>
  <c r="L13" i="8"/>
  <c r="I14" i="8"/>
  <c r="I141" i="8" s="1"/>
  <c r="V14" i="8"/>
  <c r="V144" i="8" s="1"/>
  <c r="R18" i="8"/>
  <c r="J20" i="8"/>
  <c r="I21" i="8"/>
  <c r="I22" i="8"/>
  <c r="M23" i="8"/>
  <c r="V23" i="8"/>
  <c r="I23" i="8"/>
  <c r="U24" i="8"/>
  <c r="I24" i="8"/>
  <c r="S24" i="8"/>
  <c r="S146" i="8" s="1"/>
  <c r="P25" i="8"/>
  <c r="R25" i="8"/>
  <c r="V25" i="8"/>
  <c r="J31" i="8"/>
  <c r="L32" i="8"/>
  <c r="L34" i="8"/>
  <c r="R34" i="8"/>
  <c r="V34" i="8"/>
  <c r="R36" i="8"/>
  <c r="M38" i="8"/>
  <c r="M40" i="8"/>
  <c r="O41" i="8"/>
  <c r="R42" i="8"/>
  <c r="M45" i="8"/>
  <c r="I47" i="8"/>
  <c r="I48" i="8"/>
  <c r="J50" i="8"/>
  <c r="S52" i="8"/>
  <c r="M55" i="8"/>
  <c r="U56" i="8"/>
  <c r="V59" i="8"/>
  <c r="I62" i="8"/>
  <c r="L65" i="8"/>
  <c r="J65" i="8"/>
  <c r="V65" i="8"/>
  <c r="I65" i="8"/>
  <c r="S65" i="8"/>
  <c r="P65" i="8"/>
  <c r="I67" i="8"/>
  <c r="J72" i="8"/>
  <c r="U73" i="8"/>
  <c r="U76" i="8"/>
  <c r="I78" i="8"/>
  <c r="I85" i="8"/>
  <c r="S86" i="8"/>
  <c r="S88" i="8"/>
  <c r="R93" i="8"/>
  <c r="O93" i="8"/>
  <c r="U93" i="8"/>
  <c r="S93" i="8"/>
  <c r="P93" i="8"/>
  <c r="L93" i="8"/>
  <c r="S97" i="8"/>
  <c r="V99" i="8"/>
  <c r="I107" i="8"/>
  <c r="V109" i="8"/>
  <c r="I118" i="8"/>
  <c r="M121" i="8"/>
  <c r="R123" i="8"/>
  <c r="O127" i="8"/>
  <c r="I133" i="8"/>
  <c r="P136" i="8"/>
  <c r="M136" i="8"/>
  <c r="R136" i="8"/>
  <c r="O136" i="8"/>
  <c r="S136" i="8"/>
  <c r="J136" i="8"/>
  <c r="R183" i="8"/>
  <c r="L137" i="8"/>
  <c r="U137" i="8"/>
  <c r="I137" i="8"/>
  <c r="P137" i="8"/>
  <c r="O137" i="8"/>
  <c r="U166" i="8"/>
  <c r="I166" i="8"/>
  <c r="R166" i="8"/>
  <c r="O166" i="8"/>
  <c r="M166" i="8"/>
  <c r="V166" i="8"/>
  <c r="S166" i="8"/>
  <c r="L166" i="8"/>
  <c r="R172" i="8"/>
  <c r="O172" i="8"/>
  <c r="L172" i="8"/>
  <c r="V172" i="8"/>
  <c r="J172" i="8"/>
  <c r="U172" i="8"/>
  <c r="S172" i="8"/>
  <c r="M172" i="8"/>
  <c r="P175" i="8"/>
  <c r="M175" i="8"/>
  <c r="V175" i="8"/>
  <c r="J175" i="8"/>
  <c r="U175" i="8"/>
  <c r="I175" i="8"/>
  <c r="S175" i="8"/>
  <c r="R175" i="8"/>
  <c r="O175" i="8"/>
  <c r="L175" i="8"/>
  <c r="P258" i="8"/>
  <c r="M258" i="8"/>
  <c r="V258" i="8"/>
  <c r="J258" i="8"/>
  <c r="S258" i="8"/>
  <c r="O258" i="8"/>
  <c r="I258" i="8"/>
  <c r="L258" i="8"/>
  <c r="U258" i="8"/>
  <c r="V51" i="8"/>
  <c r="J51" i="8"/>
  <c r="U51" i="8"/>
  <c r="I51" i="8"/>
  <c r="M53" i="8"/>
  <c r="L53" i="8"/>
  <c r="V53" i="8"/>
  <c r="P96" i="8"/>
  <c r="M96" i="8"/>
  <c r="S96" i="8"/>
  <c r="R96" i="8"/>
  <c r="P112" i="8"/>
  <c r="M112" i="8"/>
  <c r="O112" i="8"/>
  <c r="L112" i="8"/>
  <c r="R125" i="8"/>
  <c r="O125" i="8"/>
  <c r="L125" i="8"/>
  <c r="J125" i="8"/>
  <c r="U135" i="8"/>
  <c r="I135" i="8"/>
  <c r="R135" i="8"/>
  <c r="P135" i="8"/>
  <c r="O135" i="8"/>
  <c r="R137" i="8"/>
  <c r="J166" i="8"/>
  <c r="I172" i="8"/>
  <c r="L176" i="8"/>
  <c r="U176" i="8"/>
  <c r="I176" i="8"/>
  <c r="R176" i="8"/>
  <c r="P176" i="8"/>
  <c r="V176" i="8"/>
  <c r="S176" i="8"/>
  <c r="M176" i="8"/>
  <c r="L251" i="8"/>
  <c r="U251" i="8"/>
  <c r="I251" i="8"/>
  <c r="O251" i="8"/>
  <c r="J251" i="8"/>
  <c r="V251" i="8"/>
  <c r="S251" i="8"/>
  <c r="P251" i="8"/>
  <c r="M251" i="8"/>
  <c r="R255" i="8"/>
  <c r="O255" i="8"/>
  <c r="L255" i="8"/>
  <c r="M255" i="8"/>
  <c r="I255" i="8"/>
  <c r="V255" i="8"/>
  <c r="S255" i="8"/>
  <c r="J255" i="8"/>
  <c r="U255" i="8"/>
  <c r="R258" i="8"/>
  <c r="R247" i="8"/>
  <c r="O247" i="8"/>
  <c r="P247" i="8"/>
  <c r="L247" i="8"/>
  <c r="I247" i="8"/>
  <c r="J247" i="8"/>
  <c r="V247" i="8"/>
  <c r="U247" i="8"/>
  <c r="S247" i="8"/>
  <c r="U28" i="8"/>
  <c r="U33" i="8"/>
  <c r="V37" i="8"/>
  <c r="J37" i="8"/>
  <c r="U37" i="8"/>
  <c r="P44" i="8"/>
  <c r="O44" i="8"/>
  <c r="V44" i="8"/>
  <c r="M51" i="8"/>
  <c r="J53" i="8"/>
  <c r="U95" i="8"/>
  <c r="I95" i="8"/>
  <c r="R95" i="8"/>
  <c r="S95" i="8"/>
  <c r="P95" i="8"/>
  <c r="J96" i="8"/>
  <c r="U111" i="8"/>
  <c r="I111" i="8"/>
  <c r="R111" i="8"/>
  <c r="O111" i="8"/>
  <c r="M111" i="8"/>
  <c r="J112" i="8"/>
  <c r="P120" i="8"/>
  <c r="M120" i="8"/>
  <c r="U120" i="8"/>
  <c r="S120" i="8"/>
  <c r="M125" i="8"/>
  <c r="M134" i="8"/>
  <c r="V134" i="8"/>
  <c r="J134" i="8"/>
  <c r="R134" i="8"/>
  <c r="P134" i="8"/>
  <c r="L135" i="8"/>
  <c r="V137" i="8"/>
  <c r="O176" i="8"/>
  <c r="L190" i="8"/>
  <c r="U190" i="8"/>
  <c r="I190" i="8"/>
  <c r="R190" i="8"/>
  <c r="O190" i="8"/>
  <c r="J190" i="8"/>
  <c r="V190" i="8"/>
  <c r="S190" i="8"/>
  <c r="P190" i="8"/>
  <c r="M190" i="8"/>
  <c r="U215" i="8"/>
  <c r="I215" i="8"/>
  <c r="R215" i="8"/>
  <c r="O215" i="8"/>
  <c r="J215" i="8"/>
  <c r="S215" i="8"/>
  <c r="P215" i="8"/>
  <c r="V215" i="8"/>
  <c r="M215" i="8"/>
  <c r="L215" i="8"/>
  <c r="M232" i="8"/>
  <c r="V232" i="8"/>
  <c r="J232" i="8"/>
  <c r="R232" i="8"/>
  <c r="O232" i="8"/>
  <c r="I232" i="8"/>
  <c r="S232" i="8"/>
  <c r="P232" i="8"/>
  <c r="U232" i="8"/>
  <c r="M247" i="8"/>
  <c r="U182" i="8"/>
  <c r="I182" i="8"/>
  <c r="R182" i="8"/>
  <c r="O182" i="8"/>
  <c r="M182" i="8"/>
  <c r="L198" i="8"/>
  <c r="U198" i="8"/>
  <c r="I198" i="8"/>
  <c r="R198" i="8"/>
  <c r="V198" i="8"/>
  <c r="P198" i="8"/>
  <c r="M198" i="8"/>
  <c r="J198" i="8"/>
  <c r="U207" i="8"/>
  <c r="I207" i="8"/>
  <c r="R207" i="8"/>
  <c r="O207" i="8"/>
  <c r="S207" i="8"/>
  <c r="M207" i="8"/>
  <c r="L207" i="8"/>
  <c r="O211" i="8"/>
  <c r="L211" i="8"/>
  <c r="U211" i="8"/>
  <c r="I211" i="8"/>
  <c r="J211" i="8"/>
  <c r="S211" i="8"/>
  <c r="R211" i="8"/>
  <c r="O219" i="8"/>
  <c r="L219" i="8"/>
  <c r="U219" i="8"/>
  <c r="I219" i="8"/>
  <c r="P219" i="8"/>
  <c r="J219" i="8"/>
  <c r="V219" i="8"/>
  <c r="O237" i="8"/>
  <c r="L237" i="8"/>
  <c r="M237" i="8"/>
  <c r="I237" i="8"/>
  <c r="U237" i="8"/>
  <c r="V237" i="8"/>
  <c r="R237" i="8"/>
  <c r="P237" i="8"/>
  <c r="U289" i="8"/>
  <c r="I289" i="8"/>
  <c r="R289" i="8"/>
  <c r="O289" i="8"/>
  <c r="J289" i="8"/>
  <c r="S289" i="8"/>
  <c r="V289" i="8"/>
  <c r="M289" i="8"/>
  <c r="L289" i="8"/>
  <c r="R49" i="8"/>
  <c r="S57" i="8"/>
  <c r="S149" i="8" s="1"/>
  <c r="U61" i="8"/>
  <c r="U70" i="8"/>
  <c r="S75" i="8"/>
  <c r="U79" i="8"/>
  <c r="I79" i="8"/>
  <c r="V79" i="8"/>
  <c r="M102" i="8"/>
  <c r="V102" i="8"/>
  <c r="J102" i="8"/>
  <c r="U103" i="8"/>
  <c r="I103" i="8"/>
  <c r="R103" i="8"/>
  <c r="P104" i="8"/>
  <c r="M104" i="8"/>
  <c r="V104" i="8"/>
  <c r="O115" i="8"/>
  <c r="L115" i="8"/>
  <c r="V115" i="8"/>
  <c r="L129" i="8"/>
  <c r="U129" i="8"/>
  <c r="I129" i="8"/>
  <c r="U174" i="8"/>
  <c r="I174" i="8"/>
  <c r="R174" i="8"/>
  <c r="O174" i="8"/>
  <c r="M174" i="8"/>
  <c r="R180" i="8"/>
  <c r="O180" i="8"/>
  <c r="L180" i="8"/>
  <c r="V180" i="8"/>
  <c r="J180" i="8"/>
  <c r="P182" i="8"/>
  <c r="L184" i="8"/>
  <c r="U184" i="8"/>
  <c r="I184" i="8"/>
  <c r="R184" i="8"/>
  <c r="P184" i="8"/>
  <c r="V207" i="8"/>
  <c r="L209" i="8"/>
  <c r="U209" i="8"/>
  <c r="I209" i="8"/>
  <c r="R209" i="8"/>
  <c r="J209" i="8"/>
  <c r="S209" i="8"/>
  <c r="P209" i="8"/>
  <c r="V211" i="8"/>
  <c r="R213" i="8"/>
  <c r="O213" i="8"/>
  <c r="L213" i="8"/>
  <c r="M213" i="8"/>
  <c r="I213" i="8"/>
  <c r="V213" i="8"/>
  <c r="U213" i="8"/>
  <c r="L217" i="8"/>
  <c r="U217" i="8"/>
  <c r="I217" i="8"/>
  <c r="R217" i="8"/>
  <c r="O217" i="8"/>
  <c r="J217" i="8"/>
  <c r="V217" i="8"/>
  <c r="S219" i="8"/>
  <c r="O245" i="8"/>
  <c r="L245" i="8"/>
  <c r="S245" i="8"/>
  <c r="P245" i="8"/>
  <c r="J245" i="8"/>
  <c r="V245" i="8"/>
  <c r="R245" i="8"/>
  <c r="M245" i="8"/>
  <c r="P289" i="8"/>
  <c r="U57" i="8"/>
  <c r="U75" i="8"/>
  <c r="P80" i="8"/>
  <c r="M80" i="8"/>
  <c r="V80" i="8"/>
  <c r="O91" i="8"/>
  <c r="L91" i="8"/>
  <c r="V91" i="8"/>
  <c r="L105" i="8"/>
  <c r="U105" i="8"/>
  <c r="I105" i="8"/>
  <c r="R117" i="8"/>
  <c r="O117" i="8"/>
  <c r="V117" i="8"/>
  <c r="P167" i="8"/>
  <c r="M167" i="8"/>
  <c r="V167" i="8"/>
  <c r="J167" i="8"/>
  <c r="U167" i="8"/>
  <c r="I167" i="8"/>
  <c r="O269" i="8"/>
  <c r="L269" i="8"/>
  <c r="U269" i="8"/>
  <c r="I269" i="8"/>
  <c r="J269" i="8"/>
  <c r="S269" i="8"/>
  <c r="V269" i="8"/>
  <c r="P269" i="8"/>
  <c r="M269" i="8"/>
  <c r="L275" i="8"/>
  <c r="U275" i="8"/>
  <c r="I275" i="8"/>
  <c r="R275" i="8"/>
  <c r="S275" i="8"/>
  <c r="O275" i="8"/>
  <c r="J275" i="8"/>
  <c r="M275" i="8"/>
  <c r="L167" i="8"/>
  <c r="O203" i="8"/>
  <c r="L203" i="8"/>
  <c r="U203" i="8"/>
  <c r="I203" i="8"/>
  <c r="V203" i="8"/>
  <c r="R203" i="8"/>
  <c r="M203" i="8"/>
  <c r="J203" i="8"/>
  <c r="R269" i="8"/>
  <c r="P275" i="8"/>
  <c r="S170" i="8"/>
  <c r="S178" i="8"/>
  <c r="U186" i="8"/>
  <c r="R194" i="8"/>
  <c r="O194" i="8"/>
  <c r="L194" i="8"/>
  <c r="P197" i="8"/>
  <c r="M197" i="8"/>
  <c r="V197" i="8"/>
  <c r="J197" i="8"/>
  <c r="P200" i="8"/>
  <c r="M200" i="8"/>
  <c r="V200" i="8"/>
  <c r="J200" i="8"/>
  <c r="O229" i="8"/>
  <c r="L229" i="8"/>
  <c r="I229" i="8"/>
  <c r="U229" i="8"/>
  <c r="R229" i="8"/>
  <c r="R231" i="8"/>
  <c r="O231" i="8"/>
  <c r="S231" i="8"/>
  <c r="M231" i="8"/>
  <c r="J231" i="8"/>
  <c r="P234" i="8"/>
  <c r="M234" i="8"/>
  <c r="R234" i="8"/>
  <c r="L234" i="8"/>
  <c r="I234" i="8"/>
  <c r="L243" i="8"/>
  <c r="U243" i="8"/>
  <c r="I243" i="8"/>
  <c r="V243" i="8"/>
  <c r="R243" i="8"/>
  <c r="O243" i="8"/>
  <c r="L259" i="8"/>
  <c r="U259" i="8"/>
  <c r="I259" i="8"/>
  <c r="R259" i="8"/>
  <c r="V259" i="8"/>
  <c r="P259" i="8"/>
  <c r="M259" i="8"/>
  <c r="S84" i="8"/>
  <c r="S92" i="8"/>
  <c r="S100" i="8"/>
  <c r="S108" i="8"/>
  <c r="S116" i="8"/>
  <c r="S124" i="8"/>
  <c r="S132" i="8"/>
  <c r="S165" i="8"/>
  <c r="I170" i="8"/>
  <c r="U170" i="8"/>
  <c r="S173" i="8"/>
  <c r="I178" i="8"/>
  <c r="U178" i="8"/>
  <c r="S181" i="8"/>
  <c r="I186" i="8"/>
  <c r="V186" i="8"/>
  <c r="I194" i="8"/>
  <c r="U196" i="8"/>
  <c r="I196" i="8"/>
  <c r="R196" i="8"/>
  <c r="O196" i="8"/>
  <c r="I197" i="8"/>
  <c r="I200" i="8"/>
  <c r="M224" i="8"/>
  <c r="V224" i="8"/>
  <c r="J224" i="8"/>
  <c r="O224" i="8"/>
  <c r="I224" i="8"/>
  <c r="U224" i="8"/>
  <c r="J229" i="8"/>
  <c r="I231" i="8"/>
  <c r="J234" i="8"/>
  <c r="J243" i="8"/>
  <c r="J259" i="8"/>
  <c r="R263" i="8"/>
  <c r="O263" i="8"/>
  <c r="L263" i="8"/>
  <c r="V263" i="8"/>
  <c r="S263" i="8"/>
  <c r="M263" i="8"/>
  <c r="U273" i="8"/>
  <c r="I273" i="8"/>
  <c r="R273" i="8"/>
  <c r="O273" i="8"/>
  <c r="M273" i="8"/>
  <c r="J273" i="8"/>
  <c r="R279" i="8"/>
  <c r="O279" i="8"/>
  <c r="L279" i="8"/>
  <c r="S279" i="8"/>
  <c r="M279" i="8"/>
  <c r="I279" i="8"/>
  <c r="P282" i="8"/>
  <c r="M282" i="8"/>
  <c r="V282" i="8"/>
  <c r="J282" i="8"/>
  <c r="S282" i="8"/>
  <c r="O282" i="8"/>
  <c r="J84" i="8"/>
  <c r="J92" i="8"/>
  <c r="J100" i="8"/>
  <c r="J108" i="8"/>
  <c r="J116" i="8"/>
  <c r="J124" i="8"/>
  <c r="J132" i="8"/>
  <c r="S163" i="8"/>
  <c r="J165" i="8"/>
  <c r="V165" i="8"/>
  <c r="P169" i="8"/>
  <c r="L170" i="8"/>
  <c r="S171" i="8"/>
  <c r="J173" i="8"/>
  <c r="V173" i="8"/>
  <c r="P177" i="8"/>
  <c r="L178" i="8"/>
  <c r="S179" i="8"/>
  <c r="J181" i="8"/>
  <c r="V181" i="8"/>
  <c r="P185" i="8"/>
  <c r="L186" i="8"/>
  <c r="U188" i="8"/>
  <c r="I188" i="8"/>
  <c r="O188" i="8"/>
  <c r="P189" i="8"/>
  <c r="M189" i="8"/>
  <c r="V189" i="8"/>
  <c r="J189" i="8"/>
  <c r="M194" i="8"/>
  <c r="L196" i="8"/>
  <c r="O197" i="8"/>
  <c r="O200" i="8"/>
  <c r="P216" i="8"/>
  <c r="M216" i="8"/>
  <c r="V216" i="8"/>
  <c r="J216" i="8"/>
  <c r="P224" i="8"/>
  <c r="P226" i="8"/>
  <c r="M226" i="8"/>
  <c r="L226" i="8"/>
  <c r="I226" i="8"/>
  <c r="U226" i="8"/>
  <c r="P229" i="8"/>
  <c r="P231" i="8"/>
  <c r="U233" i="8"/>
  <c r="I233" i="8"/>
  <c r="R233" i="8"/>
  <c r="P233" i="8"/>
  <c r="M233" i="8"/>
  <c r="J233" i="8"/>
  <c r="S234" i="8"/>
  <c r="P243" i="8"/>
  <c r="S259" i="8"/>
  <c r="J263" i="8"/>
  <c r="P266" i="8"/>
  <c r="M266" i="8"/>
  <c r="V266" i="8"/>
  <c r="J266" i="8"/>
  <c r="I266" i="8"/>
  <c r="S266" i="8"/>
  <c r="P273" i="8"/>
  <c r="P279" i="8"/>
  <c r="L282" i="8"/>
  <c r="J163" i="8"/>
  <c r="J171" i="8"/>
  <c r="J179" i="8"/>
  <c r="O186" i="8"/>
  <c r="L188" i="8"/>
  <c r="L189" i="8"/>
  <c r="S194" i="8"/>
  <c r="P196" i="8"/>
  <c r="S197" i="8"/>
  <c r="S200" i="8"/>
  <c r="R205" i="8"/>
  <c r="O205" i="8"/>
  <c r="L205" i="8"/>
  <c r="P208" i="8"/>
  <c r="M208" i="8"/>
  <c r="V208" i="8"/>
  <c r="J208" i="8"/>
  <c r="L216" i="8"/>
  <c r="S224" i="8"/>
  <c r="O226" i="8"/>
  <c r="V229" i="8"/>
  <c r="V231" i="8"/>
  <c r="O233" i="8"/>
  <c r="V234" i="8"/>
  <c r="R239" i="8"/>
  <c r="O239" i="8"/>
  <c r="I239" i="8"/>
  <c r="U239" i="8"/>
  <c r="P239" i="8"/>
  <c r="O261" i="8"/>
  <c r="L261" i="8"/>
  <c r="U261" i="8"/>
  <c r="I261" i="8"/>
  <c r="V261" i="8"/>
  <c r="R261" i="8"/>
  <c r="M261" i="8"/>
  <c r="U263" i="8"/>
  <c r="V273" i="8"/>
  <c r="V279" i="8"/>
  <c r="U281" i="8"/>
  <c r="I281" i="8"/>
  <c r="R281" i="8"/>
  <c r="O281" i="8"/>
  <c r="V281" i="8"/>
  <c r="P281" i="8"/>
  <c r="L281" i="8"/>
  <c r="U282" i="8"/>
  <c r="O285" i="8"/>
  <c r="L285" i="8"/>
  <c r="U285" i="8"/>
  <c r="I285" i="8"/>
  <c r="S285" i="8"/>
  <c r="P285" i="8"/>
  <c r="M191" i="8"/>
  <c r="P193" i="8"/>
  <c r="S195" i="8"/>
  <c r="M202" i="8"/>
  <c r="P204" i="8"/>
  <c r="S206" i="8"/>
  <c r="M210" i="8"/>
  <c r="P212" i="8"/>
  <c r="M218" i="8"/>
  <c r="R220" i="8"/>
  <c r="O221" i="8"/>
  <c r="R223" i="8"/>
  <c r="O223" i="8"/>
  <c r="V223" i="8"/>
  <c r="L235" i="8"/>
  <c r="U235" i="8"/>
  <c r="I235" i="8"/>
  <c r="M248" i="8"/>
  <c r="V248" i="8"/>
  <c r="J248" i="8"/>
  <c r="U249" i="8"/>
  <c r="I249" i="8"/>
  <c r="R249" i="8"/>
  <c r="P250" i="8"/>
  <c r="M250" i="8"/>
  <c r="V250" i="8"/>
  <c r="U257" i="8"/>
  <c r="I257" i="8"/>
  <c r="R257" i="8"/>
  <c r="O257" i="8"/>
  <c r="P274" i="8"/>
  <c r="M274" i="8"/>
  <c r="V274" i="8"/>
  <c r="J274" i="8"/>
  <c r="O277" i="8"/>
  <c r="L277" i="8"/>
  <c r="U277" i="8"/>
  <c r="I277" i="8"/>
  <c r="P283" i="8"/>
  <c r="P287" i="8"/>
  <c r="S193" i="8"/>
  <c r="S204" i="8"/>
  <c r="S212" i="8"/>
  <c r="U220" i="8"/>
  <c r="L227" i="8"/>
  <c r="U227" i="8"/>
  <c r="I227" i="8"/>
  <c r="O253" i="8"/>
  <c r="L253" i="8"/>
  <c r="U253" i="8"/>
  <c r="I253" i="8"/>
  <c r="L267" i="8"/>
  <c r="U267" i="8"/>
  <c r="I267" i="8"/>
  <c r="R267" i="8"/>
  <c r="R271" i="8"/>
  <c r="O271" i="8"/>
  <c r="L271" i="8"/>
  <c r="P290" i="8"/>
  <c r="M290" i="8"/>
  <c r="V290" i="8"/>
  <c r="J290" i="8"/>
  <c r="J193" i="8"/>
  <c r="J204" i="8"/>
  <c r="J212" i="8"/>
  <c r="J220" i="8"/>
  <c r="U221" i="8"/>
  <c r="M223" i="8"/>
  <c r="M227" i="8"/>
  <c r="P235" i="8"/>
  <c r="M240" i="8"/>
  <c r="V240" i="8"/>
  <c r="J240" i="8"/>
  <c r="U241" i="8"/>
  <c r="I241" i="8"/>
  <c r="R241" i="8"/>
  <c r="P242" i="8"/>
  <c r="M242" i="8"/>
  <c r="V242" i="8"/>
  <c r="P248" i="8"/>
  <c r="O249" i="8"/>
  <c r="O250" i="8"/>
  <c r="M253" i="8"/>
  <c r="P257" i="8"/>
  <c r="U265" i="8"/>
  <c r="I265" i="8"/>
  <c r="R265" i="8"/>
  <c r="O265" i="8"/>
  <c r="M267" i="8"/>
  <c r="J271" i="8"/>
  <c r="R274" i="8"/>
  <c r="L283" i="8"/>
  <c r="U283" i="8"/>
  <c r="I283" i="8"/>
  <c r="R283" i="8"/>
  <c r="R287" i="8"/>
  <c r="O287" i="8"/>
  <c r="L287" i="8"/>
  <c r="L290" i="8"/>
  <c r="S256" i="8"/>
  <c r="S264" i="8"/>
  <c r="S272" i="8"/>
  <c r="S280" i="8"/>
  <c r="S288" i="8"/>
  <c r="P228" i="8"/>
  <c r="P236" i="8"/>
  <c r="S238" i="8"/>
  <c r="P244" i="8"/>
  <c r="S246" i="8"/>
  <c r="P252" i="8"/>
  <c r="S254" i="8"/>
  <c r="J256" i="8"/>
  <c r="V256" i="8"/>
  <c r="P260" i="8"/>
  <c r="S262" i="8"/>
  <c r="J264" i="8"/>
  <c r="V264" i="8"/>
  <c r="S270" i="8"/>
  <c r="J272" i="8"/>
  <c r="V272" i="8"/>
  <c r="S278" i="8"/>
  <c r="J280" i="8"/>
  <c r="V280" i="8"/>
  <c r="S286" i="8"/>
  <c r="J288" i="8"/>
  <c r="V288" i="8"/>
  <c r="J246" i="8"/>
  <c r="J254" i="8"/>
  <c r="J262" i="8"/>
  <c r="J270" i="8"/>
  <c r="J278" i="8"/>
  <c r="J286" i="8"/>
  <c r="M144" i="8" l="1"/>
  <c r="S140" i="8"/>
  <c r="J141" i="8"/>
  <c r="V139" i="8"/>
  <c r="U139" i="8" s="1"/>
  <c r="P143" i="8"/>
  <c r="V145" i="8"/>
  <c r="S139" i="7"/>
  <c r="R139" i="7" s="1"/>
  <c r="S141" i="7"/>
  <c r="S140" i="7"/>
  <c r="R141" i="7"/>
  <c r="R140" i="7"/>
  <c r="I140" i="6"/>
  <c r="I141" i="6"/>
  <c r="L140" i="6"/>
  <c r="L141" i="6"/>
  <c r="V143" i="8"/>
  <c r="P144" i="8"/>
  <c r="J140" i="7"/>
  <c r="I141" i="7"/>
  <c r="I140" i="7"/>
  <c r="I139" i="7" s="1"/>
  <c r="R141" i="6"/>
  <c r="R140" i="6"/>
  <c r="M149" i="8"/>
  <c r="U141" i="8"/>
  <c r="S144" i="8"/>
  <c r="O140" i="8"/>
  <c r="M140" i="8"/>
  <c r="V146" i="8"/>
  <c r="P149" i="8"/>
  <c r="V141" i="7"/>
  <c r="V139" i="7"/>
  <c r="V140" i="7"/>
  <c r="O141" i="7"/>
  <c r="O140" i="7"/>
  <c r="U141" i="7"/>
  <c r="U140" i="7"/>
  <c r="O141" i="6"/>
  <c r="O140" i="6"/>
  <c r="S147" i="8"/>
  <c r="M147" i="8"/>
  <c r="V149" i="8"/>
  <c r="P146" i="8"/>
  <c r="L140" i="7"/>
  <c r="L141" i="7"/>
  <c r="P140" i="6"/>
  <c r="P139" i="6"/>
  <c r="O139" i="6" s="1"/>
  <c r="P141" i="6"/>
  <c r="M139" i="6"/>
  <c r="L139" i="6" s="1"/>
  <c r="M141" i="6"/>
  <c r="M140" i="6"/>
  <c r="S141" i="8"/>
  <c r="S143" i="8"/>
  <c r="M139" i="8"/>
  <c r="L139" i="8" s="1"/>
  <c r="M145" i="8"/>
  <c r="V148" i="8"/>
  <c r="P148" i="8"/>
  <c r="M139" i="7"/>
  <c r="L139" i="7" s="1"/>
  <c r="M140" i="7"/>
  <c r="M141" i="7"/>
  <c r="S145" i="8"/>
  <c r="M141" i="8"/>
  <c r="V140" i="8"/>
  <c r="S148" i="8"/>
  <c r="P147" i="8"/>
  <c r="J141" i="6"/>
  <c r="J139" i="6"/>
  <c r="J140" i="6"/>
  <c r="M148" i="8"/>
  <c r="V141" i="8"/>
  <c r="P139" i="8"/>
  <c r="O139" i="8" s="1"/>
  <c r="P145" i="8"/>
  <c r="P140" i="7"/>
  <c r="P139" i="7"/>
  <c r="O139" i="7" s="1"/>
  <c r="P141" i="7"/>
  <c r="S140" i="6"/>
  <c r="S141" i="6"/>
  <c r="S139" i="6"/>
  <c r="R139" i="6" s="1"/>
  <c r="V139" i="6"/>
  <c r="U139" i="6" s="1"/>
  <c r="V141" i="6"/>
  <c r="V140" i="6"/>
  <c r="L141" i="8"/>
  <c r="M146" i="8"/>
  <c r="P141" i="8"/>
  <c r="U141" i="6"/>
  <c r="U139" i="7" l="1"/>
  <c r="I139" i="6"/>
</calcChain>
</file>

<file path=xl/sharedStrings.xml><?xml version="1.0" encoding="utf-8"?>
<sst xmlns="http://schemas.openxmlformats.org/spreadsheetml/2006/main" count="3738" uniqueCount="884">
  <si>
    <t>Prompt 1 = +TEXO_BASE + RESPOSTA_ESPERADA</t>
  </si>
  <si>
    <t>Contexto: Você está corrigindo uma atividade de interpretação textual de um curso de ensino superior.
Papel: Assuma o papel de um professor universitário avaliando objetivamente a resposta de um estudante.
O texto-base está entre os marcadores ####:
####
&lt;TEXTO_BASE&gt;
####
O enunciado da questão está entre os marcadores ###:
###
&lt;ENUNCIADO_QUESTAO&gt;
###
A resposta do aluno está entre os marcadores ##:
##
&lt;RESPOSTA_ALUNO&gt;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</si>
  <si>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Prompt 2 = +TEXTO_BASE -RESPOSTA_ESPERADA</t>
  </si>
  <si>
    <t>Contexto: Você está corrigindo uma atividade de interpretação textual de um curso de ensino superior.
Papel: Assuma o papel de um professor universitário avaliando objetivamente a resposta de um estudante.
O texto-base está entre os marcadores ####:
####
&lt;TEXTO_BASE&gt;
####
O enunciado da questão está entre os marcadores ###:
###
&lt;ENUNCIADO_QUESTAO&gt;
###
A resposta do aluno está entre os marcadores ##:
##
&lt;RESPOSTA_ALUNO&gt;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</si>
  <si>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Prompt 3 = -TEXTO_BASE + RESPOSTA_ESPERADA</t>
  </si>
  <si>
    <t>"Contexto: Você está corrigindo uma atividade de interpretação textual de um curso de ensino superior.
Papel: Assuma o papel de um professor universitário avaliando objetivamente a resposta de um estudante.
O enunciado da questão está entre os marcadores ###:
###
&lt;ENUNCIADO_QUESTAO&gt;
###
A resposta do aluno está entre os marcadores ##:
##
&lt;RESPOSTA_ALUNO&gt;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</si>
  <si>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Texto 1</t>
  </si>
  <si>
    <t>Versão digital</t>
  </si>
  <si>
    <t>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t>
  </si>
  <si>
    <t>Texto 2</t>
  </si>
  <si>
    <t>Versão impressa</t>
  </si>
  <si>
    <t xml:space="preserve">ChatGPT deveria dar humildade e motivação, não preguiça
Afinal, ainda tem muito que só você é capaz de fazer se quiser
Suzana Herculano-Houzel, Bióloga e neurocientista da Universidade Vanderbilt (EUA)
Claro que meus colegas estão em polvorosa com as habilidades do ChatGPT.
Para quem esteve dormindo em matéria de tecnologia nas últimas semanas, esse é o nome do algoritmo que gera textos a pedido do freguês. O ChatGPT foi criado pela OpenAI, a mesma empresa que trouxe até você o Dalle-2, que gera imagens sob demanda.
O motivo do alvoroço é que o ChatGPT escreve textos passavelmente convincentes à primeira vista, que serviriam como dever de casa ou até respostas de questões discursivas de prova, e boa parte da discussão tem se focado em como detectar esses casos indiscutíveis de trapaça.
Eu acho que essa pergunta é errada. Não é de ontem que a gente apela para algoritmos que resolvem problemas muito mais rapidamente do que a gente –minha definição operacional, aliás, de tecnologia.
Calculadoras fazem isso, poupando a gente do tempo que usar papel e lápis para montar multiplicações e divisões com resto exige; a memória de trabalho delas, que vai representando os resultados parciais ao longo do processo, é muito melhor do que a nossa. Livros também armazenam um mundo de informação, disponível para consulta sob demanda.
O ChatGPT é perfeitamente capaz de juntar palavras seguindo a gramática e informações seguindo associações encontradas no banco de dados. Palmas para ele: a gente leva ao menos uns dez anos aprendendo a fazer isso, e os engenheiros da OpenAI entenderam o suficiente do processo para repeti-lo sob encomenda.
O que o ChatGPT não faz é gerar CONHECIMENTO –digo isso assim mesmo, em letras garrafais. Informação existe em associações de ideias e eventos: interruptor pra cima, luz acesa; interruptor pra baixo, luz apagada. Isso é o que o algoritmo é programado para fazer, e, seguindo as regras do jogo, produz frases gramática e sintaticamente corretas que firmam essas associações.
Agora, conhecimento... este dá trabalho e só se constrói às custas de USAR informações –assim, de novo, em letras maiúsculas. É preciso interagir com o interruptor para descobrir que é a sua ação de movê-lo para cima e para baixo que controla a luz e então assimilar essa causa-consequência no seu kit de ferramentas: ela estará lá quando você encontrar um quarto escuro e é ela que vai fazer você tatear à procura de algo que traga claridade.
Quem delega seu dever de casa ao ChatGPT abre mão dessa oportunidade de gerar conhecimento em seu próprio cérebro. Esse cérebro cede à preguiça, uma pena.
Mas não há que ser assim. Professores, os piores inimigos da preguiça mental, podem incorporar a preguiça ao processo: basta por exemplo pedir aos alunos para fazer, sim, seu dever de casa apelando para o ChatGPT –mas então EDITAR (de novo, maiúsculas) – o resultado, usando seu conhecimento e seus valores (outra coisa que o algoritmo não tem, mas aí já é outra coluna). Aluno, mostre que você é mais do que um simples algoritmo.
A única razão de banirem livros até hoje foi por nos fazerem pensar, não por nos impedirem. Se um dia o ChatGPT de fato incomodar, vai ser porque insuflou mentes a pensar coisas novas, não a se acomodar.
</t>
  </si>
  <si>
    <t>Número do informante</t>
  </si>
  <si>
    <t>Enunciado</t>
  </si>
  <si>
    <t>Resposta da leitura do Texto Digital</t>
  </si>
  <si>
    <t>Av1</t>
  </si>
  <si>
    <t>Av2</t>
  </si>
  <si>
    <t>Média</t>
  </si>
  <si>
    <t>Resposta da leitura do Texto Impresso</t>
  </si>
  <si>
    <t>Complete a frase a seguir: NO TEXTO, A AUTORA USA O GPS COMO UM EXEMPLO PARA DEFENDER A IDEIA DE QUE...</t>
  </si>
  <si>
    <t>Esse recurso deve auxiliar a pessoa que o está usando, enquanto este pode focar em outras coisas além de planejar rota.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</si>
  <si>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</si>
  <si>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Ele pode ser utilizado, mas os alunos podem caracterizar essas respostas com conhecimentos e valores que a máquina, a IA não gera, não conhece. Por exemplo, o CHATGPT, talvez não conheça termos linguísticos de determinada região, como determinado termo é concebido em um contexto que não o formal, o CHAT, pode não chegar ao cerne da questão. </t>
  </si>
  <si>
    <t>o GPS é uma ferramenta utilizada para facilitar o dia a dia, nós repassamos a origem e o destino e os algoritmo calcula a rota mais fácil, para que não tenhamos que ficar pensando um problemas como semáforos, buracos, trânsito.. e com o algoritmo fazendo esse trabalho por nós, não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</si>
  <si>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</si>
  <si>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depender da “inteligência” artificial para conhecimento puro e verdadeiro é loucura, o papel do professor é motivar, e instigar os alunos a pensarem e se desenvolverem, se o professor não fizer isso e delegar ao CHAT ou que os alunos utilizem o CHAT, estarão formando uma geração burra e preguiçosa.</t>
  </si>
  <si>
    <t>São calculadores inteligentes de rotas, pois consideram o que é mais facil para o usuário.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</si>
  <si>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</si>
  <si>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não gera um conhecimento e sim cópia.</t>
  </si>
  <si>
    <t>A inteligência artificial já está aqui por um bom tempo e serve para ajudar o ser humano (mas não escolher por ele)</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</si>
  <si>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</si>
  <si>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 ferramenta pode ser uma aliada e não uma inimiga a depender da abordagem.</t>
  </si>
  <si>
    <t xml:space="preserve">Utilizar técnicas que nos ajudam, pode ser um ponto positivo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</si>
  <si>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</si>
  <si>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 usado da maneira correta e com consciência pode ajudar. O problema está em depender 100% dele</t>
  </si>
  <si>
    <t>os algorítimos contribuem de forma positiva para as rotas de transito.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</si>
  <si>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</si>
  <si>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é uma ferramenta que, por meio do auxilio com a escolha do melhor trajeto, facilita nossa vida e nos poupa tempo, ao contrário de outros algoritmos que atrasam nossas vidas e não contribuem para uma produção efetiva.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</si>
  <si>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</si>
  <si>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ele pode ser útil, se bem utilizado. O chat GPT traz informações, ou melhor, as reproduz, assim como o aluno fará apenas copiando, mas valor ou conhecimento de fato, pois esta inteligência ainda não foi criada.</t>
  </si>
  <si>
    <t>Autora usa o gps como exemplo para dizer que a tecnologia é uma ferramenta extremamente importante que se usada de maneira correta pode nós auxiliar em vários aspectos. Mas é preciso saber o que se busca na internet e saber selecionar os conteúdos é de extrema importância.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</si>
  <si>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</si>
  <si>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Os mestres da Educação podem fazer mal uso desta ferramenta, que devemos estar atentos e fazer bom uso dela, mas sem deixar de fazer a nossa parte pois essa ferramenta não substituirá a parte humana. Essa ferramenta pode acrescentar em conhecimento pode nos ajudar a avançarmos desde que ela não faça a parte que nos é destinada pois estamos nos enganando, brincando de aprender, perdendo muito. </t>
  </si>
  <si>
    <t>A inteligência artificial optimiza o tempo, poupa esforço, e tem resultados satisfatórios.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</si>
  <si>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</si>
  <si>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é de extrema importância que os alunos, estudem, busquem conhecimento, e apresentem trabalhos, resenhas, cálculos e o que mais for solicitado pelo professor, por seus próprios métodos. É importante que eles aprendam a estudar, fazer conexões com os conteúdos para adquirirem conhecimento.</t>
  </si>
  <si>
    <t>a inteligência artificial auxilia o homem nas escolhas das decisões práticas do cotidiano enquanto ele se ocupa de outros problemas.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</si>
  <si>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</si>
  <si>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 tecnologia deve ser uma aliada do professor, auxiliando na criação de conteúdos para se trabalhar em sala de aula, propondo tempo para isso.</t>
  </si>
  <si>
    <t>é um meio rápido e simplificado de solucionar problemas, poupando o tempo do usuario- que tem outras coisas com que se preocupar.</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</si>
  <si>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</si>
  <si>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aplicativo poderia, sim, ser benéfico até mesmo em atividades em sala – coisa que a grande maioria dos professores discorda.</t>
  </si>
  <si>
    <t>a inteligência artificial já está na humanidade há muito tempo e ela pode servir como auxilio para tomada de decisões, guiando o usuário para soluções inteligentes.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</si>
  <si>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</si>
  <si>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resultados do chat gpt devem ser editados com "conhecimento humano", uma vez que esse algoritmo não tem a capacidade de pensar como um humano, reproduzindo apenas esquemas prontos.</t>
  </si>
  <si>
    <t>Os GPS, são aplicativos que ajudam seus usuários, calculando rotas de acordo com a preferência do mesmo.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</si>
  <si>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</si>
  <si>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 chatGPT pode ser utilizado de maneira que faça o aluno comparar e modificar a resposta que o aplicativo oferece, com seus próprios conhecimentos e pensamentos. </t>
  </si>
  <si>
    <t>O GPS calcula a rota mais rápida ou uma melhor e assim você pode-se preocupar com outros problemas que não sejam exatamente o caminho.</t>
  </si>
  <si>
    <r>
      <rPr>
        <strike/>
        <sz val="11"/>
        <color theme="1"/>
        <rFont val="Arial"/>
      </rPr>
      <t xml:space="preserve">Use o espaço que julgar necessário para completar a frase a seguir:  </t>
    </r>
    <r>
      <rPr>
        <i/>
        <strike/>
        <sz val="11"/>
        <color theme="1"/>
        <rFont val="Arial"/>
      </rPr>
      <t>No texto, a autora utiliza o exemplo do uso do chatGPT por professores para defender a ideia de que...</t>
    </r>
    <r>
      <rPr>
        <strike/>
        <sz val="11"/>
        <color theme="1"/>
        <rFont val="Arial"/>
      </rPr>
      <t xml:space="preserve">
</t>
    </r>
  </si>
  <si>
    <t>-</t>
  </si>
  <si>
    <t xml:space="preserve">A ideia de que eles podem agilizar os processos humanos diarios enquanto nós podemso focar em problemas mais importantes diários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</si>
  <si>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</si>
  <si>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professores podem usar o Chat como forma de utiliza-lo para um dinamismo nas tarefa, ou até mesmo por se tratar de um algoritmo, criar a atividade. Porem, é válido ressaltar que ele deve estimular os alunos a "editar" o texto pré pronto, mas não deixar a preguiça levar pela emoção do cópia e cola</t>
  </si>
  <si>
    <t>a inteligência articifial se porta, mais especificamente, como uma alternativa ao usuário e, não, como algo definitivo e impassível de interferências, ou que diminui a autonomia do sujeito: seria realmente uma ferramenta, com o propósito de auxiliar e permitir um aproveitamento maior do tempo empregado em certa atividade.</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</si>
  <si>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</si>
  <si>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algoritmo referido não precisa ser visto como um empecílio na aprendizagem, mas que pode ser uma ferramenta para os alunos, referente a ideia de que o conhecimento pode ser gerado através de intervenções dos mesmos no conteúdo gerado pelo I.A.. A parte de intervenção do aluno no texto, seria possível exercitar questões como coerência textual, por exemplo.</t>
  </si>
  <si>
    <t>...o GPS oferece a resolução rápida de um “problema” que o ser humano poderia “perder” tempo tendo que resolver (por isso a continuação: “resolver OUTROS problemas”). Diferentemente dos outros algoritmos que a autora cita mais adiante no texto, o GPS sim seria um aplicativo inteligente, não apenas por otimizar tempo mas também por oferecer ao consumidor outras rotas considerando TAMBÉM as suas preferências, mas não somente elas (além de que o GPS seria uma rede integrada, considerando também o feedback e as experiências/preferências de outros usuários).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</si>
  <si>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</si>
  <si>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 a IA pode ser usada também no ensino, desde que de forma a garantir a produção de conhecimento. Utilizar o Chatgpt apenas “por usar” realmente não gera conhecimento, mas o professor ainda pode pensar em alternativas as que faças os alunos refletirem e entenderem que ELES estão gerando conhecimento (ao editar o conteúdo do que chat der), e não a IA. </t>
  </si>
  <si>
    <t>A autora utiliza o exemplo da ferramenta GPS para confirmar a ideia de que são opções viáveis e que podem beneficiar e auxiliar o ser humano.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</si>
  <si>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</si>
  <si>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esse recurso não é ideal para promover uma troca de aprendizagem e conhecimento, submetendo o aluno a ser um mero reprodutor do algoritmo.</t>
  </si>
  <si>
    <t>São como calculadoras inteligente de rotas , considerando o ponto de partida  e destino , facilitando para o usuário.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</si>
  <si>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</si>
  <si>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pode ser úteis e ajudar o aluno e o professor na sala de aula. E ela defende a idéia que o ChatGPT não gera conhecimento.</t>
  </si>
  <si>
    <t>Que não acha ruim o uso de ferramentas como o GPS no dia a dia, muito pelo contrário. Se existe, que seja utilizado, ainda mais pela facilidade e utilidade que uma calculadora de rota customizavel pode ter. Isso tudo reforça e defende a ideia de que a tecnologia é uma extensão da nossa inteligencia que pode e deve nos ajudar a manter um caminho evolutivo constante. "de portas abertas ao futuro".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</si>
  <si>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</si>
  <si>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pode, como outras ferramentas, ser usado no ensino. Incorporar essas ferramentas pode ser benéfico. Claro que, com parcimonia e não substituindo a escrita, no máximo, auxiliando.</t>
  </si>
  <si>
    <t>Este está ali como forma de auxílio ao ser humano, não para substitui-lo.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</si>
  <si>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</si>
  <si>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Embora o chat seja de fácil acesso e manuseio, ele pode contribuir para estudos, por exemplo. Há a possibilidade de utilizar o char e a partir do texto buscar obter conhecimento. 
Não ficar no copia e cola, mas ir além dentro da própria plataforma.
O chat não é ruim, basta saber usá-lo.
</t>
  </si>
  <si>
    <t>Defende a ideia de que é muito útil para optimização do tempo, pois as pessoas podem usar o tempo que gastariam escolhendo rotas, pensando em outros problemas do cotidiano.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</si>
  <si>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</si>
  <si>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Defende a ideia de que eles podem incorporar ao processo, fazendo com que o chatGPT seja apenas uma ferramenta de auxílio na aprendizagem, e não um substituto do conhecimento</t>
  </si>
  <si>
    <t>Ela defende que a inteligência é capaz de facilitar a vida das pessoas, pois como o GPS calcula rotas com mais facilidade e agilidade, a inteligência artificial pode nos ajudar a minimizar o tempo em ações do dia a dia.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</si>
  <si>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</si>
  <si>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Ela retoma a ideia de que os professores caso pedirem para seus alunos realizarem atividades por meio de aplicativos de Inteligência Artificial, contribuem para a falta de interesse dos mesmos em outros meios de pesquisa, como livros e dicionários</t>
  </si>
  <si>
    <t>De que a tecnologia pode sim nos ajudar, GPS funcionam como calculadoras, que mostram a melhor rota a mais rápida, assim você pode focar em outros problemas, que não achar o melhor caminho.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</si>
  <si>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</si>
  <si>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alunos não se esmeram mais a tentar aprender, e buscam por algo já pronto. Mas que por um ponto de vista o chat poderia ser usado desde que o aluno editasse as informações usando as tecnicas e matéria aprendida em aula, assim ele seria mais um complemento, como uma ferramenta de pesquisa, e não, só um cópia e cola.</t>
  </si>
  <si>
    <t>A inteligencia artificial pode ser usada para ajudar os seres humanos na tomada de decisão de forma mais simples.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</si>
  <si>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</si>
  <si>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Se produza conhecimento através do pensamento dos alunos, deixando de lado a preguiça mental, que é gerada ao apenas fazer a cópia de algo.</t>
  </si>
  <si>
    <t>Nesse caso a inteligência artificial auxilia o usário e otimiza seu tempo, fazendo com que ele tenha respostas das suas necessidades de rota enquanto utiliza seu pensamento para resolucionar outros problemas.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</si>
  <si>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</si>
  <si>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tem como incorporar esta inteligência artificial na sala de aula, de forma que, com a sua mediação tenha efeito de adquirir conhecimento ao invés de demonizar a plataforma e ficar investigando onde foi usada ou não. </t>
  </si>
  <si>
    <t>Navegadores como o GPS já fazem parte do nosso dia a dia e são exemplo de inteligência artificial, visto que conseguem, por exemplo, recalcular rotas e torná-las diferentes, inclusive podendo ser recalculadas caso não sigamos o seu comando.</t>
  </si>
  <si>
    <r>
      <rPr>
        <strike/>
        <sz val="11"/>
        <color theme="1"/>
        <rFont val="Arial"/>
      </rPr>
      <t xml:space="preserve">Use o espaço que julgar necessário para completar a frase a seguir:  </t>
    </r>
    <r>
      <rPr>
        <i/>
        <strike/>
        <sz val="11"/>
        <color theme="1"/>
        <rFont val="Arial"/>
      </rPr>
      <t>No texto, a autora utiliza o exemplo do uso do chatGPT por professores para defender a ideia de que...</t>
    </r>
    <r>
      <rPr>
        <strike/>
        <sz val="11"/>
        <color theme="1"/>
        <rFont val="Arial"/>
      </rPr>
      <t xml:space="preserve">
</t>
    </r>
  </si>
  <si>
    <t>--</t>
  </si>
  <si>
    <t>de que ela não acha ruim a IA, desde que utilizada de uma maneira em que ajude o usuario a ter mais um leque de possibilidades em suas mãos e que não o limite.</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</si>
  <si>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</si>
  <si>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uso do algoritmo não é errado, desde que ele auxilie o aluno a construir seu conhecimento a partir de valores, ou seja, a autora defende que o chat gpt sozinho não constroi conhecimento, porém se utilizado como uma ferramenta pode trazer benefícios</t>
  </si>
  <si>
    <t>Existem tecnologias úteis que se tornaram imprescindíveis, embora nem todas sejam, ainda mais relacionadas às redes sociais.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</si>
  <si>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</si>
  <si>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é uma ferramente útil como qualquer outra na mão de quem sabe usar, já na mão de quem não sabe usar, ele se torna inútil. Ou seja, ninguém fica mais inteligente ou mais burro, o Chat apenas potêncializa ás características do indivíduo, pra melhor ou pra pior.</t>
  </si>
  <si>
    <t>Podemos usar a inteligência artificial para otimizar as tarefas, como utilizar o GPS para calcular a rota mais rápida ou a sem semáforo.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</si>
  <si>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</si>
  <si>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devemos aprender a usar a tecnologia a nosso favor, no sentido de poupar tempo não fazendo as tarefas mecanizadas. Essas tarefas são bem executadas pela tecnologia. Com o tempo poupado, podemos nos debruçar nas tarefas que só o ser humano é capaz de fazer, como, por exemplo, produzir conhecimento. </t>
  </si>
  <si>
    <t>As ferramentas tecnológicas permeam as diversas esferas do nosso cotidiano, nos auxiliando nas atividades do dia a dia.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</si>
  <si>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</si>
  <si>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Se unidas de forma a agregar positivamente, a ferramenta tem potencial para integrar às salas de aula maneiras novas de aprendizado se utilizam da maneira correta, o uso do Chat GPT pode ter grande valia no desenvolvimento das tarefas e questões, possibilitando um uso mais crítico da ferramenta. </t>
  </si>
  <si>
    <t>Que as ferramentas tecnológicas estão presentes no mundo moderno para facilitar a vida do homem, auxiliar para que as pessoas possam pensar em outros assuntos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</si>
  <si>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</si>
  <si>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A tecnologia pode ser utilizada. No entanto, devemos criar atividades que utilizem do ChatGPT, por exemplo, mas pedindo uma edição, ou seja, que o aluno utilize suas palavras e argumento para responder as questões definitivamente. </t>
  </si>
  <si>
    <t>Algoritmos que oferecem soluções melhores e rápidas são úteis para as pessoas, sendo diferentes das burrices artificiais que induzem as pessoas a tomarem decisões.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</si>
  <si>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</si>
  <si>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É preciso interagir e usar as informações para ganhar conhecimento, sendo assim, é possível usar o chat GPT com os alunos para exercitar o pensamento, não usando o chat como uma ferramenta buscando resultado final, mas sim como parte de um processo.</t>
  </si>
  <si>
    <t>é uma inteligência artificial que auxilia, mas que também é Passível de configuração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</si>
  <si>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</si>
  <si>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A ferramenta, ao invés de ser vilã da educação, pode tornar-se uma aliada no desenvolvimento do aluno. Por exemplo, fazer uma pesquisa com a ferramenta, ensinando o aluno como usá-la, e depois direcionar o estudante para que ele continue (ou não) os dados que a ferramenta originou.</t>
  </si>
  <si>
    <t>A inteligência artificial auxilia de uma maneira positiva em muitos sentidos, escolhendo por exemplo, o caminho mais rápido até o seu destino, possibilitando assim que o ser humano foque em outros problemas já que o do trânsito estaria resolvido pelo GPS.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</si>
  <si>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</si>
  <si>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Todos nós podemos recorrer ao ChatGPT se quisermos, mas isso geraria cada vez mais desvalorização ao conhecimento. O ChatGPT é uma maneirande nos folgarmos com nossas obrigações e que tem como consequência uma falha cada vez maior no processo de aprendizagem.</t>
  </si>
  <si>
    <t>Algumas tecnologias/inteligências são boas e não restringe as escolhas dos humanos.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</si>
  <si>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</si>
  <si>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Eles também podem agir com preguisa, pois é só mandar tarefas e orientar os alunos a usarem o chatgpt, mas complementar com o seu conhecimento.</t>
  </si>
  <si>
    <t>a inteligencia artificial, vem pra auxiliar o ser humano, dando lhe, mais tempo para realização de outras tarefas.</t>
  </si>
  <si>
    <r>
      <rPr>
        <strike/>
        <sz val="11"/>
        <color theme="1"/>
        <rFont val="Arial"/>
      </rPr>
      <t xml:space="preserve">Use o espaço que julgar necessário para completar a frase a seguir:  </t>
    </r>
    <r>
      <rPr>
        <i/>
        <strike/>
        <sz val="11"/>
        <color theme="1"/>
        <rFont val="Arial"/>
      </rPr>
      <t>No texto, a autora utiliza o exemplo do uso do chatGPT por professores para defender a ideia de que...</t>
    </r>
    <r>
      <rPr>
        <strike/>
        <sz val="11"/>
        <color theme="1"/>
        <rFont val="Arial"/>
      </rPr>
      <t xml:space="preserve">
</t>
    </r>
  </si>
  <si>
    <t>existem inteligências artificiais que otimizam o tempo no dia-a-dia.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</si>
  <si>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</si>
  <si>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 uso em sala pode ser positivo ao saro o ChatGPT como base e moldar a sua informação de modo que o conhecimento do aluno molda o texto à sua forma. </t>
  </si>
  <si>
    <t>os mesmos sao legítimos calculadores inteligentes de rotas.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</si>
  <si>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</si>
  <si>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mesmo deve ser minimamente utilizado, principalmente no quesito de busca por uma informação (pesquisa...), mas não feito uma cópia, por exemplo. Ademais, que isso pode levar a uma certa preguiça e desmotivação por parte do estudante ao realizar seus trabalhos.</t>
  </si>
  <si>
    <t>Eles analisam o ponto de saída e de chegada, considerando a preferência do usuário e rotas alternativas.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</si>
  <si>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</si>
  <si>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 Chat GPT pode ser usado para o conhecimento, por exemplo, reformulando, editando o resultado da pesquisa no Chat GPT </t>
  </si>
  <si>
    <t>Porque eles calculam a rota de partida e destino dos usuários, e otimizam o trajeto do motorista. Dessa maneira, eles podem focar em outros problemas dentro do seu deslocamento.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</si>
  <si>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</si>
  <si>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professores podem utilizar o ChatGPT como instrumento de auxílio no aprendizado. Pedindo aos alunos, por exemplo, responderem questões com o ChatGPT, e depois editar as respostas com o conhecimento que eles tem sobre o assunto.</t>
  </si>
  <si>
    <t>A automatização de algumas ferramentas pode facilitar o dia a dia de todos, a autora usou de exemplo o GPS que facilita nossa locomoção pelo mundo, montando rotas e facilitando nosso deslocamento como um guia.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</si>
  <si>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</si>
  <si>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 inteligência artificial é incapaz de gerar novos conhecimentos, de modo que apenas consegue replicar as informações que tem acesso. Dessa forma os professores podem induzir seus alunos construirem novos conhecimento a partir do que o ChatGPT passa para os alunos, com eles corigindo e incrementando novas informações.</t>
  </si>
  <si>
    <t>A inteligencia artificial pode ser utilizada para facilitar a análise das opções possíveis e ajudar a tomarmos decisões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</si>
  <si>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</si>
  <si>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Podemos usar o ChatGPT como ferramenta e que ele estimula a pensar quem o bem utiliza.</t>
  </si>
  <si>
    <t>é um exemplo de aplicativo que surgiu com o avanço da tecnologia, e que pode ser eficaz em uma perspectiva de precisar de ajuda para calcular a rota de determinado trajeto. Tratando-se então, de um recurso tecnológico positivo para a sociedade humana.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</si>
  <si>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</si>
  <si>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É um aplicativo em que muitas vezes as pessoas acham que estão sendo espertas, por estarem utilizando, mas na verdade estão se auto sabotando.
O uso do ChatGPT pode ser eficaz para realizar determinadas pesquisas ou tarefas, porém não é um app que foi desenvolvido para lidar com toda e qualquer questão. 
Estamos perdendo grandes conquistas não realizadas, justamente pelo fato da população estar se rendendo a preguiça, buscando uma forma mais fácil de resolver problemas.</t>
  </si>
  <si>
    <t xml:space="preserve">existem inteligências artificiais capezes de serem úteis para os seres humanos.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</si>
  <si>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</si>
  <si>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 problema não está na ferramenta, mas em sua utilização. Mesmo que os alunos sejam auxiliados pela IA em suas tarefas, a incapacidade - ou preguiça - de editar ou realizar mudanças no texto produzido, só demonstra como o ChatGPT, apesar de útil, se torna uma consequência para a mente da atual e próximas gerações. </t>
  </si>
  <si>
    <t>A inteligência artificial otimiza o tempo das pessoas, fazendo com que elas se preocupem com outras coisas enquanto o GPS resolve problemas como tráfego, acidentes, semâforos e etc.</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</si>
  <si>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</si>
  <si>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estimula as mentes a pensarem coisas novas, não a se acomodar, e que os alunos devem usar o chat para fazer a lição de casa mas sempre editando o resultado usando seu próprio conhecimento e valores, ou seja, os professores devem ter o chat como aliado.</t>
  </si>
  <si>
    <t>NO TEXTO, A AUTORA USA O GPS COMO UM EXEMPLO PARA DEFENDER A IDEIA DE QUE ALGORITMOS QUE NOS AJUDEM SÃO ÚTEIS, QUE POSSAM FACILITAR SITUAÇÕES PARA NÓS, AJUDANDO A FOCAR EM OUTRAS PREOCUPAÇÕES OU ÁREAS DE MAIOR ATENÇÃO.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</si>
  <si>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</si>
  <si>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uso do recurso não é o problema, mas sim a forma e para que se usa. Se for com consciência e buscando trabalhar seus próprios conhecimentos, a plataforma é mais que bem-vinda.</t>
  </si>
  <si>
    <t>algumas inteligências artificiais estão disponíveis a nosso favor, ao calcular a rota a IA, economiza o tempo do motorista que pode ser voltado a outras preocupações, como suas malas, a revisão do carro e outros, que apenas o ser humano pode fazer.</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</si>
  <si>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</si>
  <si>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é uma tecnologia aliada desde que usada de maneira correta. Ao invés do aluno buscar a resposta pronta, procura-se referências ou reescrevesse o resultado com suas palavras e conhecimentos, não existiria tais questões sobre o uso da ferramenta e ela apenas somaria no aprendizado.</t>
  </si>
  <si>
    <t xml:space="preserve">Eles são capazes de explorar possivilades e maximizá-las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</si>
  <si>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</si>
  <si>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 conhecimento, só se constrói as custas de usar informações. O que o chatGPT não faz é gerar conhecimento. </t>
  </si>
  <si>
    <t>Que utilizando o gps como um meio de localização, ele vai facilitar a vida da pessoa, podendo fazer outras coisas.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</si>
  <si>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</si>
  <si>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 ChatGPT, vai deixar os alunos preguiçosos, eles não vão querer fazer um texto por exemplo porque se procurar no chatGPT, o texto vai estar lá. Desse modo mentes brilhantes vão deixando de existir, pois as pessoas não vão querer pensar para resolver um problema, o problema já está resolvido pela IA ( Inteligência Artificial). </t>
  </si>
  <si>
    <t>a inteligência artificial em sua totalidade, se usada de forma proveitosa, serve para maximizar as possibilidades que o leitor ou usuário tem em relação ao seu objetivo, funciona como meio de reduzir o tempo empregado em uma tarefa ao mesmo tempo em que maximiza seu resultado.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</si>
  <si>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</si>
  <si>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é possível usar a inteligência artificial como ferramenta de Potencialização do processo de ensino aprendizagem, e que não vale a pena nadar contra a maré.</t>
  </si>
  <si>
    <t xml:space="preserve">As inteligências artificiais são um mecanismo de auxílio para as pessoas, uma vez que facilita certos racicínios humanos, porém, são uma forma de ferramenta que nos ajude, não substitua. Ao facilitar uma tarefa, a pessoa possui espaço para cuidar e analisar outras questões mais relevantes que não possam ser supridas por uma IA.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</si>
  <si>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</si>
  <si>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Ele não produz conhecimento, a atividade consistiria em exatamente colocar o aluno na posição do professor, fazendo-o notar por si mesmo as inconsistências da tecnologia. O uso do chat, no fim, seria inútil. Os alunos se convenceriam que estão facilitando a própria vida, mas estarão produzindo da mesma forma.</t>
  </si>
  <si>
    <t>A inteligência artificial é um RECURSO pra otimizar tempo. O GPS foi um ótimo e claro exemplo disso pois como dito no texto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</si>
  <si>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</si>
  <si>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professores podem apelar pela preguiça, pedir aos alunos que façam suas tarefas com auxílio da IA mas “editar os resultados” usando seus valores e conhecimentos, relembrando aos alunos que eles não são apenas algoritmos.</t>
  </si>
  <si>
    <t>Que a inteligencia artificial pode, e já existe, como um meio de suporte e de auxílio para nós se usada de forma correta, e não como algo que nos torne leigos ou iguinorantes, como ela citou, em se locomover de automóvel.</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</si>
  <si>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</si>
  <si>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Ele pode ser utilizado de formas que nos ajudem, não olhando apenas para os pontos negativos. </t>
  </si>
  <si>
    <t>se trata de uma ferramenta de cálculo de rotas, um instrumento de análise de possibilidades de trajétos que oferece opções de escolha para o usuário. Assim, teoricamente, se estabelece a ideia de que inteligência artificial, no conceito proposto pela autora, estaria alinhado ao cálculo de possibilidades e oferecimento de opções para os usuários.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</si>
  <si>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</si>
  <si>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a ferramenta pode ser utilizada, mas, junto dela deve ser indicado também que é necessária crítica e reflexibilidade para usá-la. </t>
  </si>
  <si>
    <t>O GPS é um exemplos de ferramenta de inteligência artificial que já existe a muito tempo, ferramenta essa que contribui muito para os usuários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</si>
  <si>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</si>
  <si>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alunos tem muito mais conhecimento do que um simples algoritmo, pois o algoritmo não possui do mesmo conhecimento que um aluno tem, mostrar talvez a esses alunos que eles podem ir além do chatGPT por exemplo.</t>
  </si>
  <si>
    <t>a inteligência artificial é útil, uma vez que agiliza a resolução de um problema.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</si>
  <si>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</si>
  <si>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É possível utilizar o CHATGPT como uma ferramenta que leva à motivação dos alunos. Assim, a ferramenta seria uma aliada do professor no processo de ensino e aprendizagem.</t>
  </si>
  <si>
    <t>São legítimos calculadores de rota considerando ponto de partida e chegada.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</si>
  <si>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</si>
  <si>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professores podem incorporar a preguiça ao processo de aprendizagem usando o chatGPT mas pedindo que editem o resultado acrescentando seus conhecimentos e valores.</t>
  </si>
  <si>
    <t>A inteligência artificial se utilizada de uma boa maneira otimiza o tempo no dia a dia, o GPS é um bom exemplo dessa tecnologia, pois é eficiente,  facilita a localização de quem o utiliza, entre outros...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</si>
  <si>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</si>
  <si>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Podem incorporar a preguiça no processo e utilizar a favor</t>
  </si>
  <si>
    <t>a inteligencia artificial ajuda no processo de tomadas de decisões, enquanto usa seus próprios neurônios em resolução de outros problemas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</si>
  <si>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</si>
  <si>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Conhecimento é necessario para realizar qualquer atividade, pois, conhecimento se adquiri a partir de vivencias e compartilhamento de dados, é o chatGPT apenas organiza as informações em textos bonitinhos, por isso a autora sugere que os professores permitam que os alunos usem o chatGPT na realização de atividades, mas façam uma correção utilizando o conhecimento de proprio mundo.</t>
  </si>
  <si>
    <t>algoritmos que nos fornecem ajuda ou automaticamente ofereçam a melhor opção são muito úteis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</si>
  <si>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</si>
  <si>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 inteligência artificial pode, sim, ter um impacto positivo no aprendizado quando utilizado da maneira correta pelos alunos.</t>
  </si>
  <si>
    <t>Certos algoritmos nos ajudam, no deslocamento, com menos transtornos nas viagens.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</si>
  <si>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</si>
  <si>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pode sim ser usado por alunos e acadêmicos desde que estes usem com responsabilidade e incorporem o mesmo nos estudos e não que deixem tudo para o ChatGPT, pois aí sim teram um emburrecimento digital.</t>
  </si>
  <si>
    <t>O GPS ajuda na maximização e otimização do tempo. Isso nos ajuda a pensar em outras enquanto o algoritmo traça nossa rota de acordo com nossa preferencia.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</si>
  <si>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</si>
  <si>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Os professores podem fazer o uso da preguiça e do conhecimento em uma dinâmica, pedir aos alunos para editar uma resposta pronta com o próprio conhecimento sobre o assunto, é talvez, um estímulo ao pensamento crítico e ao conhecimento de mundo. </t>
  </si>
  <si>
    <t>Ao utilizar o GPS os usuários otimizam seu tempo para resolver outros problemas, já que a inteligência artificial estará minimizando "os neurônios" do indivíduo, ou seja, aquela pessoa não precisará de sua atenção total ao exercer a função na qual essa IA já está desempenhando.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</si>
  <si>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</si>
  <si>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É possível utilizar as inteligências artificias, a exemplo do ChatGPT em favor ao aprendizado e na construção de conhecimento dos indivíduos. Isso pode ocorrer através das edições/modificações do texto original em prol de um novo trabalho fundado em novos calores e uma nova conjuntura social.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</si>
  <si>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</si>
  <si>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professores podem pedir aos alunos para usar a IA para fazer as tarefas mais facilmente. Mas que os alunos devem usar o que sabem, seus conhecimentos para realizar bem essas tarefas, não apenas digitar as palavras.</t>
  </si>
  <si>
    <t>Inteligências artificiais podem ser muito úteis.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</si>
  <si>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</si>
  <si>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 chatCPT pode ser usado, desde que os alunos façam um trabalho diferente com ele e continuem a pensar e gerar conhecimento. </t>
  </si>
  <si>
    <t>ele é uma excelente calculadora que pode te auxiliar pensando em rotas mais rápidas, sem trânsito, semáforo enquanto você pode resolver outra tarefa.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</si>
  <si>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</si>
  <si>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pode sim usar o ChatGPT, porém deve-se agregar o seu conhecimento e valores, reescrevendo o que o chat responde. Dessa forma o aluno deixa de ser um algoritmo.</t>
  </si>
  <si>
    <t>ele calcula as melhores rotas, com base em nossas preferências pré selecionadas, enquanto colocamos nossos esforços em outras atividades.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</si>
  <si>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</si>
  <si>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deixem os alunos usarem a ferramenta, porém que editem o conteúdo gerado, com suas ideias, valores e conhecimento próprio.</t>
  </si>
  <si>
    <t>A autora usa o GPS para defender a ideia de que a Inteligência Artificial já está em uso há certo tempo e sua utilidade em processos.</t>
  </si>
  <si>
    <r>
      <rPr>
        <strike/>
        <sz val="11"/>
        <color theme="1"/>
        <rFont val="Arial"/>
      </rPr>
      <t xml:space="preserve">Use o espaço que julgar necessário para completar a frase a seguir:  </t>
    </r>
    <r>
      <rPr>
        <i/>
        <strike/>
        <sz val="11"/>
        <color theme="1"/>
        <rFont val="Arial"/>
      </rPr>
      <t>No texto, a autora utiliza o exemplo do uso do chatGPT por professores para defender a ideia de que...</t>
    </r>
    <r>
      <rPr>
        <strike/>
        <sz val="11"/>
        <color theme="1"/>
        <rFont val="Arial"/>
      </rPr>
      <t xml:space="preserve">
</t>
    </r>
  </si>
  <si>
    <t>A inteligenca artificial pode nos auxiliar em diveros aspectos.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</si>
  <si>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</si>
  <si>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pode ser usado para adquirir conhecimento quando se tem um mediador.</t>
  </si>
  <si>
    <t> a inteligencia artificial é muito importante para o cotidiano, mas não deve ser vislumbrada pela ideia de contaminação do algoritmo.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</si>
  <si>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</si>
  <si>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algoritmo pode ser utilizado como uma ferramenta dentro de sala de aula.</t>
  </si>
  <si>
    <t>existem aplicativos que fazem uso de Inteligência Artificial de maneira proveitosa.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</si>
  <si>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</si>
  <si>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é, sim, possível permitir e, até mesmo, incentivar o uso do chatGPT pelos estudantes. Mas, para isso, se faz necessário que o professor instrua os estudantes a não somente copiarem as respostas prontas da IA, mas, sim, editá-las fazendo uso de seu conhecimento para complementar as respostas produzidas. </t>
  </si>
  <si>
    <t>a inteligencia artificial já está entre nós a bastante tempo, nao foi algo que chegou derrepente.</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</si>
  <si>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</si>
  <si>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Professores com anos de estudos, usando sua capacidade mental diariamente, adquirindo seus conhecimentos e valores. É frustrante para o educador, o aluno utilizar o chatGPT, um site feito para "trapaça", impedindo-o de usar o conhecimento de seu próprio cérebro, desvalorizando o trabalho do professor em sala de aula. </t>
  </si>
  <si>
    <t>Defende que a ideia a inteligência nos permite identificar e optar pelos caminhos que mantêm mais portas abertas para o futuro, ou seja, esses algorítimos nos ajudam  e são muito uteis, assim você pode gastar seus neurônios para gastar com outros problemas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</si>
  <si>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</si>
  <si>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Eles são os piores inimigos da preguiça mental, pois pode incorporar a preguiça ao processo, ou seja, mesmo os alunos usando o ChatGPT, eles ainda podem usar o cérebro para pensar, e quem pode instigar isso é o professor.</t>
  </si>
  <si>
    <t>são inteligentes calculadores de rotas.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</si>
  <si>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</si>
  <si>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 utilização do chat GPT como ferramenta sugerida por professores pode gerar maiores preguiças nos alunos ao realizarem as atividades escolares ou acadêmicas, a falta da utilização de meios confiáveis como livros e ferramentas seguras pode empobrecer e deixa preguiçoso o aluno.</t>
  </si>
  <si>
    <t>Ele faz o trabalho humano de traçar rotas, desviar semáforos e o trânsito. Enquanto isso, as pessoas deixam de gastar neurônios com isso podendo pensar em outras coisas.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</si>
  <si>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</si>
  <si>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Ele está se tornando só um algorítimo, tirando a criticidade, criatividade e o conhecimento dos alunos, mas que ao mesmo tempo os professores devem se adequar e utilizar a ferramenta.</t>
  </si>
  <si>
    <t>a inteligência artificial pode ser benéfica. Pois o GPS utiliza esta tecnologia para criar algorítmos que irão otimizar a sua rota e melhorar sua experiência de acordo com sua preferência. Seria um exemplo de Inteligência Artificial utilizada a seu favor, para otimizar seu tempo, ao invés de te distrair e diminuir sua capacidade de raciocínio próprio.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</si>
  <si>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</si>
  <si>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ele pode ser uma ferramenta auxiliadora em sala de aula ajudando a construir o conhecimento do aluno. Ao invés, de ser visto somente como uma ferramenta de respostas prontas, que condiciona o aluno a não pensar, e por consequente, não aprender. </t>
  </si>
  <si>
    <t>a inteligência artificial é flexível de forma positiva. Auxilia o ser humano otimizando seu tempo. A autora exemplifica que enquanto o GPS programa a melhor rota, o indivíduo pode usufruir deste tempo para resolver outras questões. Ou seja, a praticidade que a inteligência artificial oferece facilita no cotidiano do ser humano.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</si>
  <si>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</si>
  <si>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Não há como negar o uso da inteligência artificial. Entretanto, é possível utilizá-la de modo educacional para desenvolver os alunos e trabalhar o conhecimento. A autora defende o uso do ChatGPT como meio para aprimorar as capacidades dos alunos. </t>
  </si>
  <si>
    <t>algumas inteligencias são muito úteis para auxiliar no dia a dia, e ajudar o usuário, assim, podendo que ele otimize seu tempo e resolva outros tipos de situação</t>
  </si>
  <si>
    <r>
      <rPr>
        <strike/>
        <sz val="11"/>
        <color theme="1"/>
        <rFont val="Arial"/>
      </rPr>
      <t xml:space="preserve">Use o espaço que julgar necessário para completar a frase a seguir:  </t>
    </r>
    <r>
      <rPr>
        <i/>
        <strike/>
        <sz val="11"/>
        <color theme="1"/>
        <rFont val="Arial"/>
      </rPr>
      <t>No texto, a autora utiliza o exemplo do uso do chatGPT por professores para defender a ideia de que...</t>
    </r>
    <r>
      <rPr>
        <strike/>
        <sz val="11"/>
        <color theme="1"/>
        <rFont val="Arial"/>
      </rPr>
      <t xml:space="preserve">
</t>
    </r>
  </si>
  <si>
    <t>Que a inteligência é a flexibilidade cognitiva que nos permite identificar e optar por caminhos mais amplos. Que o GPS é uma dessa inteligências, nos auxilia.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</si>
  <si>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</si>
  <si>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gera preguiça e limita o conhecimento dos alunos que entregam seus deveres a essa ferramenta.</t>
  </si>
  <si>
    <t>São legítimos calculadores inteligentes, e está presente na sociedade como inteligência artificial.</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</si>
  <si>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</si>
  <si>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pode ser um aliado, editando e revisando com seus próprios conhecimento.</t>
  </si>
  <si>
    <t>a praticidade de ferramentas que utilizam inteligência artificial é bem-vinda e auxilia que as pessoas possam direcionar seus esforços para outras atividades.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</si>
  <si>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</si>
  <si>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embora seja sedutora a velocidade com que a inteligência artificial organiza informações, é somente isso mesmo que o ChatGPT faz: organiza informações. Para produzir conhecimento, é necessário usar as infirmações que se encontram á disposição do professor e/ou aluno.</t>
  </si>
  <si>
    <t>São calculadores inteligentes que ajudam no cálculo de rota e destino.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</si>
  <si>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</si>
  <si>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Ele é eficaz para entregar textos corretos gramaticalmente sob encomenda, mas não gera conhecimento.</t>
  </si>
  <si>
    <t>ferramentas dotadas de inteligência artificial podem ser úteis, contando que auxiliem nos diversos aspectos da nossa vida e as atividades que já realizamos sejam facilitadas. O GPS é um ótimo exemplo de como esses instrumentos podem ser utilizados para tornar nossa rotina mais agradável e voltada para nossos interesses, sem limitar nossas decisões.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</si>
  <si>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</si>
  <si>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eles podem integrar a utilização dessas ferramentas de inteligência artificial em sala de aula.Além de explorar o potencial da criação de textos, essa integração poderá quebrar a barreira do "uso clandestino" do ChatGPT e outras plataformas, professores podem orientar os alunos a realizarem suas tarefas com o auxilio, sem simplesmente copiar ou reduzir o que já está lá. Os docentes também podem incentivar a criação dos alunos, uma vez que eles já sabem que o professor tem conhecimento que eles utilizam esses facilitadores.</t>
  </si>
  <si>
    <t>a expressão  "inteligência artificial", além de não ser algo "do futuro", tem a função de auxiliar na resolução de problemáticas cotidianas do ser humano, sem, no entanto, substituí-lo.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</si>
  <si>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</si>
  <si>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professores podem utilizar essa ferramenta com seus alunos para, talvez, organizar ideias sobre um determinado assunto, mas, sempre consciente de que, como qualquer algoritmo, o ChatGPT não é capaz de construir conhecimento a partir de infirmações que ele possuie sim, apenas reproduzir algo que já existe (foi dito), na forma em que for comandado á fazer.</t>
  </si>
  <si>
    <t>o uso da ferramenta recalcula a rota e redirecional para o caminho inicial evitando que o motorista tente fazer por ele mesmo.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</si>
  <si>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</si>
  <si>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Os alunos podem utilizar a ferramenta, mas depois, edita-la. </t>
  </si>
  <si>
    <t>a inteligência artificial já faz parte do nosso dia a dia há algum tempo e que a partir da ajuda que algoritmos como esse proporcionam temos tempo e neurônios para serem aplicados em outras coisas.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</si>
  <si>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</si>
  <si>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algoritmos como o ChatGPT podem ser utilizados nas escolas ou nas atividades escolares desde que incentive os estudantes pensarem e gerarem conhecimento a partir do seu conhecimento de mundo.</t>
  </si>
  <si>
    <t>No texto, a autora usa o GPS como um exemplo para defender a ideia de que as inteligências artificiais existem para auxiliar os seres humanos nos mais diversos tipos detarefas.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</si>
  <si>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</si>
  <si>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No texto, a autora utiliza o exemplo do uso do ChatGPT por professores para defender a ideia de que pode ser possível incorporar a utilização do ChatGPT para produção de conhecimento e diferenciando-os das máquinas.</t>
  </si>
  <si>
    <t>o equipamento resolve a questão de deslocamento, enquanto o indivíduo pode direcionar o raciocínio para outros problemas.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</si>
  <si>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</si>
  <si>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É possível utilizar as inteligencias artificiais, a exemplo do chatgpt em favor do aprendizado e na construção de conhecimento dos indivíduos. Isso pode ocorrer atraves de edições/modificações do texto original em prol de um novo trabalho fundado em novos valores e uma nova conjuntura social</t>
  </si>
  <si>
    <t>É uma ferramenta que facilita os nossos trajetos, assim possibilita podermos raciocinar em outras coisas ao invés de ficar pensando, com a nossa própria cabeça, na melhor possibilidade que podemos tomar, ela faz isso por nós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</si>
  <si>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</si>
  <si>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daria uma resposta padrão, baseada no banco de dados, portem o aluno é capaz de desenvolver o conhecimento. Defendendo assim que o chat GPT incentiva o aprendizado, fazendo as pessoas pensarem mais a partir do que é fornecido a elas.</t>
  </si>
  <si>
    <t>Os algoritmos, ou a inteligência artificial, já são ferramentas utilizadas pela humanidade, que ajudam e permitem que a gente use o tempo para resolver outros problemas, enquanto o GPS calcula as rotas.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</si>
  <si>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</si>
  <si>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professores podem fazer o uso do chatGPT nas aulas, como dever de casa, ao fazer com que os alunos utilizem ele como uma ferramenta para desenvolver seu conhecimento e os seus valores, para assim mostrar que o aluno não é mais que um simples algoritmo, e assim fazer com que ele não se acomode com as respostas prontas.</t>
  </si>
  <si>
    <t>a inteligência artificial já faz parte do cotidiano das pessoas e é eficiente e útil</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</si>
  <si>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</si>
  <si>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 algoritmo pode ser útil e auxiliar na obtenção de conhecimento desde que não seja usado sozinho sem exercitar as habilidades dos alunos. </t>
  </si>
  <si>
    <t>A autora defende a ideia de que o GPS é um calculador inteligente de rotas, onde nos auxilia no caminho, desde a sua partida ate o destino final, facilitando os  menores percursos e trechos mais acessíveis para seu usuário.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</si>
  <si>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</si>
  <si>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Os professores podem incorporar a preguiça ao processo: basta por exemplo pedir para os alunos para fazer, sim, seu dever de cada pelo chatGPT, mas editando o resultado usando seu conhecimento e seus valores. </t>
  </si>
  <si>
    <t>A tecnologia e consequentemente a Inteligência Artificial podem simplificar ou até mesmo, solucionar questões do cotidiano que demandariam muito esforço e tempo.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</si>
  <si>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</si>
  <si>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nada substitui o conhecimento adquirido de forma “consciente”. E que jamais o que aliena e “emburrece” é motivo de incômodo, ou seja, o conhecimento incomoda porque dá voz e poder.</t>
  </si>
  <si>
    <t>... ele auxilia os humanos para leva-los a lugares, tornando mais simples para eles a locomoção.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</si>
  <si>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</si>
  <si>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os alunos podem sim fazer bom uso da ferramenta tecnológica ChatGPT para, não plagiar ou copiar, mas complementar com seus conhecimentos e ideias. Como discutido no texto, a ferramenta apresenta informações, mas a capacidade de criar ideias tem que vir de uma pesquisa e questionamento humano.</t>
  </si>
  <si>
    <t>A autora defende a ideia de que o gps (inteligencia artificial), ajudam as pessoas e não as dificulta.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</si>
  <si>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</si>
  <si>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podem incorporar a preguiça ao processo basta por exemplo pedir para os alunos para fazer sim, seu dever de casa apelando para o ChatGPT - mas então editar, o resultado usando seus valores e conhecimentos, Aluno mostra que você é mais do que um simples algoritmo.</t>
  </si>
  <si>
    <t>Nem tudo o que produzido pela inteligência artificial, é algo negativo, temos o exemplo do GPS que é um programa que auxilia na localização.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</si>
  <si>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</si>
  <si>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podem utilizar a seu favor pedindo, por exemplo, que o aluno pesquise no ChatGPT mas use suas palavras para reescrever a ideia.</t>
  </si>
  <si>
    <t>As ferramentas de inteligência artificial podem ser muito úteis quando são algoritmos que nos ajudam no processo de identificar as melhores possibilidades.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</si>
  <si>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</si>
  <si>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 ferramenta pode ser útil no âmbito educacional quando utilizada como material de apoio isto é para o auxílio parcial dos alunos, não para construção instantânea e total das respostas.</t>
  </si>
  <si>
    <t>O GPS foi um exemplo usado para explicar como as tecnologias podem nos ajudar, melhorando a praticidade em coisas que já conhecemos ou coisas que ainda somos leigos, e também para nos dizer o quanto podemos aproveitar, das novas tecnologias no nosso dia a dia, poupando tempo e aperfeiçoando ainda mais nosso conhecimento.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</si>
  <si>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</si>
  <si>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no futuro o ChatGPT possa substituir cérebros humanos, isso preocupa a autora, pois uma ferramenta tão tecnológica assim deveria estimular o conhecimento e não aposenta-lo, pois no futuro, a próxima geração deve ser estimulada a resolver problemas, sejam eles de português ou de matemática.</t>
  </si>
  <si>
    <t>Enquanto o GPS resolve um problema, encontrar rotas, você tem tempo para pensar em outros assuntos e resolvê-los.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</si>
  <si>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</si>
  <si>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 GPT não gera conhecimento, não faz a pessoa pensar, o tornando preguiçoso.</t>
  </si>
  <si>
    <t>enquanto você se preocupa com outras situações ou "usa seus próprios neurônios para resolver outros problemas", um simples navegador pode resolver outra situação problemática que está acontecendo no mesmo momento, abrangendo outras oportunidades de soluções. Isso pode demonstrar que não precisamos pensar em ou tentar resolver nossos conflitos, apresentando a ideia de que a inteligência artificial pode estar limitando nossos próprios limites.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</si>
  <si>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</si>
  <si>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podemos usar outros meios para nos auxiliar em soluções básicas, de maneira para fazermos um bom uso do nosso conhecimento. Um algoritmo tão grande como o ChatGPT, apresenta questões que podem ser um pouco complexas para alguns alunos, de modo que irão apresentar respostas ou ideias que eles não entenderam.</t>
  </si>
  <si>
    <t>os algoritimos são ferramentas que auxiliam no dia a dia e tornam a vida do usuário mais fácil.</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</si>
  <si>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</si>
  <si>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delegar tarefas aos alunos oportunizando o uso do ChatGPT, tira o protagonismo do conhecimento e da reflexão que deve ser feita pelo aluno. Reafirmando a tese dela de que as pessoas ficam mais "burras", ao pegar atividades e respostas prontas, sem sequer editar ou empregar o seu pensamento crítico sobre tal, tendo em vista que esse é o nosso maior diferencial perante a tecnologia, concluindo que realmente "tem muita coisa que só você é capaz de fazer se quiser".</t>
  </si>
  <si>
    <t>Algumas inteligências artificiais podem ajudar no dia a dia, no caso o GPS, pode ajudar formular rotas ajudando a pessoa se deslocar de um lugar para outro mais rápido.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</si>
  <si>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</si>
  <si>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alunos usam o ChatGPT para fazer os trabalhos e deixam de estudar. No futuro isso irá se tornar uma desvantagem, pois não terá domínio e conhecimento sobre os assuntos na área de trabalho.</t>
  </si>
  <si>
    <t>IAs são presentes na sociedade a décadas, terceirizando tarefas simples para que o usúario possa se concentrar em outros problemas.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</si>
  <si>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</si>
  <si>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efeitos de uma tecnologia são decorrentes da forma que são utilizadas, caso os professores integrem o uso do Chat GPT a suas metodologias ele perderá esse efeito de proporcionar que o estudante perca a oportunidade de para gerar conhecimento, transformando-o em uma das etapas de observar, utilizar e então gerar o conhecimento.</t>
  </si>
  <si>
    <t xml:space="preserve">,relacionando-o com a IA, devemos agir como a tecnologia do exemplo: considerar as possibilidades para maximizar o resultado.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</si>
  <si>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</si>
  <si>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não devemos nos opor as inovações, mas utilizar como uma ferramenta de aprendizado.</t>
  </si>
  <si>
    <t>Algoritmos,IA devem ser utilizados como ferramenta de auxílio para nós seres humanos a resolver questões complexas, cálculos e outras funções que nosso cerébro não consegue produzir,compreender ou criar uma nova idéia. Porém o uso da IA fora do que ela foi proposta, acarreta na chamada ''burrice artificial'' devido ao uso excessivo para ''quebrar um galho'' ou para finalizar algo que deve ser entregue em uma data que está perto, o resultado é que a pessoa que utiliza o ChatGPT nesse quesito por vezes nem lê o que a ferramenta escreveu.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</si>
  <si>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</si>
  <si>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 autora utiliza exemplos do uso do chatGPT para defender a ideia de que, como título do artigo diz que esses algoritmos deveriam nos auxiliar como por exemplo no meio de um bloqueio criativo servir como ferramenta de auxílio para ajudar no surgimento de ideias e não utilizar para acelerar uma tarefa.</t>
  </si>
  <si>
    <t>de que a inteligência artificial abre porta para o ser humano e que deixe os neurônios com um problema a menos para poder focar em outras questões.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</si>
  <si>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</si>
  <si>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Que a tecnologia pode ser usada pelos "maiores inimigos da preguiça" com o intuito do aluno ser um editor e gerar conhecimento.</t>
  </si>
  <si>
    <t>apesar de utilizar uma ferramenta que nos oferta uma resposta pronta, ainda sim, precisamos unir esta resposta aos "nossos próprios neurônios", conforme cita a autora.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</si>
  <si>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</si>
  <si>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é possível coexistir e utilizar o ChatGPT para causar conhecimento nos alunos. Mesmo que eles utilizem uma ferramenta que fornece as respostas prontas, é possível conciliar os dados obtidos, com o conhecimento do aluno (ao editar a resposta do Chat, por exemplo).</t>
  </si>
  <si>
    <t>Ferramentas de IA podem ajudar o usuário com tarefas minúsculas e repetitivas para que possa se concentrar em coisas mais importantes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</si>
  <si>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</si>
  <si>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Ferramentas tecnológicas podem fazer, como já fazem, parte do aprendizado do aluno. Os professores devem se ajustar às novas tecnologias ao invés de lutarem contra elas.</t>
  </si>
  <si>
    <t>algumas tarefas podem ser otimizadas pela Inteligência Artificial enquanto os neurônios dos seus usuários podem-se engajar em outras atividades.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</si>
  <si>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</si>
  <si>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Um algoritmo ou outro recurso tecnológico não podem gerar conhecimento única e somente por ele, e que a humanidade não deve atrofiar seus neurônios com mais do mesmo e sem a busca de melhora.
Com tantos recursos, perde-se a ambição de usar o desenvolvimento para mais desenvolvimento, e não para mais (infelizmente) retrocesso.
</t>
  </si>
  <si>
    <t>A inteligência artificial não é algo que surgiu agora, mas que sempre esteve presente no nosso meio.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</si>
  <si>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</si>
  <si>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Que os alunos podem sim usar o chat GPT, mas usando sobretudo o próprio conhecimento de mundo. </t>
  </si>
  <si>
    <t>O  usuário ocupar seus neurônios para outras atividades, enquanto o GPS se preocupa em cálcular a rota, evitar semáforos.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</si>
  <si>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</si>
  <si>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professores podem usar o ChatGPT, como ferramenta de auxílio no aprendizado, usando a favor, permitindo que o aluno forneça a sua contribuição com os seus conhecimentos e valores.</t>
  </si>
  <si>
    <t>Devemos utilizar tecnologia para auxiliar no desenvolvimento, não para o substituir.</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</si>
  <si>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</si>
  <si>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devemos mostrar que somos mais do que um simples algoritmo.</t>
  </si>
  <si>
    <t>as pessoas podem utilizar os recursos tecnológicos, como os algoritmos, como forma de facilitação da vida do ser humano.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</si>
  <si>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</si>
  <si>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Apesar dos professores terem que ser os "piores inimigos da preguiça mental” eles podem acabar incorporando a preguiça ao processo de educação e produção do conhecimento. </t>
  </si>
  <si>
    <t>A inteligência artificial, já é presente no dia a dia, e pode ajudar a resolver coisas simples, que normalmente demandam muito mais tempo quando o ser humano precisa fazer.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</si>
  <si>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</si>
  <si>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 inteligência artificial pode sim ser utilizada, mas não com o objetivo de pensar no lugar do ser humano, mas sim de auxiliar, usá-la de forma estratégica, para ampliar os conhecimentos, de forma benéfica, e não como uma substituta de pensamento e estudo.</t>
  </si>
  <si>
    <t>Calculadores inteligentes de rotas (GPS) nos ajudam a fazer mais de uma coisa em um momento só, maximizam nosso tempo para realizarmos mais coisas em menos tempo, atendendo as nossas prioridades e preferências.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</si>
  <si>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</si>
  <si>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 chat GPT pode atuar como ferramenta para que a partir da resposta dada por ele, o aluno possa incorporar, utilizando seus valores e conhecimento de mundo. Fazendo assim, o aluno refletir e pensar sobre suas crenças, valores, experiências vividas e etc.
Se usado com sabedoria, o chat GPT pode ser uma ferramenta de aprendizado. 
</t>
  </si>
  <si>
    <t>De que certos tipos de tecnologia que estão presentes em nossas vidas podem nos ajudar muito, quando bem utilizadas.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</si>
  <si>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</si>
  <si>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pode ser um aliado, se utilizado da maneira correta.</t>
  </si>
  <si>
    <t>Assim como o GPS usa seu sitema para calcular as melhores rotas para que o usuário chegue ao seu destido,de forma eficiente. A autora defende o fato de que a Inteligência Artificial também consegue facilitar a vida de seu usuário, utilizando seus algorítimos e dados internos para esse fim.</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</si>
  <si>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</si>
  <si>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 chatGPT pode utilizar seus algoritmos para realizar a ação proposta, porém o conhecimento desses dados, poderão ser interpretados pelos alunos ou usuários, usando sua própria inteligência para interpretar esses dados. Resumindo o aplicativo nos dá os meios porém cabe a nós utiliza-lo de uma  maneira efetiva. </t>
  </si>
  <si>
    <t>O GPS nos ajuda e muito calculando o ponto de partida, de destino, a melhor e mais curta rota, ou seja, ele faz todo o trabalho por nós, otimizando o nosso tempo para que possamos usá-lo em outras prioridades.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</si>
  <si>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</si>
  <si>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não há como proibir os alunos de fazerem uso da plataforma porém, usá-la apenas como uma ferramenta que auxilie na amplitude pela busca de informações mais completas, o conhecimento não vem de graça, o aluno precisa e deve saber a maneira correta de usar a plataforma.</t>
  </si>
  <si>
    <t xml:space="preserve">A tecnologia do GPS facilita ao usuario uma otimização de tempo e maior satisfação, já que este não mais precisa utilizar de um mapa manual para encontrar seu local de destino.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</si>
  <si>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</si>
  <si>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Apesar de ser inevitável o contato do estudante com a IA, é sensato que, em vez de uma tentativa vão de proibir o acesso dos alunos à mesma, o docente faça com que estes, ainda quando em contexto com a tecnologia em questão, possam exercitar seus conhecimentos.</t>
  </si>
  <si>
    <t>"São legítimos calculadores de rotas e retornam a escolha optimizada enquanto você usa seus próprios neurônios para resolver outros problemas."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</si>
  <si>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</si>
  <si>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Podem incorporar a “preguiça”, que está associada ao uso do ChatGPT pelos alunos a fim de concluírem suas tarefas, para editar o char e suas conclusões sobre os temas estudados. Só assim, pode haver uma aquisição de conhecimento pode meio da IA.</t>
  </si>
  <si>
    <t>A tecnologia nos abre o leque de opções, mas nós tomamos a decisão final</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</si>
  <si>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</si>
  <si>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 ferramenta, como tecnologia eficiente ao mobilizar informações, pode ser usada como base para obtenção destas, mas que o processo de gerar/obter conhecimento é exclusivamente humano e deve ser feito pelos alunos, a partir da "edição" do resultado, utilizando seus conhecimentos e valores para obter algum valor psicopedagógico da atividade.</t>
  </si>
  <si>
    <t>algumas ferramentas de IA são favoráveis ao usuário porque o ajudam a resolver problemas e achar soluções, porque ao invés de limitar sua capacidade cognitiva, ele o auxilia para que sua cabeça se mantenha livre para resolucionar outros problemas.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</si>
  <si>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</si>
  <si>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 tecnologia pode ser uma ferramenta de ensino/conhecimento.</t>
  </si>
  <si>
    <t xml:space="preserve">A inteligência artificial pode ser uma excelente aliada nas decisões, facilitando e simplificando processos que tomariam tempo e esforço mental se feito analógicamente, tendo a máquina em função do humano, ao invés de limitar as possibilidades de caminhos - ou seja, o humano em função da máquina.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</si>
  <si>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</si>
  <si>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 ChatGPT é incapaz de formular respostas com conteúdo sendo somente capaz de juntar conceitos e colocar eles em frases. Logo, o conhecimento só é produzido com os conteúdos que os humanos conseguem assimilar, internalizar e transmitir eles mesmos.</t>
  </si>
  <si>
    <t>A inteligência artificial tem muito utilidade e tem nos ajudado muito no dia a dia.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</si>
  <si>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</si>
  <si>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mesmo que os professores tentem "vetar”ou fazer um bom proveito do chat GPT, o que realmente importa que é o conhecimento eles não vão mais ter garantia de aprendizado de seus alunos.</t>
  </si>
  <si>
    <t>A inteligência artificial deve ser usada para auxiliar as pessoas e não deixar as pessoas burras sem deixar com que elas explorem os horizontes e vão além de seus limites.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</si>
  <si>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</si>
  <si>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Os alunos são mais que algoritmos e podem pensar e raciocinar sozinhos sem a ajuda de uma máquina.</t>
  </si>
  <si>
    <t>De que assim como o GPS podemos utilizar nossos neurônios para nos lembrar de rotas ou até mesmo de outras situações que acabam nos fugindo da memoria, assim como o GPS podemos sempre de alguma forma reforçar os pensamentos.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</si>
  <si>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</si>
  <si>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os professores poderiam utilizar sim o CHAT para pedir que seus alunos realizasem seu dever de casa, mas depois os corrigisem para que eles realmente aprendessem, a autora diz que os professores deveriam ser os maiores inimigos do CHAT. </t>
  </si>
  <si>
    <t>Não podemos ficar dependentes somente das tecnologias artificiais esperando respostas prontas sem usar a nossa própia capacidade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</si>
  <si>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</si>
  <si>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pode-se aliar as duas ideias fazendo com que o uso do CHAT não seja tão prejudicial e ajude de alguma forma, já que se sabe que ele vai acabar sendo usado de qualquer maneira.</t>
  </si>
  <si>
    <t>Não só a inteligência artificial é algo que pode ser utilizado de forma inteligente e eficaz, que realmente pode facilitar a nossa vida, como também a importância de seu aprimoramento para que esta tecnologia continue a ser utilizada de forma inteligente.</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</si>
  <si>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</si>
  <si>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a inteligência artificial não precisa ser vista como um inimigo a ser combatido, e sim como uma ferramenta que pode ser utilizada em conjunto com a  criação de conhecimento. O ChatGPT pode até criar um texto bem estruturado, porém, cabe a nós utilizamos essa estrutura para que possamos preenchê-la com nossas ideias, reorganizando e reformulando como bem entendemos. </t>
  </si>
  <si>
    <t xml:space="preserve">Ele age rapidamente na escolha que melhor se adapta ao usuário, tomando menos tempo em trâmsito.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</si>
  <si>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</si>
  <si>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Seu uso pode ser de realização dos professores. No entanto, o aluno deve também usar suas ideias e o que sabe para obter melhores resultados em seu conhecimento. </t>
  </si>
  <si>
    <t>A inteligência artificial pode auxiliar no processo de tomada de decisão do ser humano, apresentando alternativas que podem ser usadas para facilitar a escolha de alguma coisa. No caso do GPS, seria um exemplo de inteligência artificial bem sucedida pois apresenta rotas alternativas à quem busca informações de localização.</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</si>
  <si>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</si>
  <si>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A ferramenta pode ser utilizada como aliada na produção de conhecimento e de que também é possível aprender usando o aplicativo, deixando de lado a inércia de utilizá-lo apenas para correções e produções textuais.</t>
  </si>
  <si>
    <t>São legitimos calculadores inteligente  de rotas.</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</si>
  <si>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</si>
  <si>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Podem incorporar a preguiça ao processo, os piores inimigos da preguiça mental, a vontade usando seu conhecimento e seu valor </t>
  </si>
  <si>
    <t>usam algoritimos que trazem flexibilidade cognitiva a quem o usa, pois torna a rota mais fácil, considerando as preferências e necessidades do motorista.</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</si>
  <si>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</si>
  <si>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é rápido para fornecer dados mais precisos (tal como a estruturação sintaticamente correta de uma frase), como parte de uma atividade acadêmica, mas não equivalem à "conhecimento".</t>
  </si>
  <si>
    <t xml:space="preserve">A tecnologia aliada a mente humana funciona. </t>
  </si>
  <si>
    <r>
      <rPr>
        <sz val="11"/>
        <color theme="1"/>
        <rFont val="Arial"/>
      </rPr>
      <t xml:space="preserve">Use o espaço que julgar necessário para completar a frase a seguir:  </t>
    </r>
    <r>
      <rPr>
        <i/>
        <sz val="11"/>
        <color theme="1"/>
        <rFont val="Arial"/>
      </rPr>
      <t>No texto, a autora utiliza o exemplo do uso do chatGPT por professores para defender a ideia de que...</t>
    </r>
    <r>
      <rPr>
        <sz val="11"/>
        <color theme="1"/>
        <rFont val="Arial"/>
      </rPr>
      <t xml:space="preserve">
</t>
    </r>
  </si>
  <si>
    <t xml:space="preserve">Eles devem se aliar ao uso da tecnologia não substituindo o ensino como e, mas utilizar coisas produzidas pelo chat em benefício do conhecimento para que fossem utilizados para interpretação em sala de aula. </t>
  </si>
  <si>
    <t>DIGITAL</t>
  </si>
  <si>
    <t>Resposta esperada</t>
  </si>
  <si>
    <t>... a IA / os algoritmos podem auxiliar a realizar escolhas (e usar a inteligência/cabeça para outras coisas); ou</t>
  </si>
  <si>
    <t>... a IA não é uma ferramenta de escolha no lugar do ser humano.</t>
  </si>
  <si>
    <t>Nota</t>
  </si>
  <si>
    <t>Critérios</t>
  </si>
  <si>
    <t>O texto apresenta a tese da autora, relacionada com a contribuição da IA/algoritmos para as escolhas humanas.</t>
  </si>
  <si>
    <t>A resposta indica que o enfoque da autora é tratar sobre IA e escolhas humanas, mas desenvolve apenas um dos fatores.</t>
  </si>
  <si>
    <t>Texto foca no GPS, sem relacionar com IA ou escolhas humanas; respostas que sejam apenas citações não devem passar dessa nota.</t>
  </si>
  <si>
    <t>Não há relação entre a tese e o argumento, ainda que o texto apresente resquícios de IA, algoritmo ou escolha; textos que não continuam o enunciado podem não passar desta nota.</t>
  </si>
  <si>
    <t>Não tratar nem de IA, nem de algoritmos, nem de escolha.</t>
  </si>
  <si>
    <t>IMPRESSO</t>
  </si>
  <si>
    <t>...a tecnologia pode ser aliada na construção/motivação/progresso do conhecimento.</t>
  </si>
  <si>
    <t>A resposta apresenta a tese da autora, relacionada com a contribuição da tecnologia para a construção do conhecimento.</t>
  </si>
  <si>
    <t>A resposta entende que o enfoque da autora é tratar sobre tecnologia e conhecimento, mas trata apenas de um dos fatores.</t>
  </si>
  <si>
    <t>A resposta foca no ChatGPT, sem relacionar com tecnologia ou conhecimento (ainda que não seja apenas opinativo).</t>
  </si>
  <si>
    <t>Não há relação entre a tese e o argumento, ainda que o texto apresente resquícios de tecnologia e conhecimento; textos que não continuam o enunciado podem não passar desta nota.</t>
  </si>
  <si>
    <t>A resposta não tratou sobre tecnologia, conhecimento ou sobre o ChatGPT; apenas opinou sobre algo tangente, sem se atentar ao enunciado que pedia a defesa da tese por parte da autora</t>
  </si>
  <si>
    <t>Planilha Experimento 1</t>
  </si>
  <si>
    <t>Prompt 1 = +TEXTO_BASE+ RESPOSTA_ESPERADA</t>
  </si>
  <si>
    <t>Prompt 1 = +TEXTO_BASE + RESPOSTA_ESPERADA</t>
  </si>
  <si>
    <t>Contexto: Você está corrigindo uma atividade de interpretação textual de um curso de ensino superior.
Papel: Assuma o papel de um professor universitário avaliando objetivamente a resposta de um estudante.
O texto-base está entre os marcadores ####:
####
&lt;TEXTO_BASE&gt;
####
O enunciado da questão está entre os marcadores ###:
###
&lt;ENUNCIADO_QUESTAO&gt;
###
A resposta do aluno está entre os marcadores ##:
##
&lt;RESPOSTA_ALUNO&gt;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</si>
  <si>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Parametrização</t>
  </si>
  <si>
    <t>Temperatura 0.75
Max Tokens = 800
Top P = 0.9</t>
  </si>
  <si>
    <t>Temperatura 0.7
Max Tokens = 2048
Top P = 1</t>
  </si>
  <si>
    <t>?</t>
  </si>
  <si>
    <t>https://medium.com/@robmoraisjr/parameters-the-secret-power-to-have-more-control-of-chatgpt-d84b9af8e852#id_token=eyJhbGciOiJSUzI1NiIsImtpZCI6ImMzYWJlNDEzYjIyNjhhZTk3NjQ1OGM4MmMxNTE3OTU0N2U5NzUyN2UiLCJ0eXAiOiJKV1QifQ.eyJpc3MiOiJodHRwczovL2FjY291bnRzLmdvb2dsZS5jb20iLCJhenAiOiIyMTYyOTYwMzU4MzQtazFrNnFlMDYwczJ0cDJhMmphbTRsamRjbXMwMHN0dGcuYXBwcy5nb29nbGV1c2VyY29udGVudC5jb20iLCJhdWQiOiIyMTYyOTYwMzU4MzQtazFrNnFlMDYwczJ0cDJhMmphbTRsamRjbXMwMHN0dGcuYXBwcy5nb29nbGV1c2VyY29udGVudC5jb20iLCJzdWIiOiIxMDQ3MjM5NjI2MDMzOTMzODg1OTkiLCJlbWFpbCI6Im9zbWFyLm9saXZlaXJhLmJyYXpAZ21haWwuY29tIiwiZW1haWxfdmVyaWZpZWQiOnRydWUsIm5iZiI6MTcxODgzNjY2NSwibmFtZSI6Ik9zbWFyIE9saXZlaXJhIEJyYXogSnVuaW9yIiwicGljdHVyZSI6Imh0dHBzOi8vbGgzLmdvb2dsZXVzZXJjb250ZW50LmNvbS9hL0FDZzhvY0pvRVc1RzlqcVdXY0lqek5BQmh1RnU5cTR4enpKWVJpd1pyd3RXUi1UcGxSUGJzRFoySGc9czk2LWMiLCJnaXZlbl9uYW1lIjoiT3NtYXIiLCJmYW1pbHlfbmFtZSI6Ik9saXZlaXJhIEJyYXogSnVuaW9yIiwiaWF0IjoxNzE4ODM2OTY1LCJleHAiOjE3MTg4NDA1NjUsImp0aSI6IjM1ZjBjNTczYTU1MDBjZDkxNDcxOTM5ZGQyMWIxNzRjNDAyMDRkODUifQ.mK7QuulOhkz7B0Y1O5dS9hcLJDc6i4u0ujkpUpPJ1HwOkmW2wQXlNp4MwR-xvhkZU5UpGcYGvC3rF5OenXl5ZyJ0VrghqypvueoYaUhD-dpWBer0zMhSSfqSMZu_04B1-IIwArF91YkTp_8yR7hdlqcd67_y0WCvOdBt-fRJQj2QYS6JVURyPJlbftA_VWB100Ls9DhZANfRLOD2HYltoIff2mqZiLne86q0WnNl1U0DUBNN45kq5sj17cqCRuYu5enMWnCWmirxA9MbwmsLGsUYQ-M-yeNLlzLjjRu5yZSd0rCLVdyAtPHRZJpYpgvxBA1-hmtZp7toU046lzhK-Q</t>
  </si>
  <si>
    <t>Tabela: Verbos identificados</t>
  </si>
  <si>
    <t>LLaMA-3.3 70B Instruct</t>
  </si>
  <si>
    <t>https://huggingface.co/chat/</t>
  </si>
  <si>
    <t>GPT 5.3</t>
  </si>
  <si>
    <t>https://chatgpt.com/</t>
  </si>
  <si>
    <t>Gemini 3</t>
  </si>
  <si>
    <t>https://gemini.google.com/</t>
  </si>
  <si>
    <t>Sabiá-4 2026-01-06</t>
  </si>
  <si>
    <t>https://www.maritaca.ai/</t>
  </si>
  <si>
    <t>Deepseek v3.2</t>
  </si>
  <si>
    <t>https://www.deepseek.com/</t>
  </si>
  <si>
    <t xml:space="preserve"> </t>
  </si>
  <si>
    <t>Id</t>
  </si>
  <si>
    <t>Questão</t>
  </si>
  <si>
    <t>Resposta</t>
  </si>
  <si>
    <t>Diferença ^2</t>
  </si>
  <si>
    <t>Diferença ABS</t>
  </si>
  <si>
    <t>Estatísticas das medidas de tendência central da nota da questão.</t>
  </si>
  <si>
    <t>Av 1</t>
  </si>
  <si>
    <t>Av 2</t>
  </si>
  <si>
    <t>Média Av</t>
  </si>
  <si>
    <t>LLaMA-3.3 70B</t>
  </si>
  <si>
    <t>Quantidade</t>
  </si>
  <si>
    <t>MAE - Erro médio absoluto</t>
  </si>
  <si>
    <t>Media/MAE</t>
  </si>
  <si>
    <t>Moda</t>
  </si>
  <si>
    <t>RMSE</t>
  </si>
  <si>
    <t>MAE</t>
  </si>
  <si>
    <t>Desvio padrão</t>
  </si>
  <si>
    <t>Variância</t>
  </si>
  <si>
    <t>Quartil 1 (Mínimo)</t>
  </si>
  <si>
    <t>Quartil 2</t>
  </si>
  <si>
    <t>Quartil 3 (Mediana)</t>
  </si>
  <si>
    <t>Quartil 4</t>
  </si>
  <si>
    <t>Quartil 5(Máximo)</t>
  </si>
  <si>
    <t>Coeficiente de Pearson</t>
  </si>
  <si>
    <t>x</t>
  </si>
  <si>
    <t>Valor próximo de 1: Indica uma forte concordância entre as avaliações humana e automatizada. Ou seja, quando um avaliador humano atribui uma nota alta, o sistema automatizado também tende a atribuir uma nota alta.</t>
  </si>
  <si>
    <t>Valor próximo de -1: Indica uma forte discordância entre as avaliações. Neste caso, quando um avaliador humano atribui uma nota alta, o sistema automatizado tende a atribuir uma nota baixa.</t>
  </si>
  <si>
    <t>Valor próximo de 0: Indica uma ausência de correlação, ou seja, não há relação linear entre as duas avaliações.</t>
  </si>
  <si>
    <t>GPT 5.2 mini</t>
  </si>
  <si>
    <t>Sabiá-4</t>
  </si>
  <si>
    <t>Tabela: Resposta completa do prompt submetido aos LLMs</t>
  </si>
  <si>
    <t>Prompt Submetido</t>
  </si>
  <si>
    <t>Respostas LLaMA-3.3 70B</t>
  </si>
  <si>
    <t>Respostas GPT 5.3</t>
  </si>
  <si>
    <t>Respostas Gemini 3</t>
  </si>
  <si>
    <t>Respostas Sabiá-4 2026-01-06</t>
  </si>
  <si>
    <t>Respostas Deepseek v3.2</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</si>
  <si>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Esse recurso deve auxiliar a pessoa que o está usando, enquanto este pode focar em outras coisas além de planejar rota.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</si>
  <si>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é uma ferramenta utilizada para facilitar o dia a dia, nós repassamos a origem e o destino e os algoritmo calcula a rota mais fácil, para que não tenhamos que ficar pensando um problemas como semáforos, buracos, trânsito.. e com o algoritmo fazendo esse trabalho por nós, não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</si>
  <si>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calculadores inteligentes de rotas, pois consideram o que é mais facil para o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</si>
  <si>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está aqui por um bom tempo e serve para ajudar o ser humano (mas não escolher por ele)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</si>
  <si>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Utilizar técnicas que nos ajudam, pode ser um ponto positivo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</si>
  <si>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algorítimos contribuem de forma positiva para as rotas de transito.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</si>
  <si>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ferramenta que, por meio do auxilio com a escolha do melhor trajeto, facilita nossa vida e nos poupa tempo, ao contrário de outros algoritmos que atrasam nossas vidas e não contribuem para uma produção efetiva.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</si>
  <si>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Autora usa o gps como exemplo para dizer que a tecnologia é uma ferramenta extremamente importante que se usada de maneira correta pode nós auxiliar em vários aspectos. Mas é preciso saber o que se busca na internet e saber selecionar os conteúdos é de extrema importância.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</si>
  <si>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optimiza o tempo, poupa esforço, e tem resultados satisfatórios.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</si>
  <si>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auxilia o homem nas escolhas das decisões práticas do cotidiano enquanto ele se ocupa de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</si>
  <si>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 meio rápido e simplificado de solucionar problemas, poupando o tempo do usuario- que tem outras coisas com que se preocupar.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</si>
  <si>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está na humanidade há muito tempo e ela pode servir como auxilio para tomada de decisões, guiando o usuário para soluções inteligentes.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</si>
  <si>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GPS, são aplicativos que ajudam seus usuários, calculando rotas de acordo com a preferência do mesmo.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</si>
  <si>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ideia de que eles podem agilizar os processos humanos diarios enquanto nós podemso focar em problemas mais importantes diários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</si>
  <si>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articifial se porta, mais especificamente, como uma alternativa ao usuário e, não, como algo definitivo e impassível de interferências, ou que diminui a autonomia do sujeito: seria realmente uma ferramenta, com o propósito de auxiliar e permitir um aproveitamento maior do tempo empregado em certa atividade.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</si>
  <si>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utiliza o exemplo da ferramenta GPS para confirmar a ideia de que são opções viáveis e que podem beneficiar e auxiliar 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</si>
  <si>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como calculadoras inteligente de rotas , considerando o ponto de partida  e destino , facilitando para o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</si>
  <si>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não acha ruim o uso de ferramentas como o GPS no dia a dia, muito pelo contrário. Se existe, que seja utilizado, ainda mais pela facilidade e utilidade que uma calculadora de rota customizavel pode ter. Isso tudo reforça e defende a ideia de que a tecnologia é uma extensão da nossa inteligencia que pode e deve nos ajudar a manter um caminho evolutivo constante. "de portas abertas ao futuro".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</si>
  <si>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Este está ali como forma de auxílio ao ser humano, não para substitui-lo.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</si>
  <si>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Defende a ideia de que é muito útil para optimização do tempo, pois as pessoas podem usar o tempo que gastariam escolhendo rotas, pensando em outros problemas do cotidiano.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</si>
  <si>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Ela defende que a inteligência é capaz de facilitar a vida das pessoas, pois como o GPS calcula rotas com mais facilidade e agilidade, a inteligência artificial pode nos ajudar a minimizar o tempo em ações do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</si>
  <si>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 tecnologia pode sim nos ajudar, GPS funcionam como calculadoras, que mostram a melhor rota a mais rápida, assim você pode focar em outros problemas, que não achar o melhor caminho.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</si>
  <si>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pode ser usada para ajudar os seres humanos na tomada de decisão de forma mais simples.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</si>
  <si>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Nesse caso a inteligência artificial auxilia o usário e otimiza seu tempo, fazendo com que ele tenha respostas das suas necessidades de rota enquanto utiliza seu pensamento para resolucionar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</si>
  <si>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ela não acha ruim a IA, desde que utilizada de uma maneira em que ajude o usuario a ter mais um leque de possibilidades em suas mãos e que não o limite.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</si>
  <si>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tecnologias úteis que se tornaram imprescindíveis, embora nem todas sejam, ainda mais relacionadas às redes sociais.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</si>
  <si>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Podemos usar a inteligência artificial para otimizar as tarefas, como utilizar o GPS para calcular a rota mais rápida ou a sem semáforo.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</si>
  <si>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ferramentas tecnológicas permeam as diversas esferas do nosso cotidiano, nos auxiliando nas atividades do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</si>
  <si>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as ferramentas tecnológicas estão presentes no mundo moderno para facilitar a vida do homem, auxiliar para que as pessoas possam pensar em outros assuntos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</si>
  <si>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 que oferecem soluções melhores e rápidas são úteis para as pessoas, sendo diferentes das burrices artificiais que induzem as pessoas a tomarem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</si>
  <si>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inteligência artificial que auxilia, mas que também é Passível de configuração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</si>
  <si>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auxilia de uma maneira positiva em muitos sentidos, escolhendo por exemplo, o caminho mais rápido até o seu destino, possibilitando assim que o ser humano foque em outros problemas já que o do trânsito estaria resolvido pelo GPS.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</si>
  <si>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tecnologias/inteligências são boas e não restringe as escolhas dos humanos.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</si>
  <si>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inteligências artificiais que otimizam o tempo no dia-a-dia.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</si>
  <si>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mesmos sao legítimos calculadores inteligentes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</si>
  <si>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Eles analisam o ponto de saída e de chegada, considerando a preferência do usuário e rotas alternativas.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</si>
  <si>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Porque eles calculam a rota de partida e destino dos usuários, e otimizam o trajeto do motorista. Dessa maneira, eles podem focar em outros problemas dentro do seu deslocamento.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</si>
  <si>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automatização de algumas ferramentas pode facilitar o dia a dia de todos, a autora usou de exemplo o GPS que facilita nossa locomoção pelo mundo, montando rotas e facilitando nosso deslocamento como um guia.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</si>
  <si>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pode ser utilizada para facilitar a análise das opções possíveis e ajudar a tomarmos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</si>
  <si>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 exemplo de aplicativo que surgiu com o avanço da tecnologia, e que pode ser eficaz em uma perspectiva de precisar de ajuda para calcular a rota de determinado trajeto. Tratando-se então, de um recurso tecnológico positivo para a sociedade humana.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</si>
  <si>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inteligências artificiais capezes de serem úteis para os seres humanos.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</si>
  <si>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otimiza o tempo das pessoas, fazendo com que elas se preocupem com outras coisas enquanto o GPS resolve problemas como tráfego, acidentes, semâforos e etc.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</si>
  <si>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NO TEXTO, A AUTORA USA O GPS COMO UM EXEMPLO PARA DEFENDER A IDEIA DE QUE ALGORITMOS QUE NOS AJUDEM SÃO ÚTEIS, QUE POSSAM FACILITAR SITUAÇÕES PARA NÓS, AJUDANDO A FOCAR EM OUTRAS PREOCUPAÇÕES OU ÁREAS DE MAIOR ATENÇÃO.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</si>
  <si>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inteligências artificiais estão disponíveis a nosso favor, ao calcular a rota a IA, economiza o tempo do motorista que pode ser voltado a outras preocupações, como suas malas, a revisão do carro e outros, que apenas o ser humano pode fazer.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</si>
  <si>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Eles são capazes de explorar possivilades e maximizá-las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</si>
  <si>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utilizando o gps como um meio de localização, ele vai facilitar a vida da pessoa, podendo fazer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</si>
  <si>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em sua totalidade, se usada de forma proveitosa, serve para maximizar as possibilidades que o leitor ou usuário tem em relação ao seu objetivo, funciona como meio de reduzir o tempo empregado em uma tarefa ao mesmo tempo em que maximiza seu resultado.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</si>
  <si>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inteligências artificiais são um mecanismo de auxílio para as pessoas, uma vez que facilita certos racicínios humanos, porém, são uma forma de ferramenta que nos ajude, não substitua. Ao facilitar uma tarefa, a pessoa possui espaço para cuidar e analisar outras questões mais relevantes que não possam ser supridas por uma 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</si>
  <si>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um RECURSO pra otimizar tempo. O GPS foi um ótimo e claro exemplo disso pois como dito no texto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</si>
  <si>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 inteligencia artificial pode, e já existe, como um meio de suporte e de auxílio para nós se usada de forma correta, e não como algo que nos torne leigos ou iguinorantes, como ela citou, em se locomover de automóvel.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</si>
  <si>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se trata de uma ferramenta de cálculo de rotas, um instrumento de análise de possibilidades de trajétos que oferece opções de escolha para o usuário. Assim, teoricamente, se estabelece a ideia de que inteligência artificial, no conceito proposto pela autora, estaria alinhado ao cálculo de possibilidades e oferecimento de opções para os usuários.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</si>
  <si>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é um exemplos de ferramenta de inteligência artificial que já existe a muito tempo, ferramenta essa que contribui muito para os usuários .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</si>
  <si>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útil, uma vez que agiliza a resolução de um problema.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</si>
  <si>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de rota considerando ponto de partida e chegada.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</si>
  <si>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se utilizada de uma boa maneira otimiza o tempo no dia a dia, o GPS é um bom exemplo dessa tecnologia, pois é eficiente,  facilita a localização de quem o utiliza, entre outros...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</si>
  <si>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ajuda no processo de tomadas de decisões, enquanto usa seus próprios neurônios em resolução de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</si>
  <si>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 que nos fornecem ajuda ou automaticamente ofereçam a melhor opção são muito úteis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</si>
  <si>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Certos algoritmos nos ajudam, no deslocamento, com menos transtornos nas viagens.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</si>
  <si>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ajuda na maximização e otimização do tempo. Isso nos ajuda a pensar em outras enquanto o algoritmo traça nossa rota de acordo com nossa preferencia.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</si>
  <si>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Ao utilizar o GPS os usuários otimizam seu tempo para resolver outros problemas, já que a inteligência artificial estará minimizando "os neurônios" do indivíduo, ou seja, aquela pessoa não precisará de sua atenção total ao exercer a função na qual essa IA já está desempenhando.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</si>
  <si>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Inteligências artificiais podem ser muito úteis.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</si>
  <si>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é uma excelente calculadora que pode te auxiliar pensando em rotas mais rápidas, sem trânsito, semáforo enquanto você pode resolver outra tarefa.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</si>
  <si>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calcula as melhores rotas, com base em nossas preferências pré selecionadas, enquanto colocamos nossos esforços em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</si>
  <si>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inteligenca artificial pode nos auxiliar em diveros aspectos.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</si>
  <si>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é muito importante para o cotidiano, mas não deve ser vislumbrada pela ideia de contaminação do algoritmo.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</si>
  <si>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aplicativos que fazem uso de Inteligência Artificial de maneira proveitosa.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</si>
  <si>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já está entre nós a bastante tempo, nao foi algo que chegou derrepente.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</si>
  <si>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Defende que a ideia a inteligência nos permite identificar e optar pelos caminhos que mantêm mais portas abertas para o futuro, ou seja, esses algorítimos nos ajudam  e são muito uteis, assim você pode gastar seus neurônios para gastar com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</si>
  <si>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inteligentes calculadores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</si>
  <si>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faz o trabalho humano de traçar rotas, desviar semáforos e o trânsito. Enquanto isso, as pessoas deixam de gastar neurônios com isso podendo pensar em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</si>
  <si>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ser benéfica. Pois o GPS utiliza esta tecnologia para criar algorítmos que irão otimizar a sua rota e melhorar sua experiência de acordo com sua preferência. Seria um exemplo de Inteligência Artificial utilizada a seu favor, para otimizar seu tempo, ao invés de te distrair e diminuir sua capacidade de raciocínio próprio.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</si>
  <si>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flexível de forma positiva. Auxilia o ser humano otimizando seu tempo. A autora exemplifica que enquanto o GPS programa a melhor rota, o indivíduo pode usufruir deste tempo para resolver outras questões. Ou seja, a praticidade que a inteligência artificial oferece facilita no cotidiano do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</si>
  <si>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 inteligência é a flexibilidade cognitiva que nos permite identificar e optar por caminhos mais amplos. Que o GPS é uma dessa inteligências, nos auxilia.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</si>
  <si>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inteligentes, e está presente na sociedade como inteligência artificial.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</si>
  <si>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praticidade de ferramentas que utilizam inteligência artificial é bem-vinda e auxilia que as pessoas possam direcionar seus esforços para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</si>
  <si>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calculadores inteligentes que ajudam no cálculo de rota e destino.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</si>
  <si>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ferramentas dotadas de inteligência artificial podem ser úteis, contando que auxiliem nos diversos aspectos da nossa vida e as atividades que já realizamos sejam facilitadas. O GPS é um ótimo exemplo de como esses instrumentos podem ser utilizados para tornar nossa rotina mais agradável e voltada para nossos interesses, sem limitar nossas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</si>
  <si>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expressão  "inteligência artificial", além de não ser algo "do futuro", tem a função de auxiliar na resolução de problemáticas cotidianas do ser humano, sem, no entanto, substituí-lo.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</si>
  <si>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uso da ferramenta recalcula a rota e redirecional para o caminho inicial evitando que o motorista tente fazer por ele mesmo.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</si>
  <si>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faz parte do nosso dia a dia há algum tempo e que a partir da ajuda que algoritmos como esse proporcionam temos tempo e neurônios para serem aplicados em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</si>
  <si>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No texto, a autora usa o GPS como um exemplo para defender a ideia de que as inteligências artificiais existem para auxiliar os seres humanos nos mais diversos tipos detarefas.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</si>
  <si>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equipamento resolve a questão de deslocamento, enquanto o indivíduo pode direcionar o raciocínio para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</si>
  <si>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ferramenta que facilita os nossos trajetos, assim possibilita podermos raciocinar em outras coisas ao invés de ficar pensando, com a nossa própria cabeça, na melhor possibilidade que podemos tomar, ela faz isso por nós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</si>
  <si>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algoritmos, ou a inteligência artificial, já são ferramentas utilizadas pela humanidade, que ajudam e permitem que a gente use o tempo para resolver outros problemas, enquanto o GPS calcula as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</si>
  <si>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faz parte do cotidiano das pessoas e é eficiente e útil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</si>
  <si>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defende a ideia de que o GPS é um calculador inteligente de rotas, onde nos auxilia no caminho, desde a sua partida ate o destino final, facilitando os  menores percursos e trechos mais acessíveis para seu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</si>
  <si>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e consequentemente a Inteligência Artificial podem simplificar ou até mesmo, solucionar questões do cotidiano que demandariam muito esforço e tempo.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</si>
  <si>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 ele auxilia os humanos para leva-los a lugares, tornando mais simples para eles a locomoção.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</si>
  <si>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defende a ideia de que o gps (inteligencia artificial), ajudam as pessoas e não as dificulta.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</si>
  <si>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Nem tudo o que produzido pela inteligência artificial, é algo negativo, temos o exemplo do GPS que é um programa que auxilia na localização.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</si>
  <si>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ferramentas de inteligência artificial podem ser muito úteis quando são algoritmos que nos ajudam no processo de identificar as melhores possibilidades.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</si>
  <si>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foi um exemplo usado para explicar como as tecnologias podem nos ajudar, melhorando a praticidade em coisas que já conhecemos ou coisas que ainda somos leigos, e também para nos dizer o quanto podemos aproveitar, das novas tecnologias no nosso dia a dia, poupando tempo e aperfeiçoando ainda mais nosso conhecimento.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</si>
  <si>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Enquanto o GPS resolve um problema, encontrar rotas, você tem tempo para pensar em outros assuntos e resolvê-los.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</si>
  <si>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enquanto você se preocupa com outras situações ou "usa seus próprios neurônios para resolver outros problemas", um simples navegador pode resolver outra situação problemática que está acontecendo no mesmo momento, abrangendo outras oportunidades de soluções. Isso pode demonstrar que não precisamos pensar em ou tentar resolver nossos conflitos, apresentando a ideia de que a inteligência artificial pode estar limitando nossos próprios limites.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</si>
  <si>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algoritimos são ferramentas que auxiliam no dia a dia e tornam a vida do usuário mais fácil.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</si>
  <si>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inteligências artificiais podem ajudar no dia a dia, no caso o GPS, pode ajudar formular rotas ajudando a pessoa se deslocar de um lugar para outro mais rápido.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</si>
  <si>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IAs são presentes na sociedade a décadas, terceirizando tarefas simples para que o usúario possa se concentrar em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</si>
  <si>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,relacionando-o com a IA, devemos agir como a tecnologia do exemplo: considerar as possibilidades para maximizar o resultado.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</si>
  <si>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Algoritmos,IA devem ser utilizados como ferramenta de auxílio para nós seres humanos a resolver questões complexas, cálculos e outras funções que nosso cerébro não consegue produzir,compreender ou criar uma nova idéia. Porém o uso da IA fora do que ela foi proposta, acarreta na chamada ''burrice artificial'' devido ao uso excessivo para ''quebrar um galho'' ou para finalizar algo que deve ser entregue em uma data que está perto, o resultado é que a pessoa que utiliza o ChatGPT nesse quesito por vezes nem lê o que a ferramenta escreveu.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</si>
  <si>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 inteligência artificial abre porta para o ser humano e que deixe os neurônios com um problema a menos para poder focar em outras questões.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</si>
  <si>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apesar de utilizar uma ferramenta que nos oferta uma resposta pronta, ainda sim, precisamos unir esta resposta aos "nossos próprios neurônios", conforme cita a autora.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</si>
  <si>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Ferramentas de IA podem ajudar o usuário com tarefas minúsculas e repetitivas para que possa se concentrar em coisas mais importantes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</si>
  <si>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tarefas podem ser otimizadas pela Inteligência Artificial enquanto os neurônios dos seus usuários podem-se engajar em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</si>
  <si>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não é algo que surgiu agora, mas que sempre esteve presente no nosso meio.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</si>
  <si>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usuário ocupar seus neurônios para outras atividades, enquanto o GPS se preocupa em cálcular a rota, evitar semáforos.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</si>
  <si>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Devemos utilizar tecnologia para auxiliar no desenvolvimento, não para o substituir.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</si>
  <si>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pessoas podem utilizar os recursos tecnológicos, como os algoritmos, como forma de facilitação da vida do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</si>
  <si>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é presente no dia a dia, e pode ajudar a resolver coisas simples, que normalmente demandam muito mais tempo quando o ser humano precisa fazer.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</si>
  <si>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Calculadores inteligentes de rotas (GPS) nos ajudam a fazer mais de uma coisa em um momento só, maximizam nosso tempo para realizarmos mais coisas em menos tempo, atendendo as nossas prioridades e preferências.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</si>
  <si>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certos tipos de tecnologia que estão presentes em nossas vidas podem nos ajudar muito, quando bem utilizadas.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</si>
  <si>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Assim como o GPS usa seu sitema para calcular as melhores rotas para que o usuário chegue ao seu destido,de forma eficiente. A autora defende o fato de que a Inteligência Artificial também consegue facilitar a vida de seu usuário, utilizando seus algorítimos e dados internos para esse fim.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</si>
  <si>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nos ajuda e muito calculando o ponto de partida, de destino, a melhor e mais curta rota, ou seja, ele faz todo o trabalho por nós, otimizando o nosso tempo para que possamos usá-lo em outras prioridades.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</si>
  <si>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do GPS facilita ao usuario uma otimização de tempo e maior satisfação, já que este não mais precisa utilizar de um mapa manual para encontrar seu local de destino.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</si>
  <si>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de rotas e retornam a escolha optimizada enquanto você usa seus próprios neurônios para resolver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</si>
  <si>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nos abre o leque de opções, mas nós tomamos a decisão final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</si>
  <si>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ferramentas de IA são favoráveis ao usuário porque o ajudam a resolver problemas e achar soluções, porque ao invés de limitar sua capacidade cognitiva, ele o auxilia para que sua cabeça se mantenha livre para resolucionar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</si>
  <si>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ser uma excelente aliada nas decisões, facilitando e simplificando processos que tomariam tempo e esforço mental se feito analógicamente, tendo a máquina em função do humano, ao invés de limitar as possibilidades de caminhos - ou seja, o humano em função da máquina.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</si>
  <si>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tem muito utilidade e tem nos ajudado muito no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</si>
  <si>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deve ser usada para auxiliar as pessoas e não deixar as pessoas burras sem deixar com que elas explorem os horizontes e vão além de seus limites.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</si>
  <si>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assim como o GPS podemos utilizar nossos neurônios para nos lembrar de rotas ou até mesmo de outras situações que acabam nos fugindo da memoria, assim como o GPS podemos sempre de alguma forma reforçar os pensamentos.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</si>
  <si>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Não podemos ficar dependentes somente das tecnologias artificiais esperando respostas prontas sem usar a nossa própia capacidade .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</si>
  <si>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Não só a inteligência artificial é algo que pode ser utilizado de forma inteligente e eficaz, que realmente pode facilitar a nossa vida, como também a importância de seu aprimoramento para que esta tecnologia continue a ser utilizada de forma inteligente.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</si>
  <si>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age rapidamente na escolha que melhor se adapta ao usuário, tomando menos tempo em trâmsito.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</si>
  <si>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auxiliar no processo de tomada de decisão do ser humano, apresentando alternativas que podem ser usadas para facilitar a escolha de alguma coisa. No caso do GPS, seria um exemplo de inteligência artificial bem sucedida pois apresenta rotas alternativas à quem busca informações de localização.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</si>
  <si>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legitimos calculadores inteligente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</si>
  <si>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usam algoritimos que trazem flexibilidade cognitiva a quem o usa, pois torna a rota mais fácil, considerando as preferências e necessidades do motorista.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</si>
  <si>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aliada a mente humana funciona.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</si>
  <si>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 xml:space="preserve">Geração dos prompts </t>
  </si>
  <si>
    <t>Corpora 1</t>
  </si>
  <si>
    <t>Prompt</t>
  </si>
  <si>
    <t>0.5</t>
  </si>
  <si>
    <t>Planilha Experimento 2</t>
  </si>
  <si>
    <t>Prompt 2 = +TEXTO_BASE - RESPOSTA_ESPERADA</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</si>
  <si>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Esse recurso deve auxiliar a pessoa que o está usando, enquanto este pode focar em outras coisas além de planejar rota.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</si>
  <si>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é uma ferramenta utilizada para facilitar o dia a dia, nós repassamos a origem e o destino e os algoritmo calcula a rota mais fácil, para que não tenhamos que ficar pensando um problemas como semáforos, buracos, trânsito.. e com o algoritmo fazendo esse trabalho por nós, não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</si>
  <si>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calculadores inteligentes de rotas, pois consideram o que é mais facil para o usuário.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</si>
  <si>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está aqui por um bom tempo e serve para ajudar o ser humano (mas não escolher por ele)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</si>
  <si>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Utilizar técnicas que nos ajudam, pode ser um ponto positivo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</si>
  <si>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algorítimos contribuem de forma positiva para as rotas de transito.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</si>
  <si>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ferramenta que, por meio do auxilio com a escolha do melhor trajeto, facilita nossa vida e nos poupa tempo, ao contrário de outros algoritmos que atrasam nossas vidas e não contribuem para uma produção efetiva.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</si>
  <si>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Autora usa o gps como exemplo para dizer que a tecnologia é uma ferramenta extremamente importante que se usada de maneira correta pode nós auxiliar em vários aspectos. Mas é preciso saber o que se busca na internet e saber selecionar os conteúdos é de extrema importância.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</si>
  <si>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optimiza o tempo, poupa esforço, e tem resultados satisfatórios.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</si>
  <si>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auxilia o homem nas escolhas das decisões práticas do cotidiano enquanto ele se ocupa de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</si>
  <si>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 meio rápido e simplificado de solucionar problemas, poupando o tempo do usuario- que tem outras coisas com que se preocupar.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</si>
  <si>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está na humanidade há muito tempo e ela pode servir como auxilio para tomada de decisões, guiando o usuário para soluções inteligentes.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</si>
  <si>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GPS, são aplicativos que ajudam seus usuários, calculando rotas de acordo com a preferência do mesmo.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</si>
  <si>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ideia de que eles podem agilizar os processos humanos diarios enquanto nós podemso focar em problemas mais importantes diários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</si>
  <si>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articifial se porta, mais especificamente, como uma alternativa ao usuário e, não, como algo definitivo e impassível de interferências, ou que diminui a autonomia do sujeito: seria realmente uma ferramenta, com o propósito de auxiliar e permitir um aproveitamento maior do tempo empregado em certa atividade.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</si>
  <si>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oferece a resolução rápida de um “problema” que o ser humano poderia “perder” tempo tendo que resolver (por isso a continuação: “resolver OUTROS problemas”). Diferentemente dos outros algoritmos que a autora cita mais adiante no texto, o GPS sim seria um aplicativo inteligente, não apenas por otimizar tempo mas também por oferecer ao consumidor outras rotas considerando TAMBÉM as suas preferências, mas não somente elas (além de que o GPS seria uma rede integrada, considerando também o feedback e as experiências/preferências de outros usuários).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</si>
  <si>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utiliza o exemplo da ferramenta GPS para confirmar a ideia de que são opções viáveis e que podem beneficiar e auxiliar o ser humano.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</si>
  <si>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como calculadoras inteligente de rotas , considerando o ponto de partida  e destino , facilitando para o usuário.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</si>
  <si>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não acha ruim o uso de ferramentas como o GPS no dia a dia, muito pelo contrário. Se existe, que seja utilizado, ainda mais pela facilidade e utilidade que uma calculadora de rota customizavel pode ter. Isso tudo reforça e defende a ideia de que a tecnologia é uma extensão da nossa inteligencia que pode e deve nos ajudar a manter um caminho evolutivo constante. "de portas abertas ao futuro".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</si>
  <si>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Este está ali como forma de auxílio ao ser humano, não para substitui-lo.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</si>
  <si>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Defende a ideia de que é muito útil para optimização do tempo, pois as pessoas podem usar o tempo que gastariam escolhendo rotas, pensando em outros problemas do cotidiano.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</si>
  <si>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Ela defende que a inteligência é capaz de facilitar a vida das pessoas, pois como o GPS calcula rotas com mais facilidade e agilidade, a inteligência artificial pode nos ajudar a minimizar o tempo em ações do dia a dia.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</si>
  <si>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 tecnologia pode sim nos ajudar, GPS funcionam como calculadoras, que mostram a melhor rota a mais rápida, assim você pode focar em outros problemas, que não achar o melhor caminho.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</si>
  <si>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pode ser usada para ajudar os seres humanos na tomada de decisão de forma mais simples.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</si>
  <si>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Nesse caso a inteligência artificial auxilia o usário e otimiza seu tempo, fazendo com que ele tenha respostas das suas necessidades de rota enquanto utiliza seu pensamento para resolucionar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</si>
  <si>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ela não acha ruim a IA, desde que utilizada de uma maneira em que ajude o usuario a ter mais um leque de possibilidades em suas mãos e que não o limite.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</si>
  <si>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tecnologias úteis que se tornaram imprescindíveis, embora nem todas sejam, ainda mais relacionadas às redes sociais.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</si>
  <si>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Podemos usar a inteligência artificial para otimizar as tarefas, como utilizar o GPS para calcular a rota mais rápida ou a sem semáforo.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</si>
  <si>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ferramentas tecnológicas permeam as diversas esferas do nosso cotidiano, nos auxiliando nas atividades do dia a dia.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</si>
  <si>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as ferramentas tecnológicas estão presentes no mundo moderno para facilitar a vida do homem, auxiliar para que as pessoas possam pensar em outros assuntos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</si>
  <si>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 que oferecem soluções melhores e rápidas são úteis para as pessoas, sendo diferentes das burrices artificiais que induzem as pessoas a tomarem decisões.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</si>
  <si>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inteligência artificial que auxilia, mas que também é Passível de configuração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</si>
  <si>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auxilia de uma maneira positiva em muitos sentidos, escolhendo por exemplo, o caminho mais rápido até o seu destino, possibilitando assim que o ser humano foque em outros problemas já que o do trânsito estaria resolvido pelo GPS.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</si>
  <si>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tecnologias/inteligências são boas e não restringe as escolhas dos humanos.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</si>
  <si>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inteligências artificiais que otimizam o tempo no dia-a-dia.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</si>
  <si>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mesmos sao legítimos calculadores inteligentes de rotas.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</si>
  <si>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Eles analisam o ponto de saída e de chegada, considerando a preferência do usuário e rotas alternativas.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</si>
  <si>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Porque eles calculam a rota de partida e destino dos usuários, e otimizam o trajeto do motorista. Dessa maneira, eles podem focar em outros problemas dentro do seu deslocamento.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</si>
  <si>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automatização de algumas ferramentas pode facilitar o dia a dia de todos, a autora usou de exemplo o GPS que facilita nossa locomoção pelo mundo, montando rotas e facilitando nosso deslocamento como um guia.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</si>
  <si>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pode ser utilizada para facilitar a análise das opções possíveis e ajudar a tomarmos decisões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</si>
  <si>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 exemplo de aplicativo que surgiu com o avanço da tecnologia, e que pode ser eficaz em uma perspectiva de precisar de ajuda para calcular a rota de determinado trajeto. Tratando-se então, de um recurso tecnológico positivo para a sociedade humana.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</si>
  <si>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inteligências artificiais capezes de serem úteis para os seres humanos.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</si>
  <si>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otimiza o tempo das pessoas, fazendo com que elas se preocupem com outras coisas enquanto o GPS resolve problemas como tráfego, acidentes, semâforos e etc.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</si>
  <si>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NO TEXTO, A AUTORA USA O GPS COMO UM EXEMPLO PARA DEFENDER A IDEIA DE QUE ALGORITMOS QUE NOS AJUDEM SÃO ÚTEIS, QUE POSSAM FACILITAR SITUAÇÕES PARA NÓS, AJUDANDO A FOCAR EM OUTRAS PREOCUPAÇÕES OU ÁREAS DE MAIOR ATENÇÃO.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</si>
  <si>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inteligências artificiais estão disponíveis a nosso favor, ao calcular a rota a IA, economiza o tempo do motorista que pode ser voltado a outras preocupações, como suas malas, a revisão do carro e outros, que apenas o ser humano pode fazer.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</si>
  <si>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Eles são capazes de explorar possivilades e maximizá-las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</si>
  <si>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utilizando o gps como um meio de localização, ele vai facilitar a vida da pessoa, podendo fazer outras coisas.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</si>
  <si>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em sua totalidade, se usada de forma proveitosa, serve para maximizar as possibilidades que o leitor ou usuário tem em relação ao seu objetivo, funciona como meio de reduzir o tempo empregado em uma tarefa ao mesmo tempo em que maximiza seu resultado.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</si>
  <si>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inteligências artificiais são um mecanismo de auxílio para as pessoas, uma vez que facilita certos racicínios humanos, porém, são uma forma de ferramenta que nos ajude, não substitua. Ao facilitar uma tarefa, a pessoa possui espaço para cuidar e analisar outras questões mais relevantes que não possam ser supridas por uma 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</si>
  <si>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um RECURSO pra otimizar tempo. O GPS foi um ótimo e claro exemplo disso pois como dito no texto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</si>
  <si>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 inteligencia artificial pode, e já existe, como um meio de suporte e de auxílio para nós se usada de forma correta, e não como algo que nos torne leigos ou iguinorantes, como ela citou, em se locomover de automóvel.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</si>
  <si>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se trata de uma ferramenta de cálculo de rotas, um instrumento de análise de possibilidades de trajétos que oferece opções de escolha para o usuário. Assim, teoricamente, se estabelece a ideia de que inteligência artificial, no conceito proposto pela autora, estaria alinhado ao cálculo de possibilidades e oferecimento de opções para os usuários.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</si>
  <si>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é um exemplos de ferramenta de inteligência artificial que já existe a muito tempo, ferramenta essa que contribui muito para os usuários .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</si>
  <si>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útil, uma vez que agiliza a resolução de um problema.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</si>
  <si>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de rota considerando ponto de partida e chegada.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</si>
  <si>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se utilizada de uma boa maneira otimiza o tempo no dia a dia, o GPS é um bom exemplo dessa tecnologia, pois é eficiente,  facilita a localização de quem o utiliza, entre outros...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</si>
  <si>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ajuda no processo de tomadas de decisões, enquanto usa seus próprios neurônios em resolução de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</si>
  <si>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 que nos fornecem ajuda ou automaticamente ofereçam a melhor opção são muito úteis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</si>
  <si>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Certos algoritmos nos ajudam, no deslocamento, com menos transtornos nas viagens.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</si>
  <si>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ajuda na maximização e otimização do tempo. Isso nos ajuda a pensar em outras enquanto o algoritmo traça nossa rota de acordo com nossa preferencia.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</si>
  <si>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Ao utilizar o GPS os usuários otimizam seu tempo para resolver outros problemas, já que a inteligência artificial estará minimizando "os neurônios" do indivíduo, ou seja, aquela pessoa não precisará de sua atenção total ao exercer a função na qual essa IA já está desempenhando.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</si>
  <si>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Inteligências artificiais podem ser muito úteis.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</si>
  <si>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é uma excelente calculadora que pode te auxiliar pensando em rotas mais rápidas, sem trânsito, semáforo enquanto você pode resolver outra tarefa.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</si>
  <si>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calcula as melhores rotas, com base em nossas preferências pré selecionadas, enquanto colocamos nossos esforços em outras atividades.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</si>
  <si>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inteligenca artificial pode nos auxiliar em diveros aspectos.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</si>
  <si>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é muito importante para o cotidiano, mas não deve ser vislumbrada pela ideia de contaminação do algoritmo.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</si>
  <si>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aplicativos que fazem uso de Inteligência Artificial de maneira proveitosa.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</si>
  <si>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já está entre nós a bastante tempo, nao foi algo que chegou derrepente.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</si>
  <si>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Defende que a ideia a inteligência nos permite identificar e optar pelos caminhos que mantêm mais portas abertas para o futuro, ou seja, esses algorítimos nos ajudam  e são muito uteis, assim você pode gastar seus neurônios para gastar com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</si>
  <si>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inteligentes calculadores de rotas.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</si>
  <si>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faz o trabalho humano de traçar rotas, desviar semáforos e o trânsito. Enquanto isso, as pessoas deixam de gastar neurônios com isso podendo pensar em outras coisas.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</si>
  <si>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ser benéfica. Pois o GPS utiliza esta tecnologia para criar algorítmos que irão otimizar a sua rota e melhorar sua experiência de acordo com sua preferência. Seria um exemplo de Inteligência Artificial utilizada a seu favor, para otimizar seu tempo, ao invés de te distrair e diminuir sua capacidade de raciocínio próprio.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</si>
  <si>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flexível de forma positiva. Auxilia o ser humano otimizando seu tempo. A autora exemplifica que enquanto o GPS programa a melhor rota, o indivíduo pode usufruir deste tempo para resolver outras questões. Ou seja, a praticidade que a inteligência artificial oferece facilita no cotidiano do ser humano.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</si>
  <si>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 inteligência é a flexibilidade cognitiva que nos permite identificar e optar por caminhos mais amplos. Que o GPS é uma dessa inteligências, nos auxilia.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</si>
  <si>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inteligentes, e está presente na sociedade como inteligência artificial.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</si>
  <si>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praticidade de ferramentas que utilizam inteligência artificial é bem-vinda e auxilia que as pessoas possam direcionar seus esforços para outras atividades.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</si>
  <si>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calculadores inteligentes que ajudam no cálculo de rota e destino.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</si>
  <si>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ferramentas dotadas de inteligência artificial podem ser úteis, contando que auxiliem nos diversos aspectos da nossa vida e as atividades que já realizamos sejam facilitadas. O GPS é um ótimo exemplo de como esses instrumentos podem ser utilizados para tornar nossa rotina mais agradável e voltada para nossos interesses, sem limitar nossas decisões.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</si>
  <si>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expressão  "inteligência artificial", além de não ser algo "do futuro", tem a função de auxiliar na resolução de problemáticas cotidianas do ser humano, sem, no entanto, substituí-lo.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</si>
  <si>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uso da ferramenta recalcula a rota e redirecional para o caminho inicial evitando que o motorista tente fazer por ele mesmo.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</si>
  <si>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faz parte do nosso dia a dia há algum tempo e que a partir da ajuda que algoritmos como esse proporcionam temos tempo e neurônios para serem aplicados em outras coisas.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</si>
  <si>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No texto, a autora usa o GPS como um exemplo para defender a ideia de que as inteligências artificiais existem para auxiliar os seres humanos nos mais diversos tipos detarefas.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</si>
  <si>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equipamento resolve a questão de deslocamento, enquanto o indivíduo pode direcionar o raciocínio para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</si>
  <si>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ferramenta que facilita os nossos trajetos, assim possibilita podermos raciocinar em outras coisas ao invés de ficar pensando, com a nossa própria cabeça, na melhor possibilidade que podemos tomar, ela faz isso por nós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</si>
  <si>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algoritmos, ou a inteligência artificial, já são ferramentas utilizadas pela humanidade, que ajudam e permitem que a gente use o tempo para resolver outros problemas, enquanto o GPS calcula as rotas.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</si>
  <si>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faz parte do cotidiano das pessoas e é eficiente e útil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</si>
  <si>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defende a ideia de que o GPS é um calculador inteligente de rotas, onde nos auxilia no caminho, desde a sua partida ate o destino final, facilitando os  menores percursos e trechos mais acessíveis para seu usuário.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</si>
  <si>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e consequentemente a Inteligência Artificial podem simplificar ou até mesmo, solucionar questões do cotidiano que demandariam muito esforço e tempo.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</si>
  <si>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 ele auxilia os humanos para leva-los a lugares, tornando mais simples para eles a locomoção.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</si>
  <si>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defende a ideia de que o gps (inteligencia artificial), ajudam as pessoas e não as dificulta.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</si>
  <si>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Nem tudo o que produzido pela inteligência artificial, é algo negativo, temos o exemplo do GPS que é um programa que auxilia na localização.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</si>
  <si>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ferramentas de inteligência artificial podem ser muito úteis quando são algoritmos que nos ajudam no processo de identificar as melhores possibilidades.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</si>
  <si>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foi um exemplo usado para explicar como as tecnologias podem nos ajudar, melhorando a praticidade em coisas que já conhecemos ou coisas que ainda somos leigos, e também para nos dizer o quanto podemos aproveitar, das novas tecnologias no nosso dia a dia, poupando tempo e aperfeiçoando ainda mais nosso conhecimento.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</si>
  <si>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Enquanto o GPS resolve um problema, encontrar rotas, você tem tempo para pensar em outros assuntos e resolvê-los.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</si>
  <si>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enquanto você se preocupa com outras situações ou "usa seus próprios neurônios para resolver outros problemas", um simples navegador pode resolver outra situação problemática que está acontecendo no mesmo momento, abrangendo outras oportunidades de soluções. Isso pode demonstrar que não precisamos pensar em ou tentar resolver nossos conflitos, apresentando a ideia de que a inteligência artificial pode estar limitando nossos próprios limites.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</si>
  <si>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algoritimos são ferramentas que auxiliam no dia a dia e tornam a vida do usuário mais fácil.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</si>
  <si>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inteligências artificiais podem ajudar no dia a dia, no caso o GPS, pode ajudar formular rotas ajudando a pessoa se deslocar de um lugar para outro mais rápido.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</si>
  <si>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IAs são presentes na sociedade a décadas, terceirizando tarefas simples para que o usúario possa se concentrar em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</si>
  <si>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,relacionando-o com a IA, devemos agir como a tecnologia do exemplo: considerar as possibilidades para maximizar o resultado.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</si>
  <si>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Algoritmos,IA devem ser utilizados como ferramenta de auxílio para nós seres humanos a resolver questões complexas, cálculos e outras funções que nosso cerébro não consegue produzir,compreender ou criar uma nova idéia. Porém o uso da IA fora do que ela foi proposta, acarreta na chamada ''burrice artificial'' devido ao uso excessivo para ''quebrar um galho'' ou para finalizar algo que deve ser entregue em uma data que está perto, o resultado é que a pessoa que utiliza o ChatGPT nesse quesito por vezes nem lê o que a ferramenta escreveu.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</si>
  <si>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 inteligência artificial abre porta para o ser humano e que deixe os neurônios com um problema a menos para poder focar em outras questões.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</si>
  <si>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apesar de utilizar uma ferramenta que nos oferta uma resposta pronta, ainda sim, precisamos unir esta resposta aos "nossos próprios neurônios", conforme cita a autora.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</si>
  <si>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Ferramentas de IA podem ajudar o usuário com tarefas minúsculas e repetitivas para que possa se concentrar em coisas mais importantes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</si>
  <si>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tarefas podem ser otimizadas pela Inteligência Artificial enquanto os neurônios dos seus usuários podem-se engajar em outras atividades.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</si>
  <si>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não é algo que surgiu agora, mas que sempre esteve presente no nosso meio.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</si>
  <si>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usuário ocupar seus neurônios para outras atividades, enquanto o GPS se preocupa em cálcular a rota, evitar semáforos.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</si>
  <si>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Devemos utilizar tecnologia para auxiliar no desenvolvimento, não para o substituir.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</si>
  <si>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pessoas podem utilizar os recursos tecnológicos, como os algoritmos, como forma de facilitação da vida do ser humano.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</si>
  <si>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é presente no dia a dia, e pode ajudar a resolver coisas simples, que normalmente demandam muito mais tempo quando o ser humano precisa fazer.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</si>
  <si>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Calculadores inteligentes de rotas (GPS) nos ajudam a fazer mais de uma coisa em um momento só, maximizam nosso tempo para realizarmos mais coisas em menos tempo, atendendo as nossas prioridades e preferências.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</si>
  <si>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certos tipos de tecnologia que estão presentes em nossas vidas podem nos ajudar muito, quando bem utilizadas.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</si>
  <si>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Assim como o GPS usa seu sitema para calcular as melhores rotas para que o usuário chegue ao seu destido,de forma eficiente. A autora defende o fato de que a Inteligência Artificial também consegue facilitar a vida de seu usuário, utilizando seus algorítimos e dados internos para esse fim.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</si>
  <si>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nos ajuda e muito calculando o ponto de partida, de destino, a melhor e mais curta rota, ou seja, ele faz todo o trabalho por nós, otimizando o nosso tempo para que possamos usá-lo em outras prioridades.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</si>
  <si>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do GPS facilita ao usuario uma otimização de tempo e maior satisfação, já que este não mais precisa utilizar de um mapa manual para encontrar seu local de destino.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</si>
  <si>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de rotas e retornam a escolha optimizada enquanto você usa seus próprios neurônios para resolver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</si>
  <si>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nos abre o leque de opções, mas nós tomamos a decisão final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</si>
  <si>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ferramentas de IA são favoráveis ao usuário porque o ajudam a resolver problemas e achar soluções, porque ao invés de limitar sua capacidade cognitiva, ele o auxilia para que sua cabeça se mantenha livre para resolucionar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</si>
  <si>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ser uma excelente aliada nas decisões, facilitando e simplificando processos que tomariam tempo e esforço mental se feito analógicamente, tendo a máquina em função do humano, ao invés de limitar as possibilidades de caminhos - ou seja, o humano em função da máquina.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</si>
  <si>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tem muito utilidade e tem nos ajudado muito no dia a dia.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</si>
  <si>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deve ser usada para auxiliar as pessoas e não deixar as pessoas burras sem deixar com que elas explorem os horizontes e vão além de seus limites.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</si>
  <si>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assim como o GPS podemos utilizar nossos neurônios para nos lembrar de rotas ou até mesmo de outras situações que acabam nos fugindo da memoria, assim como o GPS podemos sempre de alguma forma reforçar os pensamentos.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</si>
  <si>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Não podemos ficar dependentes somente das tecnologias artificiais esperando respostas prontas sem usar a nossa própia capacidade .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</si>
  <si>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Não só a inteligência artificial é algo que pode ser utilizado de forma inteligente e eficaz, que realmente pode facilitar a nossa vida, como também a importância de seu aprimoramento para que esta tecnologia continue a ser utilizada de forma inteligente.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</si>
  <si>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age rapidamente na escolha que melhor se adapta ao usuário, tomando menos tempo em trâmsito.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</si>
  <si>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auxiliar no processo de tomada de decisão do ser humano, apresentando alternativas que podem ser usadas para facilitar a escolha de alguma coisa. No caso do GPS, seria um exemplo de inteligência artificial bem sucedida pois apresenta rotas alternativas à quem busca informações de localização.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</si>
  <si>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legitimos calculadores inteligente  de rotas.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</si>
  <si>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usam algoritimos que trazem flexibilidade cognitiva a quem o usa, pois torna a rota mais fácil, considerando as preferências e necessidades do motorista.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</si>
  <si>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aliada a mente humana funciona.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</si>
  <si>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Planilha Experimento 3</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</si>
  <si>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Esse recurso deve auxiliar a pessoa que o está usando, enquanto este pode focar em outras coisas além de planejar rota.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</si>
  <si>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é uma ferramenta utilizada para facilitar o dia a dia, nós repassamos a origem e o destino e os algoritmo calcula a rota mais fácil, para que não tenhamos que ficar pensando um problemas como semáforos, buracos, trânsito.. e com o algoritmo fazendo esse trabalho por nós, não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</si>
  <si>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calculadores inteligentes de rotas, pois consideram o que é mais facil para o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</si>
  <si>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já está aqui por um bom tempo e serve para ajudar o ser humano (mas não escolher por ele)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</si>
  <si>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Utilizar técnicas que nos ajudam, pode ser um ponto positivo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</si>
  <si>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os algorítimos contribuem de forma positiva para as rotas de transito.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</si>
  <si>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é uma ferramenta que, por meio do auxilio com a escolha do melhor trajeto, facilita nossa vida e nos poupa tempo, ao contrário de outros algoritmos que atrasam nossas vidas e não contribuem para uma produção efetiva.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</si>
  <si>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Autora usa o gps como exemplo para dizer que a tecnologia é uma ferramenta extremamente importante que se usada de maneira correta pode nós auxiliar em vários aspectos. Mas é preciso saber o que se busca na internet e saber selecionar os conteúdos é de extrema importância.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</si>
  <si>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optimiza o tempo, poupa esforço, e tem resultados satisfatórios.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</si>
  <si>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auxilia o homem nas escolhas das decisões práticas do cotidiano enquanto ele se ocupa de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</si>
  <si>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é um meio rápido e simplificado de solucionar problemas, poupando o tempo do usuario- que tem outras coisas com que se preocupar.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</si>
  <si>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já está na humanidade há muito tempo e ela pode servir como auxilio para tomada de decisões, guiando o usuário para soluções inteligentes.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</si>
  <si>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Os GPS, são aplicativos que ajudam seus usuários, calculando rotas de acordo com a preferência do mesmo.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</si>
  <si>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ideia de que eles podem agilizar os processos humanos diarios enquanto nós podemso focar em problemas mais importantes diários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</si>
  <si>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articifial se porta, mais especificamente, como uma alternativa ao usuário e, não, como algo definitivo e impassível de interferências, ou que diminui a autonomia do sujeito: seria realmente uma ferramenta, com o propósito de auxiliar e permitir um aproveitamento maior do tempo empregado em certa atividade.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</si>
  <si>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oferece a resolução rápida de um “problema” que o ser humano poderia “perder” tempo tendo que resolver (por isso a continuação: “resolver OUTROS problemas”). Diferentemente dos outros algoritmos que a autora cita mais adiante no texto, o GPS sim seria um aplicativo inteligente, não apenas por otimizar tempo mas também por oferecer ao consumidor outras rotas considerando TAMBÉM as suas preferências, mas não somente elas (além de que o GPS seria uma rede integrada, considerando também o feedback e as experiências/preferências de outros usuários).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</si>
  <si>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autora utiliza o exemplo da ferramenta GPS para confirmar a ideia de que são opções viáveis e que podem beneficiar e auxiliar 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</si>
  <si>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como calculadoras inteligente de rotas , considerando o ponto de partida  e destino , facilitando para o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</si>
  <si>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Que não acha ruim o uso de ferramentas como o GPS no dia a dia, muito pelo contrário. Se existe, que seja utilizado, ainda mais pela facilidade e utilidade que uma calculadora de rota customizavel pode ter. Isso tudo reforça e defende a ideia de que a tecnologia é uma extensão da nossa inteligencia que pode e deve nos ajudar a manter um caminho evolutivo constante. "de portas abertas ao futuro".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</si>
  <si>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Este está ali como forma de auxílio ao ser humano, não para substitui-lo.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</si>
  <si>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Defende a ideia de que é muito útil para optimização do tempo, pois as pessoas podem usar o tempo que gastariam escolhendo rotas, pensando em outros problemas do cotidiano.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</si>
  <si>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Ela defende que a inteligência é capaz de facilitar a vida das pessoas, pois como o GPS calcula rotas com mais facilidade e agilidade, a inteligência artificial pode nos ajudar a minimizar o tempo em ações do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</si>
  <si>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 que a tecnologia pode sim nos ajudar, GPS funcionam como calculadoras, que mostram a melhor rota a mais rápida, assim você pode focar em outros problemas, que não achar o melhor caminho.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</si>
  <si>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inteligencia artificial pode ser usada para ajudar os seres humanos na tomada de decisão de forma mais simples.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</si>
  <si>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Nesse caso a inteligência artificial auxilia o usário e otimiza seu tempo, fazendo com que ele tenha respostas das suas necessidades de rota enquanto utiliza seu pensamento para resolucionar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</si>
  <si>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 que ela não acha ruim a IA, desde que utilizada de uma maneira em que ajude o usuario a ter mais um leque de possibilidades em suas mãos e que não o limite.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</si>
  <si>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Existem tecnologias úteis que se tornaram imprescindíveis, embora nem todas sejam, ainda mais relacionadas às redes sociais.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</si>
  <si>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Podemos usar a inteligência artificial para otimizar as tarefas, como utilizar o GPS para calcular a rota mais rápida ou a sem semáforo.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</si>
  <si>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As ferramentas tecnológicas permeam as diversas esferas do nosso cotidiano, nos auxiliando nas atividades do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</si>
  <si>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Que as ferramentas tecnológicas estão presentes no mundo moderno para facilitar a vida do homem, auxiliar para que as pessoas possam pensar em outros assuntos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</si>
  <si>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Algoritmos que oferecem soluções melhores e rápidas são úteis para as pessoas, sendo diferentes das burrices artificiais que induzem as pessoas a tomarem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</si>
  <si>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é uma inteligência artificial que auxilia, mas que também é Passível de configuração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</si>
  <si>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auxilia de uma maneira positiva em muitos sentidos, escolhendo por exemplo, o caminho mais rápido até o seu destino, possibilitando assim que o ser humano foque em outros problemas já que o do trânsito estaria resolvido pelo GPS.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</si>
  <si>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tecnologias/inteligências são boas e não restringe as escolhas dos humanos.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</si>
  <si>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existem inteligências artificiais que otimizam o tempo no dia-a-dia.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</si>
  <si>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os mesmos sao legítimos calculadores inteligentes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</si>
  <si>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Eles analisam o ponto de saída e de chegada, considerando a preferência do usuário e rotas alternativas.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</si>
  <si>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Porque eles calculam a rota de partida e destino dos usuários, e otimizam o trajeto do motorista. Dessa maneira, eles podem focar em outros problemas dentro do seu deslocamento.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</si>
  <si>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automatização de algumas ferramentas pode facilitar o dia a dia de todos, a autora usou de exemplo o GPS que facilita nossa locomoção pelo mundo, montando rotas e facilitando nosso deslocamento como um guia.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</si>
  <si>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inteligencia artificial pode ser utilizada para facilitar a análise das opções possíveis e ajudar a tomarmos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</si>
  <si>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é um exemplo de aplicativo que surgiu com o avanço da tecnologia, e que pode ser eficaz em uma perspectiva de precisar de ajuda para calcular a rota de determinado trajeto. Tratando-se então, de um recurso tecnológico positivo para a sociedade humana.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</si>
  <si>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existem inteligências artificiais capezes de serem úteis para os seres humanos.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</si>
  <si>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otimiza o tempo das pessoas, fazendo com que elas se preocupem com outras coisas enquanto o GPS resolve problemas como tráfego, acidentes, semâforos e etc.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</si>
  <si>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NO TEXTO, A AUTORA USA O GPS COMO UM EXEMPLO PARA DEFENDER A IDEIA DE QUE ALGORITMOS QUE NOS AJUDEM SÃO ÚTEIS, QUE POSSAM FACILITAR SITUAÇÕES PARA NÓS, AJUDANDO A FOCAR EM OUTRAS PREOCUPAÇÕES OU ÁREAS DE MAIOR ATENÇÃO.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</si>
  <si>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inteligências artificiais estão disponíveis a nosso favor, ao calcular a rota a IA, economiza o tempo do motorista que pode ser voltado a outras preocupações, como suas malas, a revisão do carro e outros, que apenas o ser humano pode fazer.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</si>
  <si>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Eles são capazes de explorar possivilades e maximizá-las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</si>
  <si>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Que utilizando o gps como um meio de localização, ele vai facilitar a vida da pessoa, podendo fazer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</si>
  <si>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em sua totalidade, se usada de forma proveitosa, serve para maximizar as possibilidades que o leitor ou usuário tem em relação ao seu objetivo, funciona como meio de reduzir o tempo empregado em uma tarefa ao mesmo tempo em que maximiza seu resultado.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</si>
  <si>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As inteligências artificiais são um mecanismo de auxílio para as pessoas, uma vez que facilita certos racicínios humanos, porém, são uma forma de ferramenta que nos ajude, não substitua. Ao facilitar uma tarefa, a pessoa possui espaço para cuidar e analisar outras questões mais relevantes que não possam ser supridas por uma 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</si>
  <si>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é um RECURSO pra otimizar tempo. O GPS foi um ótimo e claro exemplo disso pois como dito no texto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</si>
  <si>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Que a inteligencia artificial pode, e já existe, como um meio de suporte e de auxílio para nós se usada de forma correta, e não como algo que nos torne leigos ou iguinorantes, como ela citou, em se locomover de automóvel.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</si>
  <si>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se trata de uma ferramenta de cálculo de rotas, um instrumento de análise de possibilidades de trajétos que oferece opções de escolha para o usuário. Assim, teoricamente, se estabelece a ideia de que inteligência artificial, no conceito proposto pela autora, estaria alinhado ao cálculo de possibilidades e oferecimento de opções para os usuários.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</si>
  <si>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é um exemplos de ferramenta de inteligência artificial que já existe a muito tempo, ferramenta essa que contribui muito para os usuários .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</si>
  <si>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é útil, uma vez que agiliza a resolução de um problema.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</si>
  <si>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legítimos calculadores de rota considerando ponto de partida e chegada.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</si>
  <si>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se utilizada de uma boa maneira otimiza o tempo no dia a dia, o GPS é um bom exemplo dessa tecnologia, pois é eficiente,  facilita a localização de quem o utiliza, entre outros...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</si>
  <si>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inteligencia artificial ajuda no processo de tomadas de decisões, enquanto usa seus próprios neurônios em resolução de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</si>
  <si>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algoritmos que nos fornecem ajuda ou automaticamente ofereçam a melhor opção são muito úteis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</si>
  <si>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Certos algoritmos nos ajudam, no deslocamento, com menos transtornos nas viagens.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</si>
  <si>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ajuda na maximização e otimização do tempo. Isso nos ajuda a pensar em outras enquanto o algoritmo traça nossa rota de acordo com nossa preferencia.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</si>
  <si>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Ao utilizar o GPS os usuários otimizam seu tempo para resolver outros problemas, já que a inteligência artificial estará minimizando "os neurônios" do indivíduo, ou seja, aquela pessoa não precisará de sua atenção total ao exercer a função na qual essa IA já está desempenhando.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</si>
  <si>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Inteligências artificiais podem ser muito úteis.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</si>
  <si>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 é uma excelente calculadora que pode te auxiliar pensando em rotas mais rápidas, sem trânsito, semáforo enquanto você pode resolver outra tarefa.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</si>
  <si>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 calcula as melhores rotas, com base em nossas preferências pré selecionadas, enquanto colocamos nossos esforços em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</si>
  <si>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inteligenca artificial pode nos auxiliar em diveros aspectos.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</si>
  <si>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inteligencia artificial é muito importante para o cotidiano, mas não deve ser vislumbrada pela ideia de contaminação do algoritmo.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</si>
  <si>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existem aplicativos que fazem uso de Inteligência Artificial de maneira proveitosa.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</si>
  <si>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inteligencia artificial já está entre nós a bastante tempo, nao foi algo que chegou derrepente.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</si>
  <si>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Defende que a ideia a inteligência nos permite identificar e optar pelos caminhos que mantêm mais portas abertas para o futuro, ou seja, esses algorítimos nos ajudam  e são muito uteis, assim você pode gastar seus neurônios para gastar com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</si>
  <si>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inteligentes calculadores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</si>
  <si>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 faz o trabalho humano de traçar rotas, desviar semáforos e o trânsito. Enquanto isso, as pessoas deixam de gastar neurônios com isso podendo pensar em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</si>
  <si>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pode ser benéfica. Pois o GPS utiliza esta tecnologia para criar algorítmos que irão otimizar a sua rota e melhorar sua experiência de acordo com sua preferência. Seria um exemplo de Inteligência Artificial utilizada a seu favor, para otimizar seu tempo, ao invés de te distrair e diminuir sua capacidade de raciocínio próprio.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</si>
  <si>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é flexível de forma positiva. Auxilia o ser humano otimizando seu tempo. A autora exemplifica que enquanto o GPS programa a melhor rota, o indivíduo pode usufruir deste tempo para resolver outras questões. Ou seja, a praticidade que a inteligência artificial oferece facilita no cotidiano do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</si>
  <si>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Que a inteligência é a flexibilidade cognitiva que nos permite identificar e optar por caminhos mais amplos. Que o GPS é uma dessa inteligências, nos auxilia.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</si>
  <si>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legítimos calculadores inteligentes, e está presente na sociedade como inteligência artificial.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</si>
  <si>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praticidade de ferramentas que utilizam inteligência artificial é bem-vinda e auxilia que as pessoas possam direcionar seus esforços para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</si>
  <si>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calculadores inteligentes que ajudam no cálculo de rota e destino.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</si>
  <si>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ferramentas dotadas de inteligência artificial podem ser úteis, contando que auxiliem nos diversos aspectos da nossa vida e as atividades que já realizamos sejam facilitadas. O GPS é um ótimo exemplo de como esses instrumentos podem ser utilizados para tornar nossa rotina mais agradável e voltada para nossos interesses, sem limitar nossas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</si>
  <si>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expressão  "inteligência artificial", além de não ser algo "do futuro", tem a função de auxiliar na resolução de problemáticas cotidianas do ser humano, sem, no entanto, substituí-lo.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</si>
  <si>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uso da ferramenta recalcula a rota e redirecional para o caminho inicial evitando que o motorista tente fazer por ele mesmo.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</si>
  <si>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já faz parte do nosso dia a dia há algum tempo e que a partir da ajuda que algoritmos como esse proporcionam temos tempo e neurônios para serem aplicados em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</si>
  <si>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No texto, a autora usa o GPS como um exemplo para defender a ideia de que as inteligências artificiais existem para auxiliar os seres humanos nos mais diversos tipos detarefas.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</si>
  <si>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equipamento resolve a questão de deslocamento, enquanto o indivíduo pode direcionar o raciocínio para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</si>
  <si>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É uma ferramenta que facilita os nossos trajetos, assim possibilita podermos raciocinar em outras coisas ao invés de ficar pensando, com a nossa própria cabeça, na melhor possibilidade que podemos tomar, ela faz isso por nós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</si>
  <si>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Os algoritmos, ou a inteligência artificial, já são ferramentas utilizadas pela humanidade, que ajudam e permitem que a gente use o tempo para resolver outros problemas, enquanto o GPS calcula as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</si>
  <si>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já faz parte do cotidiano das pessoas e é eficiente e útil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</si>
  <si>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autora defende a ideia de que o GPS é um calculador inteligente de rotas, onde nos auxilia no caminho, desde a sua partida ate o destino final, facilitando os  menores percursos e trechos mais acessíveis para seu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</si>
  <si>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tecnologia e consequentemente a Inteligência Artificial podem simplificar ou até mesmo, solucionar questões do cotidiano que demandariam muito esforço e tempo.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</si>
  <si>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 ele auxilia os humanos para leva-los a lugares, tornando mais simples para eles a locomoção.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</si>
  <si>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autora defende a ideia de que o gps (inteligencia artificial), ajudam as pessoas e não as dificulta.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</si>
  <si>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Nem tudo o que produzido pela inteligência artificial, é algo negativo, temos o exemplo do GPS que é um programa que auxilia na localização.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</si>
  <si>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As ferramentas de inteligência artificial podem ser muito úteis quando são algoritmos que nos ajudam no processo de identificar as melhores possibilidades.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</si>
  <si>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foi um exemplo usado para explicar como as tecnologias podem nos ajudar, melhorando a praticidade em coisas que já conhecemos ou coisas que ainda somos leigos, e também para nos dizer o quanto podemos aproveitar, das novas tecnologias no nosso dia a dia, poupando tempo e aperfeiçoando ainda mais nosso conhecimento.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</si>
  <si>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Enquanto o GPS resolve um problema, encontrar rotas, você tem tempo para pensar em outros assuntos e resolvê-los.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</si>
  <si>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enquanto você se preocupa com outras situações ou "usa seus próprios neurônios para resolver outros problemas", um simples navegador pode resolver outra situação problemática que está acontecendo no mesmo momento, abrangendo outras oportunidades de soluções. Isso pode demonstrar que não precisamos pensar em ou tentar resolver nossos conflitos, apresentando a ideia de que a inteligência artificial pode estar limitando nossos próprios limites.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</si>
  <si>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os algoritimos são ferramentas que auxiliam no dia a dia e tornam a vida do usuário mais fácil.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</si>
  <si>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inteligências artificiais podem ajudar no dia a dia, no caso o GPS, pode ajudar formular rotas ajudando a pessoa se deslocar de um lugar para outro mais rápido.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</si>
  <si>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IAs são presentes na sociedade a décadas, terceirizando tarefas simples para que o usúario possa se concentrar em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</si>
  <si>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,relacionando-o com a IA, devemos agir como a tecnologia do exemplo: considerar as possibilidades para maximizar o resultado.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</si>
  <si>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Algoritmos,IA devem ser utilizados como ferramenta de auxílio para nós seres humanos a resolver questões complexas, cálculos e outras funções que nosso cerébro não consegue produzir,compreender ou criar uma nova idéia. Porém o uso da IA fora do que ela foi proposta, acarreta na chamada ''burrice artificial'' devido ao uso excessivo para ''quebrar um galho'' ou para finalizar algo que deve ser entregue em uma data que está perto, o resultado é que a pessoa que utiliza o ChatGPT nesse quesito por vezes nem lê o que a ferramenta escreveu.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</si>
  <si>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 que a inteligência artificial abre porta para o ser humano e que deixe os neurônios com um problema a menos para poder focar em outras questões.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</si>
  <si>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apesar de utilizar uma ferramenta que nos oferta uma resposta pronta, ainda sim, precisamos unir esta resposta aos "nossos próprios neurônios", conforme cita a autora.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</si>
  <si>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Ferramentas de IA podem ajudar o usuário com tarefas minúsculas e repetitivas para que possa se concentrar em coisas mais importantes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</si>
  <si>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tarefas podem ser otimizadas pela Inteligência Artificial enquanto os neurônios dos seus usuários podem-se engajar em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</si>
  <si>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não é algo que surgiu agora, mas que sempre esteve presente no nosso meio.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</si>
  <si>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usuário ocupar seus neurônios para outras atividades, enquanto o GPS se preocupa em cálcular a rota, evitar semáforos.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</si>
  <si>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Devemos utilizar tecnologia para auxiliar no desenvolvimento, não para o substituir.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</si>
  <si>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as pessoas podem utilizar os recursos tecnológicos, como os algoritmos, como forma de facilitação da vida do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</si>
  <si>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já é presente no dia a dia, e pode ajudar a resolver coisas simples, que normalmente demandam muito mais tempo quando o ser humano precisa fazer.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</si>
  <si>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Calculadores inteligentes de rotas (GPS) nos ajudam a fazer mais de uma coisa em um momento só, maximizam nosso tempo para realizarmos mais coisas em menos tempo, atendendo as nossas prioridades e preferências.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</si>
  <si>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 que certos tipos de tecnologia que estão presentes em nossas vidas podem nos ajudar muito, quando bem utilizadas.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</si>
  <si>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Assim como o GPS usa seu sitema para calcular as melhores rotas para que o usuário chegue ao seu destido,de forma eficiente. A autora defende o fato de que a Inteligência Artificial também consegue facilitar a vida de seu usuário, utilizando seus algorítimos e dados internos para esse fim.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</si>
  <si>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nos ajuda e muito calculando o ponto de partida, de destino, a melhor e mais curta rota, ou seja, ele faz todo o trabalho por nós, otimizando o nosso tempo para que possamos usá-lo em outras prioridades.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</si>
  <si>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tecnologia do GPS facilita ao usuario uma otimização de tempo e maior satisfação, já que este não mais precisa utilizar de um mapa manual para encontrar seu local de destino.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</si>
  <si>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legítimos calculadores de rotas e retornam a escolha optimizada enquanto você usa seus próprios neurônios para resolver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</si>
  <si>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tecnologia nos abre o leque de opções, mas nós tomamos a decisão final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</si>
  <si>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ferramentas de IA são favoráveis ao usuário porque o ajudam a resolver problemas e achar soluções, porque ao invés de limitar sua capacidade cognitiva, ele o auxilia para que sua cabeça se mantenha livre para resolucionar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</si>
  <si>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pode ser uma excelente aliada nas decisões, facilitando e simplificando processos que tomariam tempo e esforço mental se feito analógicamente, tendo a máquina em função do humano, ao invés de limitar as possibilidades de caminhos - ou seja, o humano em função da máquina.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</si>
  <si>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tem muito utilidade e tem nos ajudado muito no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</si>
  <si>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deve ser usada para auxiliar as pessoas e não deixar as pessoas burras sem deixar com que elas explorem os horizontes e vão além de seus limites.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</si>
  <si>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 que assim como o GPS podemos utilizar nossos neurônios para nos lembrar de rotas ou até mesmo de outras situações que acabam nos fugindo da memoria, assim como o GPS podemos sempre de alguma forma reforçar os pensamentos.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</si>
  <si>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Não podemos ficar dependentes somente das tecnologias artificiais esperando respostas prontas sem usar a nossa própia capacidade .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</si>
  <si>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Não só a inteligência artificial é algo que pode ser utilizado de forma inteligente e eficaz, que realmente pode facilitar a nossa vida, como também a importância de seu aprimoramento para que esta tecnologia continue a ser utilizada de forma inteligente.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</si>
  <si>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 age rapidamente na escolha que melhor se adapta ao usuário, tomando menos tempo em trâmsito.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</si>
  <si>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pode auxiliar no processo de tomada de decisão do ser humano, apresentando alternativas que podem ser usadas para facilitar a escolha de alguma coisa. No caso do GPS, seria um exemplo de inteligência artificial bem sucedida pois apresenta rotas alternativas à quem busca informações de localização.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</si>
  <si>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legitimos calculadores inteligente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</si>
  <si>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usam algoritimos que trazem flexibilidade cognitiva a quem o usa, pois torna a rota mais fácil, considerando as preferências e necessidades do motorista.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</si>
  <si>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tecnologia aliada a mente humana funciona.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</si>
  <si>
    <t>Contexto: Você está corrigindo uma atividade de interpretação textual de um curso de ensino superior.
Papel: Assuma o papel de um professor universitário avaliando objetivamente a resposta de um estudante.
O enunciado da questão está entre os marcadores ###:
###
&lt;ENUNCIADO_QUESTAO&gt;
###
A resposta do aluno está entre os marcadores ##:
##
&lt;RESPOSTA_ALUNO&gt;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</si>
</sst>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1"/>
      <color theme="1"/>
      <name val="Aptos narrow"/>
      <scheme val="minor"/>
    </font>
    <font>
      <b/>
      <sz val="11"/>
      <color theme="1"/>
      <name val="Arial"/>
    </font>
    <font>
      <sz val="11"/>
      <color theme="1"/>
      <name val="Arial"/>
    </font>
    <font>
      <sz val="11"/>
      <color theme="1"/>
      <name val="Arial"/>
    </font>
    <font>
      <sz val="11"/>
      <color theme="1"/>
      <name val="Aptos narrow"/>
    </font>
    <font>
      <sz val="11"/>
      <color theme="1"/>
      <name val="Aptos narrow"/>
    </font>
    <font>
      <sz val="11"/>
      <color theme="1"/>
      <name val="Aptos narrow"/>
      <scheme val="minor"/>
    </font>
    <font>
      <strike/>
      <sz val="11"/>
      <color theme="1"/>
      <name val="Aptos narrow"/>
    </font>
    <font>
      <strike/>
      <sz val="11"/>
      <color theme="1"/>
      <name val="Arial"/>
    </font>
    <font>
      <strike/>
      <sz val="11"/>
      <color theme="1"/>
      <name val="Aptos narrow"/>
    </font>
    <font>
      <strike/>
      <sz val="11"/>
      <color theme="1"/>
      <name val="Aptos narrow"/>
      <scheme val="minor"/>
    </font>
    <font>
      <sz val="11"/>
      <color rgb="FF000000"/>
      <name val="Arial"/>
    </font>
    <font>
      <sz val="11"/>
      <color rgb="FF000000"/>
      <name val="&quot;Times New Roman&quot;"/>
    </font>
    <font>
      <b/>
      <sz val="11"/>
      <color rgb="FF000000"/>
      <name val="&quot;Times New Roman&quot;"/>
    </font>
    <font>
      <b/>
      <sz val="11"/>
      <color theme="1"/>
      <name val="&quot;Times New Roman&quot;"/>
    </font>
    <font>
      <sz val="11"/>
      <color theme="1"/>
      <name val="&quot;Times New Roman&quot;"/>
    </font>
    <font>
      <b/>
      <sz val="11"/>
      <color theme="1"/>
      <name val="Aptos narrow"/>
    </font>
    <font>
      <b/>
      <sz val="14"/>
      <color rgb="FF0000FF"/>
      <name val="Arial"/>
    </font>
    <font>
      <b/>
      <sz val="11"/>
      <color rgb="FF0000FF"/>
      <name val="Arial"/>
    </font>
    <font>
      <u/>
      <sz val="11"/>
      <color rgb="FF1155CC"/>
      <name val="Arial"/>
    </font>
    <font>
      <u/>
      <sz val="11"/>
      <color rgb="FF1155CC"/>
      <name val="Arial"/>
    </font>
    <font>
      <u/>
      <sz val="11"/>
      <color rgb="FF0000FF"/>
      <name val="Arial"/>
    </font>
    <font>
      <b/>
      <sz val="11"/>
      <color theme="1"/>
      <name val="Arial"/>
    </font>
    <font>
      <sz val="11"/>
      <color rgb="FF000000"/>
      <name val="Arial"/>
    </font>
    <font>
      <u/>
      <sz val="11"/>
      <color rgb="FF467886"/>
      <name val="Arial"/>
    </font>
    <font>
      <u/>
      <sz val="11"/>
      <color rgb="FF467886"/>
      <name val="Arial"/>
    </font>
    <font>
      <i/>
      <sz val="11"/>
      <color theme="1"/>
      <name val="Arial"/>
    </font>
    <font>
      <i/>
      <strike/>
      <sz val="11"/>
      <color theme="1"/>
      <name val="Arial"/>
    </font>
  </fonts>
  <fills count="12">
    <fill>
      <patternFill patternType="none"/>
    </fill>
    <fill>
      <patternFill patternType="gray125"/>
    </fill>
    <fill>
      <patternFill patternType="solid">
        <fgColor rgb="FF83CAEB"/>
        <bgColor rgb="FF83CAEB"/>
      </patternFill>
    </fill>
    <fill>
      <patternFill patternType="solid">
        <fgColor rgb="FFD9F2D0"/>
        <bgColor rgb="FFD9F2D0"/>
      </patternFill>
    </fill>
    <fill>
      <patternFill patternType="solid">
        <fgColor rgb="FFFFFF00"/>
        <bgColor rgb="FFFFFF00"/>
      </patternFill>
    </fill>
    <fill>
      <patternFill patternType="solid">
        <fgColor rgb="FFA8D08D"/>
        <bgColor rgb="FFA8D08D"/>
      </patternFill>
    </fill>
    <fill>
      <patternFill patternType="solid">
        <fgColor rgb="FF9CC2E5"/>
        <bgColor rgb="FF9CC2E5"/>
      </patternFill>
    </fill>
    <fill>
      <patternFill patternType="solid">
        <fgColor rgb="FFFFFFFF"/>
        <bgColor rgb="FFFFFFFF"/>
      </patternFill>
    </fill>
    <fill>
      <patternFill patternType="solid">
        <fgColor rgb="FF00FF00"/>
        <bgColor rgb="FF00FF00"/>
      </patternFill>
    </fill>
    <fill>
      <patternFill patternType="solid">
        <fgColor rgb="FF0000FF"/>
        <bgColor rgb="FF0000FF"/>
      </patternFill>
    </fill>
    <fill>
      <patternFill patternType="solid">
        <fgColor rgb="FFFF9900"/>
        <bgColor rgb="FFFF9900"/>
      </patternFill>
    </fill>
    <fill>
      <patternFill patternType="solid">
        <fgColor theme="0"/>
        <bgColor theme="0"/>
      </patternFill>
    </fill>
  </fills>
  <borders count="15">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41">
    <xf numFmtId="0" fontId="0" fillId="0" borderId="0" xfId="0"/>
    <xf numFmtId="0" fontId="1" fillId="0" borderId="0" xfId="0" applyFont="1"/>
    <xf numFmtId="0" fontId="2" fillId="0" borderId="0" xfId="0" applyFont="1"/>
    <xf numFmtId="0" fontId="3" fillId="0" borderId="0" xfId="0" applyFont="1"/>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3" fillId="3" borderId="0" xfId="0" applyFont="1" applyFill="1"/>
    <xf numFmtId="0" fontId="4" fillId="3" borderId="0" xfId="0" applyFont="1" applyFill="1"/>
    <xf numFmtId="0" fontId="5" fillId="0" borderId="0" xfId="0" applyFont="1"/>
    <xf numFmtId="0" fontId="7" fillId="4" borderId="0" xfId="0" applyFont="1" applyFill="1"/>
    <xf numFmtId="0" fontId="8" fillId="4" borderId="0" xfId="0" applyFont="1" applyFill="1"/>
    <xf numFmtId="0" fontId="9" fillId="4" borderId="0" xfId="0" applyFont="1" applyFill="1"/>
    <xf numFmtId="0" fontId="10" fillId="4" borderId="0" xfId="0" applyFont="1" applyFill="1"/>
    <xf numFmtId="0" fontId="6" fillId="3" borderId="0" xfId="0" applyFont="1" applyFill="1"/>
    <xf numFmtId="0" fontId="11" fillId="3" borderId="0" xfId="0" applyFont="1" applyFill="1"/>
    <xf numFmtId="0" fontId="11" fillId="2" borderId="0" xfId="0" applyFont="1" applyFill="1"/>
    <xf numFmtId="0" fontId="6" fillId="0" borderId="0" xfId="0" applyFont="1"/>
    <xf numFmtId="0" fontId="4" fillId="0" borderId="0" xfId="0" applyFont="1"/>
    <xf numFmtId="0" fontId="6" fillId="0" borderId="0" xfId="0" applyFont="1" applyAlignment="1">
      <alignment wrapText="1"/>
    </xf>
    <xf numFmtId="0" fontId="12" fillId="5" borderId="0" xfId="0" applyFont="1" applyFill="1" applyAlignment="1">
      <alignment horizontal="center" wrapText="1"/>
    </xf>
    <xf numFmtId="0" fontId="12" fillId="6" borderId="0" xfId="0" applyFont="1" applyFill="1" applyAlignment="1">
      <alignment wrapText="1"/>
    </xf>
    <xf numFmtId="0" fontId="14" fillId="0" borderId="0" xfId="0" applyFont="1" applyAlignment="1">
      <alignment horizontal="center" wrapText="1"/>
    </xf>
    <xf numFmtId="0" fontId="15" fillId="0" borderId="0" xfId="0" applyFont="1" applyAlignment="1">
      <alignment wrapText="1"/>
    </xf>
    <xf numFmtId="0" fontId="16" fillId="0" borderId="0" xfId="0" applyFont="1" applyAlignment="1">
      <alignment wrapText="1"/>
    </xf>
    <xf numFmtId="0" fontId="2" fillId="0" borderId="0" xfId="0" applyFont="1" applyAlignment="1">
      <alignment wrapText="1"/>
    </xf>
    <xf numFmtId="0" fontId="14" fillId="0" borderId="0" xfId="0" applyFont="1" applyAlignment="1">
      <alignment horizontal="center" vertical="top" wrapText="1"/>
    </xf>
    <xf numFmtId="0" fontId="17" fillId="0" borderId="0" xfId="0" applyFo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18" fillId="0" borderId="0" xfId="0" applyFont="1"/>
    <xf numFmtId="0" fontId="2" fillId="0" borderId="5" xfId="0" applyFont="1" applyBorder="1"/>
    <xf numFmtId="0" fontId="1" fillId="0" borderId="1" xfId="0" applyFont="1" applyBorder="1"/>
    <xf numFmtId="0" fontId="19" fillId="0" borderId="0" xfId="0" applyFont="1"/>
    <xf numFmtId="0" fontId="20" fillId="0" borderId="5" xfId="0" applyFont="1" applyBorder="1"/>
    <xf numFmtId="0" fontId="21" fillId="0" borderId="5" xfId="0" applyFont="1" applyBorder="1"/>
    <xf numFmtId="0" fontId="22" fillId="0" borderId="0" xfId="0" applyFont="1"/>
    <xf numFmtId="0" fontId="1" fillId="0" borderId="0" xfId="0" applyFont="1" applyAlignment="1">
      <alignment vertical="top"/>
    </xf>
    <xf numFmtId="0" fontId="1" fillId="0" borderId="1" xfId="0" applyFont="1" applyBorder="1" applyAlignment="1">
      <alignment vertical="top"/>
    </xf>
    <xf numFmtId="0" fontId="1" fillId="0" borderId="5" xfId="0" applyFont="1" applyBorder="1"/>
    <xf numFmtId="0" fontId="3" fillId="2" borderId="0" xfId="0" applyFont="1" applyFill="1" applyAlignment="1">
      <alignment vertical="top"/>
    </xf>
    <xf numFmtId="0" fontId="4" fillId="7" borderId="0" xfId="0" applyFont="1" applyFill="1" applyAlignment="1">
      <alignment vertical="top"/>
    </xf>
    <xf numFmtId="10" fontId="2" fillId="0" borderId="0" xfId="0" applyNumberFormat="1" applyFont="1" applyAlignment="1">
      <alignment horizontal="right"/>
    </xf>
    <xf numFmtId="0" fontId="2" fillId="0" borderId="1" xfId="0" applyFont="1" applyBorder="1" applyAlignment="1">
      <alignment vertical="top"/>
    </xf>
    <xf numFmtId="0" fontId="2" fillId="0" borderId="0" xfId="0" applyFont="1" applyAlignment="1">
      <alignment vertical="top"/>
    </xf>
    <xf numFmtId="0" fontId="2" fillId="0" borderId="5" xfId="0" applyFont="1" applyBorder="1" applyAlignment="1">
      <alignment vertical="top"/>
    </xf>
    <xf numFmtId="0" fontId="3" fillId="0" borderId="0" xfId="0" applyFont="1" applyAlignment="1">
      <alignment vertical="top"/>
    </xf>
    <xf numFmtId="0" fontId="4" fillId="0" borderId="0" xfId="0" applyFont="1" applyAlignment="1">
      <alignment vertical="top"/>
    </xf>
    <xf numFmtId="0" fontId="3" fillId="3" borderId="0" xfId="0" applyFont="1" applyFill="1" applyAlignment="1">
      <alignment vertical="top"/>
    </xf>
    <xf numFmtId="0" fontId="22" fillId="7" borderId="6" xfId="0" applyFont="1" applyFill="1" applyBorder="1" applyAlignment="1">
      <alignment vertical="top"/>
    </xf>
    <xf numFmtId="0" fontId="4" fillId="7" borderId="7" xfId="0" applyFont="1" applyFill="1" applyBorder="1" applyAlignment="1">
      <alignment vertical="top"/>
    </xf>
    <xf numFmtId="0" fontId="22" fillId="7" borderId="7" xfId="0" applyFont="1" applyFill="1" applyBorder="1" applyAlignment="1">
      <alignment vertical="top"/>
    </xf>
    <xf numFmtId="0" fontId="22" fillId="7" borderId="7" xfId="0" applyFont="1" applyFill="1" applyBorder="1" applyAlignment="1">
      <alignment horizontal="left" vertical="top"/>
    </xf>
    <xf numFmtId="0" fontId="1" fillId="7" borderId="6" xfId="0" applyFont="1" applyFill="1" applyBorder="1"/>
    <xf numFmtId="0" fontId="2" fillId="0" borderId="8" xfId="0" applyFont="1" applyBorder="1"/>
    <xf numFmtId="0" fontId="1" fillId="0" borderId="7" xfId="0" applyFont="1" applyBorder="1" applyAlignment="1">
      <alignment vertical="top"/>
    </xf>
    <xf numFmtId="10" fontId="2" fillId="0" borderId="7" xfId="0" applyNumberFormat="1" applyFont="1" applyBorder="1" applyAlignment="1">
      <alignment vertical="top"/>
    </xf>
    <xf numFmtId="0" fontId="2" fillId="0" borderId="8" xfId="0" applyFont="1" applyBorder="1" applyAlignment="1">
      <alignment vertical="top"/>
    </xf>
    <xf numFmtId="0" fontId="1" fillId="0" borderId="6" xfId="0" applyFont="1" applyBorder="1" applyAlignment="1">
      <alignment vertical="top"/>
    </xf>
    <xf numFmtId="0" fontId="1" fillId="0" borderId="6" xfId="0" applyFont="1" applyBorder="1"/>
    <xf numFmtId="0" fontId="2" fillId="0" borderId="7" xfId="0" applyFont="1" applyBorder="1"/>
    <xf numFmtId="0" fontId="6" fillId="0" borderId="7" xfId="0" applyFont="1" applyBorder="1"/>
    <xf numFmtId="0" fontId="6" fillId="0" borderId="8" xfId="0" applyFont="1" applyBorder="1"/>
    <xf numFmtId="0" fontId="3" fillId="7" borderId="2" xfId="0" applyFont="1" applyFill="1" applyBorder="1" applyAlignment="1">
      <alignment vertical="top"/>
    </xf>
    <xf numFmtId="0" fontId="4" fillId="7" borderId="3" xfId="0" applyFont="1" applyFill="1" applyBorder="1" applyAlignment="1">
      <alignment vertical="top"/>
    </xf>
    <xf numFmtId="0" fontId="22" fillId="7" borderId="3" xfId="0" applyFont="1" applyFill="1" applyBorder="1" applyAlignment="1">
      <alignment horizontal="right" vertical="top"/>
    </xf>
    <xf numFmtId="0" fontId="2" fillId="7" borderId="2" xfId="0" applyFont="1" applyFill="1" applyBorder="1"/>
    <xf numFmtId="0" fontId="6" fillId="0" borderId="3" xfId="0" applyFont="1" applyBorder="1"/>
    <xf numFmtId="0" fontId="6" fillId="0" borderId="4" xfId="0" applyFont="1" applyBorder="1"/>
    <xf numFmtId="0" fontId="3" fillId="7" borderId="1" xfId="0" applyFont="1" applyFill="1" applyBorder="1" applyAlignment="1">
      <alignment vertical="top"/>
    </xf>
    <xf numFmtId="0" fontId="22" fillId="7" borderId="0" xfId="0" applyFont="1" applyFill="1" applyAlignment="1">
      <alignment horizontal="right" vertical="top"/>
    </xf>
    <xf numFmtId="2" fontId="2" fillId="7" borderId="1" xfId="0" applyNumberFormat="1" applyFont="1" applyFill="1" applyBorder="1"/>
    <xf numFmtId="2" fontId="2" fillId="0" borderId="1" xfId="0" applyNumberFormat="1" applyFont="1" applyBorder="1"/>
    <xf numFmtId="2" fontId="2" fillId="0" borderId="5" xfId="0" applyNumberFormat="1" applyFont="1" applyBorder="1"/>
    <xf numFmtId="2" fontId="2" fillId="0" borderId="0" xfId="0" applyNumberFormat="1" applyFont="1"/>
    <xf numFmtId="2" fontId="2" fillId="0" borderId="2" xfId="0" applyNumberFormat="1" applyFont="1" applyBorder="1"/>
    <xf numFmtId="2" fontId="2" fillId="0" borderId="4" xfId="0" applyNumberFormat="1" applyFont="1" applyBorder="1"/>
    <xf numFmtId="0" fontId="6" fillId="0" borderId="5" xfId="0" applyFont="1" applyBorder="1"/>
    <xf numFmtId="2" fontId="1" fillId="0" borderId="9" xfId="0" applyNumberFormat="1" applyFont="1" applyBorder="1"/>
    <xf numFmtId="2" fontId="1" fillId="0" borderId="10" xfId="0" applyNumberFormat="1" applyFont="1" applyBorder="1"/>
    <xf numFmtId="2" fontId="2" fillId="7" borderId="9" xfId="0" applyNumberFormat="1" applyFont="1" applyFill="1" applyBorder="1"/>
    <xf numFmtId="2" fontId="2" fillId="0" borderId="9" xfId="0" applyNumberFormat="1" applyFont="1" applyBorder="1"/>
    <xf numFmtId="2" fontId="2" fillId="0" borderId="10" xfId="0" applyNumberFormat="1" applyFont="1" applyBorder="1"/>
    <xf numFmtId="2" fontId="2" fillId="0" borderId="11" xfId="0" applyNumberFormat="1" applyFont="1" applyBorder="1"/>
    <xf numFmtId="0" fontId="22" fillId="7" borderId="12" xfId="0" applyFont="1" applyFill="1" applyBorder="1" applyAlignment="1">
      <alignment vertical="top"/>
    </xf>
    <xf numFmtId="0" fontId="1" fillId="7" borderId="2" xfId="0" applyFont="1" applyFill="1" applyBorder="1"/>
    <xf numFmtId="0" fontId="2" fillId="0" borderId="7" xfId="0" applyFont="1" applyBorder="1" applyAlignment="1">
      <alignment vertical="top"/>
    </xf>
    <xf numFmtId="0" fontId="2" fillId="0" borderId="10" xfId="0" applyFont="1" applyBorder="1" applyAlignment="1">
      <alignment vertical="top"/>
    </xf>
    <xf numFmtId="0" fontId="23" fillId="7" borderId="1" xfId="0" applyFont="1" applyFill="1" applyBorder="1"/>
    <xf numFmtId="0" fontId="1" fillId="7" borderId="12" xfId="0" applyFont="1" applyFill="1" applyBorder="1"/>
    <xf numFmtId="2" fontId="22" fillId="7" borderId="0" xfId="0" applyNumberFormat="1" applyFont="1" applyFill="1" applyAlignment="1">
      <alignment horizontal="center"/>
    </xf>
    <xf numFmtId="2" fontId="3" fillId="7" borderId="2" xfId="0" applyNumberFormat="1" applyFont="1" applyFill="1" applyBorder="1" applyAlignment="1">
      <alignment horizontal="right"/>
    </xf>
    <xf numFmtId="2" fontId="3" fillId="0" borderId="4" xfId="0" applyNumberFormat="1" applyFont="1" applyBorder="1"/>
    <xf numFmtId="2" fontId="3" fillId="0" borderId="0" xfId="0" applyNumberFormat="1" applyFont="1"/>
    <xf numFmtId="2" fontId="3" fillId="0" borderId="5" xfId="0" applyNumberFormat="1" applyFont="1" applyBorder="1"/>
    <xf numFmtId="0" fontId="1" fillId="7" borderId="13" xfId="0" applyFont="1" applyFill="1" applyBorder="1"/>
    <xf numFmtId="2" fontId="3" fillId="7" borderId="0" xfId="0" applyNumberFormat="1" applyFont="1" applyFill="1" applyAlignment="1">
      <alignment vertical="top"/>
    </xf>
    <xf numFmtId="2" fontId="22" fillId="7" borderId="1" xfId="0" applyNumberFormat="1" applyFont="1" applyFill="1" applyBorder="1" applyAlignment="1">
      <alignment horizontal="center"/>
    </xf>
    <xf numFmtId="2" fontId="3" fillId="7" borderId="1" xfId="0" applyNumberFormat="1" applyFont="1" applyFill="1" applyBorder="1" applyAlignment="1">
      <alignment horizontal="right"/>
    </xf>
    <xf numFmtId="0" fontId="23" fillId="7" borderId="0" xfId="0" applyFont="1" applyFill="1"/>
    <xf numFmtId="2" fontId="22" fillId="7" borderId="0" xfId="0" applyNumberFormat="1" applyFont="1" applyFill="1" applyAlignment="1">
      <alignment vertical="top"/>
    </xf>
    <xf numFmtId="2" fontId="1" fillId="7" borderId="1" xfId="0" applyNumberFormat="1" applyFont="1" applyFill="1" applyBorder="1"/>
    <xf numFmtId="2" fontId="22" fillId="0" borderId="5" xfId="0" applyNumberFormat="1" applyFont="1" applyBorder="1"/>
    <xf numFmtId="2" fontId="22" fillId="0" borderId="0" xfId="0" applyNumberFormat="1" applyFont="1"/>
    <xf numFmtId="2" fontId="1" fillId="0" borderId="1" xfId="0" applyNumberFormat="1" applyFont="1" applyBorder="1"/>
    <xf numFmtId="0" fontId="1" fillId="7" borderId="13" xfId="0" applyFont="1" applyFill="1" applyBorder="1" applyAlignment="1">
      <alignment vertical="top"/>
    </xf>
    <xf numFmtId="2" fontId="2" fillId="7" borderId="1" xfId="0" applyNumberFormat="1" applyFont="1" applyFill="1" applyBorder="1" applyAlignment="1">
      <alignment vertical="top"/>
    </xf>
    <xf numFmtId="2" fontId="3" fillId="7" borderId="1" xfId="0" applyNumberFormat="1" applyFont="1" applyFill="1" applyBorder="1"/>
    <xf numFmtId="2" fontId="22" fillId="0" borderId="0" xfId="0" applyNumberFormat="1" applyFont="1" applyAlignment="1">
      <alignment horizontal="center"/>
    </xf>
    <xf numFmtId="0" fontId="3" fillId="7" borderId="0" xfId="0" applyFont="1" applyFill="1" applyAlignment="1">
      <alignment vertical="top"/>
    </xf>
    <xf numFmtId="0" fontId="3" fillId="7" borderId="9" xfId="0" applyFont="1" applyFill="1" applyBorder="1" applyAlignment="1">
      <alignment vertical="top"/>
    </xf>
    <xf numFmtId="0" fontId="4" fillId="7" borderId="11" xfId="0" applyFont="1" applyFill="1" applyBorder="1" applyAlignment="1">
      <alignment vertical="top"/>
    </xf>
    <xf numFmtId="0" fontId="1" fillId="7" borderId="14" xfId="0" applyFont="1" applyFill="1" applyBorder="1"/>
    <xf numFmtId="2" fontId="3" fillId="7" borderId="11" xfId="0" applyNumberFormat="1" applyFont="1" applyFill="1" applyBorder="1" applyAlignment="1">
      <alignment vertical="top"/>
    </xf>
    <xf numFmtId="2" fontId="2" fillId="7" borderId="9" xfId="0" applyNumberFormat="1" applyFont="1" applyFill="1" applyBorder="1" applyAlignment="1">
      <alignment vertical="top"/>
    </xf>
    <xf numFmtId="2" fontId="3" fillId="7" borderId="9" xfId="0" applyNumberFormat="1" applyFont="1" applyFill="1" applyBorder="1"/>
    <xf numFmtId="2" fontId="3" fillId="0" borderId="10" xfId="0" applyNumberFormat="1" applyFont="1" applyBorder="1"/>
    <xf numFmtId="2" fontId="3" fillId="0" borderId="11" xfId="0" applyNumberFormat="1" applyFont="1" applyBorder="1"/>
    <xf numFmtId="2" fontId="3" fillId="0" borderId="11" xfId="0" applyNumberFormat="1" applyFont="1" applyBorder="1" applyAlignment="1">
      <alignment horizontal="right"/>
    </xf>
    <xf numFmtId="0" fontId="2" fillId="0" borderId="11" xfId="0" applyFont="1" applyBorder="1"/>
    <xf numFmtId="0" fontId="2" fillId="0" borderId="10" xfId="0" applyFont="1" applyBorder="1"/>
    <xf numFmtId="2" fontId="1" fillId="0" borderId="9" xfId="0" applyNumberFormat="1" applyFont="1" applyBorder="1" applyAlignment="1">
      <alignment horizontal="center"/>
    </xf>
    <xf numFmtId="0" fontId="6" fillId="0" borderId="11" xfId="0" applyFont="1" applyBorder="1"/>
    <xf numFmtId="0" fontId="6" fillId="0" borderId="10" xfId="0" applyFont="1" applyBorder="1"/>
    <xf numFmtId="0" fontId="22" fillId="7" borderId="0" xfId="0" applyFont="1" applyFill="1" applyAlignment="1">
      <alignment vertical="top"/>
    </xf>
    <xf numFmtId="0" fontId="1" fillId="7" borderId="0" xfId="0" applyFont="1" applyFill="1" applyAlignment="1">
      <alignment vertical="top"/>
    </xf>
    <xf numFmtId="2" fontId="3" fillId="7" borderId="0" xfId="0" applyNumberFormat="1" applyFont="1" applyFill="1"/>
    <xf numFmtId="0" fontId="2" fillId="8" borderId="0" xfId="0" applyFont="1" applyFill="1" applyAlignment="1">
      <alignment vertical="top"/>
    </xf>
    <xf numFmtId="0" fontId="2" fillId="8" borderId="0" xfId="0" applyFont="1" applyFill="1"/>
    <xf numFmtId="0" fontId="2" fillId="8" borderId="1" xfId="0" applyFont="1" applyFill="1" applyBorder="1" applyAlignment="1">
      <alignment vertical="top"/>
    </xf>
    <xf numFmtId="0" fontId="2" fillId="8" borderId="5" xfId="0" applyFont="1" applyFill="1" applyBorder="1" applyAlignment="1">
      <alignment vertical="top"/>
    </xf>
    <xf numFmtId="0" fontId="2" fillId="8" borderId="1" xfId="0" applyFont="1" applyFill="1" applyBorder="1"/>
    <xf numFmtId="0" fontId="2" fillId="8" borderId="5" xfId="0" applyFont="1" applyFill="1" applyBorder="1"/>
    <xf numFmtId="0" fontId="2" fillId="9" borderId="0" xfId="0" applyFont="1" applyFill="1" applyAlignment="1">
      <alignment vertical="top"/>
    </xf>
    <xf numFmtId="0" fontId="2" fillId="9" borderId="1" xfId="0" applyFont="1" applyFill="1" applyBorder="1" applyAlignment="1">
      <alignment vertical="top"/>
    </xf>
    <xf numFmtId="0" fontId="2" fillId="9" borderId="5" xfId="0" applyFont="1" applyFill="1" applyBorder="1" applyAlignment="1">
      <alignment vertical="top"/>
    </xf>
    <xf numFmtId="0" fontId="2" fillId="9" borderId="1" xfId="0" applyFont="1" applyFill="1" applyBorder="1"/>
    <xf numFmtId="0" fontId="2" fillId="9" borderId="0" xfId="0" applyFont="1" applyFill="1"/>
    <xf numFmtId="0" fontId="2" fillId="9" borderId="5" xfId="0" applyFont="1" applyFill="1" applyBorder="1"/>
    <xf numFmtId="0" fontId="22" fillId="10" borderId="0" xfId="0" applyFont="1" applyFill="1"/>
    <xf numFmtId="0" fontId="1" fillId="10" borderId="0" xfId="0" applyFont="1" applyFill="1" applyAlignment="1">
      <alignment vertical="top"/>
    </xf>
    <xf numFmtId="0" fontId="2" fillId="10" borderId="0" xfId="0" applyFont="1" applyFill="1" applyAlignment="1">
      <alignment vertical="top"/>
    </xf>
    <xf numFmtId="0" fontId="2" fillId="10" borderId="1" xfId="0" applyFont="1" applyFill="1" applyBorder="1" applyAlignment="1">
      <alignment vertical="top"/>
    </xf>
    <xf numFmtId="0" fontId="2" fillId="10" borderId="5" xfId="0" applyFont="1" applyFill="1" applyBorder="1" applyAlignment="1">
      <alignment vertical="top"/>
    </xf>
    <xf numFmtId="0" fontId="2" fillId="10" borderId="1" xfId="0" applyFont="1" applyFill="1" applyBorder="1"/>
    <xf numFmtId="0" fontId="2" fillId="10" borderId="0" xfId="0" applyFont="1" applyFill="1"/>
    <xf numFmtId="0" fontId="2" fillId="10" borderId="5" xfId="0" applyFont="1" applyFill="1" applyBorder="1"/>
    <xf numFmtId="0" fontId="6" fillId="10" borderId="0" xfId="0" applyFont="1" applyFill="1"/>
    <xf numFmtId="0" fontId="4" fillId="2" borderId="0" xfId="0" applyFont="1" applyFill="1" applyAlignment="1">
      <alignment vertical="top"/>
    </xf>
    <xf numFmtId="0" fontId="6" fillId="0" borderId="0" xfId="0" applyFont="1" applyAlignment="1">
      <alignment vertical="top"/>
    </xf>
    <xf numFmtId="0" fontId="6" fillId="0" borderId="1" xfId="0" applyFont="1" applyBorder="1" applyAlignment="1">
      <alignment vertical="top"/>
    </xf>
    <xf numFmtId="0" fontId="6" fillId="0" borderId="1" xfId="0" applyFont="1" applyBorder="1"/>
    <xf numFmtId="0" fontId="7" fillId="4" borderId="0" xfId="0" applyFont="1" applyFill="1" applyAlignment="1">
      <alignment vertical="top"/>
    </xf>
    <xf numFmtId="0" fontId="8" fillId="4" borderId="0" xfId="0" applyFont="1" applyFill="1" applyAlignment="1">
      <alignment vertical="top"/>
    </xf>
    <xf numFmtId="0" fontId="6" fillId="0" borderId="9" xfId="0" applyFont="1" applyBorder="1"/>
    <xf numFmtId="0" fontId="4" fillId="0" borderId="2" xfId="0" applyFont="1" applyBorder="1"/>
    <xf numFmtId="0" fontId="4" fillId="0" borderId="3" xfId="0" applyFont="1" applyBorder="1"/>
    <xf numFmtId="0" fontId="4" fillId="0" borderId="4" xfId="0" applyFont="1" applyBorder="1"/>
    <xf numFmtId="0" fontId="4" fillId="0" borderId="1" xfId="0" applyFont="1" applyBorder="1"/>
    <xf numFmtId="0" fontId="4" fillId="0" borderId="5" xfId="0" applyFont="1" applyBorder="1"/>
    <xf numFmtId="0" fontId="22" fillId="0" borderId="1" xfId="0" applyFont="1" applyBorder="1"/>
    <xf numFmtId="0" fontId="24" fillId="0" borderId="0" xfId="0" applyFont="1"/>
    <xf numFmtId="0" fontId="25" fillId="0" borderId="5" xfId="0" applyFont="1" applyBorder="1"/>
    <xf numFmtId="0" fontId="22" fillId="0" borderId="1" xfId="0" applyFont="1" applyBorder="1" applyAlignment="1">
      <alignment vertical="top"/>
    </xf>
    <xf numFmtId="0" fontId="22" fillId="0" borderId="5" xfId="0" applyFont="1" applyBorder="1"/>
    <xf numFmtId="0" fontId="3" fillId="0" borderId="1" xfId="0" applyFont="1" applyBorder="1" applyAlignment="1">
      <alignment horizontal="right" vertical="top"/>
    </xf>
    <xf numFmtId="0" fontId="3" fillId="0" borderId="0" xfId="0" applyFont="1" applyAlignment="1">
      <alignment horizontal="right" vertical="top"/>
    </xf>
    <xf numFmtId="0" fontId="3" fillId="0" borderId="5" xfId="0" applyFont="1" applyBorder="1" applyAlignment="1">
      <alignment horizontal="right" vertical="top"/>
    </xf>
    <xf numFmtId="0" fontId="3" fillId="0" borderId="1" xfId="0" applyFont="1" applyBorder="1" applyAlignment="1">
      <alignment horizontal="right"/>
    </xf>
    <xf numFmtId="0" fontId="22" fillId="7" borderId="6" xfId="0" applyFont="1" applyFill="1" applyBorder="1"/>
    <xf numFmtId="0" fontId="4" fillId="0" borderId="8" xfId="0" applyFont="1" applyBorder="1"/>
    <xf numFmtId="0" fontId="22" fillId="0" borderId="7" xfId="0" applyFont="1" applyBorder="1" applyAlignment="1">
      <alignment vertical="top"/>
    </xf>
    <xf numFmtId="10" fontId="3" fillId="7" borderId="7" xfId="0" applyNumberFormat="1" applyFont="1" applyFill="1" applyBorder="1" applyAlignment="1">
      <alignment horizontal="right" vertical="top"/>
    </xf>
    <xf numFmtId="0" fontId="3" fillId="0" borderId="8" xfId="0" applyFont="1" applyBorder="1" applyAlignment="1">
      <alignment horizontal="right" vertical="top"/>
    </xf>
    <xf numFmtId="0" fontId="22" fillId="0" borderId="6" xfId="0" applyFont="1" applyBorder="1" applyAlignment="1">
      <alignment vertical="top"/>
    </xf>
    <xf numFmtId="0" fontId="3" fillId="0" borderId="8" xfId="0" applyFont="1" applyBorder="1" applyAlignment="1">
      <alignment horizontal="right"/>
    </xf>
    <xf numFmtId="0" fontId="22" fillId="0" borderId="6" xfId="0" applyFont="1" applyBorder="1"/>
    <xf numFmtId="0" fontId="4" fillId="7" borderId="2" xfId="0" applyFont="1" applyFill="1" applyBorder="1" applyAlignment="1">
      <alignment vertical="top"/>
    </xf>
    <xf numFmtId="0" fontId="3" fillId="7" borderId="2" xfId="0" applyFont="1" applyFill="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7" borderId="0" xfId="0" applyFont="1" applyFill="1" applyAlignment="1">
      <alignment horizontal="right" vertical="top"/>
    </xf>
    <xf numFmtId="0" fontId="3" fillId="0" borderId="4" xfId="0" applyFont="1" applyBorder="1" applyAlignment="1">
      <alignment horizontal="right"/>
    </xf>
    <xf numFmtId="0" fontId="3" fillId="7" borderId="3" xfId="0" applyFont="1" applyFill="1" applyBorder="1" applyAlignment="1">
      <alignment horizontal="right" vertical="top"/>
    </xf>
    <xf numFmtId="0" fontId="4" fillId="7" borderId="1" xfId="0" applyFont="1" applyFill="1" applyBorder="1" applyAlignment="1">
      <alignment vertical="top"/>
    </xf>
    <xf numFmtId="2" fontId="3" fillId="0" borderId="1" xfId="0" applyNumberFormat="1" applyFont="1" applyBorder="1" applyAlignment="1">
      <alignment horizontal="right"/>
    </xf>
    <xf numFmtId="2" fontId="4" fillId="0" borderId="5" xfId="0" applyNumberFormat="1" applyFont="1" applyBorder="1"/>
    <xf numFmtId="2" fontId="3" fillId="0" borderId="0" xfId="0" applyNumberFormat="1" applyFont="1" applyAlignment="1">
      <alignment horizontal="right"/>
    </xf>
    <xf numFmtId="2" fontId="3" fillId="0" borderId="4" xfId="0" applyNumberFormat="1" applyFont="1" applyBorder="1" applyAlignment="1">
      <alignment horizontal="right"/>
    </xf>
    <xf numFmtId="2" fontId="22" fillId="0" borderId="10" xfId="0" applyNumberFormat="1" applyFont="1" applyBorder="1" applyAlignment="1">
      <alignment horizontal="right"/>
    </xf>
    <xf numFmtId="2" fontId="3" fillId="0" borderId="5" xfId="0" applyNumberFormat="1" applyFont="1" applyBorder="1" applyAlignment="1">
      <alignment horizontal="right"/>
    </xf>
    <xf numFmtId="2" fontId="2" fillId="7" borderId="5" xfId="0" applyNumberFormat="1" applyFont="1" applyFill="1" applyBorder="1"/>
    <xf numFmtId="2" fontId="2" fillId="7" borderId="10" xfId="0" applyNumberFormat="1" applyFont="1" applyFill="1" applyBorder="1"/>
    <xf numFmtId="0" fontId="3" fillId="7" borderId="11" xfId="0" applyFont="1" applyFill="1" applyBorder="1" applyAlignment="1">
      <alignment horizontal="right" vertical="top"/>
    </xf>
    <xf numFmtId="0" fontId="22" fillId="7" borderId="2" xfId="0" applyFont="1" applyFill="1" applyBorder="1"/>
    <xf numFmtId="0" fontId="3" fillId="0" borderId="7" xfId="0" applyFont="1" applyBorder="1" applyAlignment="1">
      <alignment horizontal="right" vertical="top"/>
    </xf>
    <xf numFmtId="0" fontId="4" fillId="0" borderId="8" xfId="0" applyFont="1" applyBorder="1" applyAlignment="1">
      <alignment vertical="top"/>
    </xf>
    <xf numFmtId="0" fontId="3" fillId="7" borderId="1" xfId="0" applyFont="1" applyFill="1" applyBorder="1"/>
    <xf numFmtId="0" fontId="22" fillId="7" borderId="12" xfId="0" applyFont="1" applyFill="1" applyBorder="1"/>
    <xf numFmtId="2" fontId="4" fillId="0" borderId="4" xfId="0" applyNumberFormat="1" applyFont="1" applyBorder="1"/>
    <xf numFmtId="0" fontId="22" fillId="7" borderId="13" xfId="0" applyFont="1" applyFill="1" applyBorder="1"/>
    <xf numFmtId="2" fontId="3" fillId="7" borderId="0" xfId="0" applyNumberFormat="1" applyFont="1" applyFill="1" applyAlignment="1">
      <alignment horizontal="right" vertical="top"/>
    </xf>
    <xf numFmtId="0" fontId="3" fillId="7" borderId="0" xfId="0" applyFont="1" applyFill="1"/>
    <xf numFmtId="2" fontId="22" fillId="7" borderId="0" xfId="0" applyNumberFormat="1" applyFont="1" applyFill="1" applyAlignment="1">
      <alignment horizontal="right" vertical="top"/>
    </xf>
    <xf numFmtId="2" fontId="22" fillId="7" borderId="1" xfId="0" applyNumberFormat="1" applyFont="1" applyFill="1" applyBorder="1" applyAlignment="1">
      <alignment horizontal="right"/>
    </xf>
    <xf numFmtId="2" fontId="22" fillId="0" borderId="0" xfId="0" applyNumberFormat="1" applyFont="1" applyAlignment="1">
      <alignment horizontal="right"/>
    </xf>
    <xf numFmtId="2" fontId="22" fillId="0" borderId="1" xfId="0" applyNumberFormat="1" applyFont="1" applyBorder="1" applyAlignment="1">
      <alignment horizontal="right"/>
    </xf>
    <xf numFmtId="0" fontId="4" fillId="7" borderId="1" xfId="0" applyFont="1" applyFill="1" applyBorder="1"/>
    <xf numFmtId="0" fontId="22" fillId="7" borderId="13" xfId="0" applyFont="1" applyFill="1" applyBorder="1" applyAlignment="1">
      <alignment vertical="top"/>
    </xf>
    <xf numFmtId="2" fontId="3" fillId="7" borderId="1" xfId="0" applyNumberFormat="1" applyFont="1" applyFill="1" applyBorder="1" applyAlignment="1">
      <alignment horizontal="right" vertical="top"/>
    </xf>
    <xf numFmtId="0" fontId="4" fillId="7" borderId="0" xfId="0" applyFont="1" applyFill="1"/>
    <xf numFmtId="0" fontId="4" fillId="7" borderId="9" xfId="0" applyFont="1" applyFill="1" applyBorder="1" applyAlignment="1">
      <alignment vertical="top"/>
    </xf>
    <xf numFmtId="0" fontId="22" fillId="7" borderId="14" xfId="0" applyFont="1" applyFill="1" applyBorder="1"/>
    <xf numFmtId="2" fontId="3" fillId="7" borderId="11" xfId="0" applyNumberFormat="1" applyFont="1" applyFill="1" applyBorder="1" applyAlignment="1">
      <alignment horizontal="right" vertical="top"/>
    </xf>
    <xf numFmtId="2" fontId="3" fillId="7" borderId="9" xfId="0" applyNumberFormat="1" applyFont="1" applyFill="1" applyBorder="1" applyAlignment="1">
      <alignment horizontal="right" vertical="top"/>
    </xf>
    <xf numFmtId="2" fontId="3" fillId="7" borderId="9" xfId="0" applyNumberFormat="1" applyFont="1" applyFill="1" applyBorder="1" applyAlignment="1">
      <alignment horizontal="right"/>
    </xf>
    <xf numFmtId="2" fontId="4" fillId="0" borderId="10" xfId="0" applyNumberFormat="1" applyFont="1" applyBorder="1"/>
    <xf numFmtId="0" fontId="3" fillId="0" borderId="11" xfId="0" applyFont="1" applyBorder="1" applyAlignment="1">
      <alignment horizontal="right" vertical="top"/>
    </xf>
    <xf numFmtId="0" fontId="4" fillId="0" borderId="10" xfId="0" applyFont="1" applyBorder="1"/>
    <xf numFmtId="2" fontId="22" fillId="0" borderId="9" xfId="0" applyNumberFormat="1" applyFont="1" applyBorder="1" applyAlignment="1">
      <alignment horizontal="center"/>
    </xf>
    <xf numFmtId="0" fontId="4" fillId="8" borderId="1" xfId="0" applyFont="1" applyFill="1" applyBorder="1"/>
    <xf numFmtId="0" fontId="4" fillId="8" borderId="0" xfId="0" applyFont="1" applyFill="1"/>
    <xf numFmtId="0" fontId="4" fillId="8" borderId="5" xfId="0" applyFont="1" applyFill="1" applyBorder="1"/>
    <xf numFmtId="0" fontId="4" fillId="11" borderId="0" xfId="0" applyFont="1" applyFill="1" applyAlignment="1">
      <alignment vertical="top"/>
    </xf>
    <xf numFmtId="2" fontId="3" fillId="0" borderId="2" xfId="0" applyNumberFormat="1" applyFont="1" applyBorder="1" applyAlignment="1">
      <alignment horizontal="right"/>
    </xf>
    <xf numFmtId="2" fontId="22" fillId="0" borderId="9" xfId="0" applyNumberFormat="1" applyFont="1" applyBorder="1"/>
    <xf numFmtId="2" fontId="2" fillId="7" borderId="0" xfId="0" applyNumberFormat="1" applyFont="1" applyFill="1"/>
    <xf numFmtId="2" fontId="2" fillId="7" borderId="11" xfId="0" applyNumberFormat="1" applyFont="1" applyFill="1" applyBorder="1"/>
    <xf numFmtId="0" fontId="4" fillId="0" borderId="7" xfId="0" applyFont="1" applyBorder="1" applyAlignment="1">
      <alignment vertical="top"/>
    </xf>
    <xf numFmtId="0" fontId="4" fillId="0" borderId="7" xfId="0" applyFont="1" applyBorder="1"/>
    <xf numFmtId="2" fontId="4" fillId="0" borderId="0" xfId="0" applyNumberFormat="1" applyFont="1"/>
    <xf numFmtId="2" fontId="4" fillId="0" borderId="11" xfId="0" applyNumberFormat="1" applyFont="1" applyBorder="1"/>
    <xf numFmtId="0" fontId="4" fillId="0" borderId="11" xfId="0" applyFont="1" applyBorder="1"/>
    <xf numFmtId="10" fontId="1" fillId="0" borderId="0" xfId="0" applyNumberFormat="1" applyFont="1" applyAlignment="1">
      <alignment horizontal="right"/>
    </xf>
    <xf numFmtId="10" fontId="1" fillId="0" borderId="1" xfId="0" applyNumberFormat="1" applyFont="1" applyBorder="1" applyAlignment="1">
      <alignment horizontal="right"/>
    </xf>
    <xf numFmtId="0" fontId="13" fillId="6" borderId="0" xfId="0" applyFont="1" applyFill="1" applyAlignment="1">
      <alignment horizontal="center" wrapText="1"/>
    </xf>
    <xf numFmtId="0" fontId="0" fillId="0" borderId="0" xfId="0"/>
    <xf numFmtId="0" fontId="12" fillId="6" borderId="0" xfId="0" applyFont="1" applyFill="1" applyAlignment="1">
      <alignment horizontal="center" wrapText="1"/>
    </xf>
  </cellXfs>
  <cellStyles count="1">
    <cellStyle name="Normal" xfId="0" builtinId="0"/>
  </cellStyles>
  <dxfs count="73">
    <dxf>
      <fill>
        <patternFill patternType="solid">
          <fgColor rgb="FF83CAEB"/>
          <bgColor rgb="FF83CAEB"/>
        </patternFill>
      </fill>
    </dxf>
    <dxf>
      <fill>
        <patternFill patternType="solid">
          <fgColor rgb="FFD9F2D0"/>
          <bgColor rgb="FFD9F2D0"/>
        </patternFill>
      </fill>
    </dxf>
    <dxf>
      <fill>
        <patternFill patternType="solid">
          <fgColor theme="9"/>
          <bgColor theme="9"/>
        </patternFill>
      </fill>
    </dxf>
    <dxf>
      <fill>
        <patternFill patternType="solid">
          <fgColor rgb="FF83CAEB"/>
          <bgColor rgb="FF83CAEB"/>
        </patternFill>
      </fill>
    </dxf>
    <dxf>
      <fill>
        <patternFill patternType="solid">
          <fgColor rgb="FFD9F2D0"/>
          <bgColor rgb="FFD9F2D0"/>
        </patternFill>
      </fill>
    </dxf>
    <dxf>
      <fill>
        <patternFill patternType="solid">
          <fgColor theme="9"/>
          <bgColor theme="9"/>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D9F2D0"/>
          <bgColor rgb="FFD9F2D0"/>
        </patternFill>
      </fill>
    </dxf>
    <dxf>
      <fill>
        <patternFill patternType="solid">
          <fgColor rgb="FF83CAEB"/>
          <bgColor rgb="FF83CAEB"/>
        </patternFill>
      </fill>
    </dxf>
    <dxf>
      <fill>
        <patternFill patternType="solid">
          <fgColor rgb="FF83CAEB"/>
          <bgColor rgb="FF83CAEB"/>
        </patternFill>
      </fill>
    </dxf>
    <dxf>
      <fill>
        <patternFill patternType="solid">
          <fgColor rgb="FFD9F2D0"/>
          <bgColor rgb="FFD9F2D0"/>
        </patternFill>
      </fill>
    </dxf>
    <dxf>
      <fill>
        <patternFill patternType="solid">
          <fgColor theme="9"/>
          <bgColor theme="9"/>
        </patternFill>
      </fill>
    </dxf>
    <dxf>
      <fill>
        <patternFill patternType="solid">
          <fgColor rgb="FF83CAEB"/>
          <bgColor rgb="FF83CAEB"/>
        </patternFill>
      </fill>
    </dxf>
    <dxf>
      <fill>
        <patternFill patternType="solid">
          <fgColor rgb="FFD9F2D0"/>
          <bgColor rgb="FFD9F2D0"/>
        </patternFill>
      </fill>
    </dxf>
    <dxf>
      <fill>
        <patternFill patternType="solid">
          <fgColor theme="9"/>
          <bgColor theme="9"/>
        </patternFill>
      </fill>
    </dxf>
    <dxf>
      <fill>
        <patternFill patternType="solid">
          <fgColor rgb="FF83CAEB"/>
          <bgColor rgb="FF83CAEB"/>
        </patternFill>
      </fill>
    </dxf>
    <dxf>
      <fill>
        <patternFill patternType="solid">
          <fgColor rgb="FFD9F2D0"/>
          <bgColor rgb="FFD9F2D0"/>
        </patternFill>
      </fill>
    </dxf>
    <dxf>
      <fill>
        <patternFill patternType="solid">
          <fgColor theme="9"/>
          <bgColor theme="9"/>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theme="9"/>
          <bgColor theme="9"/>
        </patternFill>
      </fill>
    </dxf>
    <dxf>
      <fill>
        <patternFill patternType="solid">
          <fgColor rgb="FF83CAEB"/>
          <bgColor rgb="FF83CAEB"/>
        </patternFill>
      </fill>
    </dxf>
    <dxf>
      <fill>
        <patternFill patternType="solid">
          <fgColor rgb="FFD9F2D0"/>
          <bgColor rgb="FFD9F2D0"/>
        </patternFill>
      </fill>
    </dxf>
    <dxf>
      <fill>
        <patternFill patternType="solid">
          <fgColor theme="9"/>
          <bgColor theme="9"/>
        </patternFill>
      </fill>
    </dxf>
    <dxf>
      <fill>
        <patternFill patternType="solid">
          <fgColor rgb="FF83CAEB"/>
          <bgColor rgb="FF83CAEB"/>
        </patternFill>
      </fill>
    </dxf>
    <dxf>
      <fill>
        <patternFill patternType="solid">
          <fgColor rgb="FFD9F2D0"/>
          <bgColor rgb="FFD9F2D0"/>
        </patternFill>
      </fill>
    </dxf>
    <dxf>
      <fill>
        <patternFill patternType="solid">
          <fgColor theme="9"/>
          <bgColor theme="9"/>
        </patternFill>
      </fill>
    </dxf>
    <dxf>
      <fill>
        <patternFill patternType="solid">
          <fgColor rgb="FF83CAEB"/>
          <bgColor rgb="FF83CAEB"/>
        </patternFill>
      </fill>
    </dxf>
    <dxf>
      <fill>
        <patternFill patternType="solid">
          <fgColor rgb="FFD9F2D0"/>
          <bgColor rgb="FFD9F2D0"/>
        </patternFill>
      </fill>
    </dxf>
    <dxf>
      <fill>
        <patternFill patternType="solid">
          <fgColor theme="9"/>
          <bgColor theme="9"/>
        </patternFill>
      </fill>
    </dxf>
  </dxfs>
  <tableStyles count="32">
    <tableStyle name="Experimento_Automatico1_1-style" pivot="0" count="3" xr9:uid="{00000000-0011-0000-FFFF-FFFF00000000}">
      <tableStyleElement type="headerRow" dxfId="72"/>
      <tableStyleElement type="firstRowStripe" dxfId="71"/>
      <tableStyleElement type="secondRowStripe" dxfId="70"/>
    </tableStyle>
    <tableStyle name="Experimento_Automatico1_1-style 2" pivot="0" count="3" xr9:uid="{00000000-0011-0000-FFFF-FFFF01000000}">
      <tableStyleElement type="headerRow" dxfId="69"/>
      <tableStyleElement type="firstRowStripe" dxfId="68"/>
      <tableStyleElement type="secondRowStripe" dxfId="67"/>
    </tableStyle>
    <tableStyle name="Experimento_Automatico1_1-style 3" pivot="0" count="3" xr9:uid="{00000000-0011-0000-FFFF-FFFF02000000}">
      <tableStyleElement type="headerRow" dxfId="66"/>
      <tableStyleElement type="firstRowStripe" dxfId="65"/>
      <tableStyleElement type="secondRowStripe" dxfId="64"/>
    </tableStyle>
    <tableStyle name="Experimento_Automatico1_2-style" pivot="0" count="3" xr9:uid="{00000000-0011-0000-FFFF-FFFF03000000}">
      <tableStyleElement type="headerRow" dxfId="63"/>
      <tableStyleElement type="firstRowStripe" dxfId="62"/>
      <tableStyleElement type="secondRowStripe" dxfId="61"/>
    </tableStyle>
    <tableStyle name="Experimento_Automatico1_2-style 2" pivot="0" count="2" xr9:uid="{00000000-0011-0000-FFFF-FFFF04000000}">
      <tableStyleElement type="firstRowStripe" dxfId="60"/>
      <tableStyleElement type="secondRowStripe" dxfId="59"/>
    </tableStyle>
    <tableStyle name="Experimento_Automatico1_2-style 3" pivot="0" count="2" xr9:uid="{00000000-0011-0000-FFFF-FFFF05000000}">
      <tableStyleElement type="firstRowStripe" dxfId="58"/>
      <tableStyleElement type="secondRowStripe" dxfId="57"/>
    </tableStyle>
    <tableStyle name="Experimento_Automatico1_2-style 4" pivot="0" count="2" xr9:uid="{00000000-0011-0000-FFFF-FFFF06000000}">
      <tableStyleElement type="firstRowStripe" dxfId="56"/>
      <tableStyleElement type="secondRowStripe" dxfId="55"/>
    </tableStyle>
    <tableStyle name="Experimento_Automatico1_2-style 5" pivot="0" count="2" xr9:uid="{00000000-0011-0000-FFFF-FFFF07000000}">
      <tableStyleElement type="firstRowStripe" dxfId="54"/>
      <tableStyleElement type="secondRowStripe" dxfId="53"/>
    </tableStyle>
    <tableStyle name="Experimento_Automatico1_2-style 6" pivot="0" count="2" xr9:uid="{00000000-0011-0000-FFFF-FFFF08000000}">
      <tableStyleElement type="firstRowStripe" dxfId="52"/>
      <tableStyleElement type="secondRowStripe" dxfId="51"/>
    </tableStyle>
    <tableStyle name="Experimento_Automatico1_2-style 7" pivot="0" count="2" xr9:uid="{00000000-0011-0000-FFFF-FFFF09000000}">
      <tableStyleElement type="firstRowStripe" dxfId="50"/>
      <tableStyleElement type="secondRowStripe" dxfId="49"/>
    </tableStyle>
    <tableStyle name="Experimento_Automatico1_2-style 8" pivot="0" count="2" xr9:uid="{00000000-0011-0000-FFFF-FFFF0A000000}">
      <tableStyleElement type="firstRowStripe" dxfId="48"/>
      <tableStyleElement type="secondRowStripe" dxfId="47"/>
    </tableStyle>
    <tableStyle name="Experimento_Automatico1_2-style 9" pivot="0" count="2" xr9:uid="{00000000-0011-0000-FFFF-FFFF0B000000}">
      <tableStyleElement type="firstRowStripe" dxfId="46"/>
      <tableStyleElement type="secondRowStripe" dxfId="45"/>
    </tableStyle>
    <tableStyle name="Experimento_Automatico1_2-style 10" pivot="0" count="2" xr9:uid="{00000000-0011-0000-FFFF-FFFF0C000000}">
      <tableStyleElement type="firstRowStripe" dxfId="44"/>
      <tableStyleElement type="secondRowStripe" dxfId="43"/>
    </tableStyle>
    <tableStyle name="Experimento_Automatico1_2-style 11" pivot="0" count="2" xr9:uid="{00000000-0011-0000-FFFF-FFFF0D000000}">
      <tableStyleElement type="firstRowStripe" dxfId="42"/>
      <tableStyleElement type="secondRowStripe" dxfId="41"/>
    </tableStyle>
    <tableStyle name="Experimento_Automatico1_2-style 12" pivot="0" count="2" xr9:uid="{00000000-0011-0000-FFFF-FFFF0E000000}">
      <tableStyleElement type="firstRowStripe" dxfId="40"/>
      <tableStyleElement type="secondRowStripe" dxfId="39"/>
    </tableStyle>
    <tableStyle name="Experimento_Automatico1_2-style 13" pivot="0" count="3" xr9:uid="{00000000-0011-0000-FFFF-FFFF0F000000}">
      <tableStyleElement type="headerRow" dxfId="38"/>
      <tableStyleElement type="firstRowStripe" dxfId="37"/>
      <tableStyleElement type="secondRowStripe" dxfId="36"/>
    </tableStyle>
    <tableStyle name="Experimento_Automatico1_2-style 14" pivot="0" count="3" xr9:uid="{00000000-0011-0000-FFFF-FFFF10000000}">
      <tableStyleElement type="headerRow" dxfId="35"/>
      <tableStyleElement type="firstRowStripe" dxfId="34"/>
      <tableStyleElement type="secondRowStripe" dxfId="33"/>
    </tableStyle>
    <tableStyle name="Experimento_Automatico1_3-style" pivot="0" count="3" xr9:uid="{00000000-0011-0000-FFFF-FFFF11000000}">
      <tableStyleElement type="headerRow" dxfId="32"/>
      <tableStyleElement type="firstRowStripe" dxfId="31"/>
      <tableStyleElement type="secondRowStripe" dxfId="30"/>
    </tableStyle>
    <tableStyle name="Experimento_Automatico1_3-style 2" pivot="0" count="2" xr9:uid="{00000000-0011-0000-FFFF-FFFF12000000}">
      <tableStyleElement type="firstRowStripe" dxfId="29"/>
      <tableStyleElement type="secondRowStripe" dxfId="28"/>
    </tableStyle>
    <tableStyle name="Experimento_Automatico1_3-style 3" pivot="0" count="2" xr9:uid="{00000000-0011-0000-FFFF-FFFF13000000}">
      <tableStyleElement type="firstRowStripe" dxfId="27"/>
      <tableStyleElement type="secondRowStripe" dxfId="26"/>
    </tableStyle>
    <tableStyle name="Experimento_Automatico1_3-style 4" pivot="0" count="2" xr9:uid="{00000000-0011-0000-FFFF-FFFF14000000}">
      <tableStyleElement type="firstRowStripe" dxfId="25"/>
      <tableStyleElement type="secondRowStripe" dxfId="24"/>
    </tableStyle>
    <tableStyle name="Experimento_Automatico1_3-style 5" pivot="0" count="2" xr9:uid="{00000000-0011-0000-FFFF-FFFF15000000}">
      <tableStyleElement type="firstRowStripe" dxfId="23"/>
      <tableStyleElement type="secondRowStripe" dxfId="22"/>
    </tableStyle>
    <tableStyle name="Experimento_Automatico1_3-style 6" pivot="0" count="2" xr9:uid="{00000000-0011-0000-FFFF-FFFF16000000}">
      <tableStyleElement type="firstRowStripe" dxfId="21"/>
      <tableStyleElement type="secondRowStripe" dxfId="20"/>
    </tableStyle>
    <tableStyle name="Experimento_Automatico1_3-style 7" pivot="0" count="2" xr9:uid="{00000000-0011-0000-FFFF-FFFF17000000}">
      <tableStyleElement type="firstRowStripe" dxfId="19"/>
      <tableStyleElement type="secondRowStripe" dxfId="18"/>
    </tableStyle>
    <tableStyle name="Experimento_Automatico1_3-style 8" pivot="0" count="2" xr9:uid="{00000000-0011-0000-FFFF-FFFF18000000}">
      <tableStyleElement type="firstRowStripe" dxfId="17"/>
      <tableStyleElement type="secondRowStripe" dxfId="16"/>
    </tableStyle>
    <tableStyle name="Experimento_Automatico1_3-style 9" pivot="0" count="2" xr9:uid="{00000000-0011-0000-FFFF-FFFF19000000}">
      <tableStyleElement type="firstRowStripe" dxfId="15"/>
      <tableStyleElement type="secondRowStripe" dxfId="14"/>
    </tableStyle>
    <tableStyle name="Experimento_Automatico1_3-style 10" pivot="0" count="2" xr9:uid="{00000000-0011-0000-FFFF-FFFF1A000000}">
      <tableStyleElement type="firstRowStripe" dxfId="13"/>
      <tableStyleElement type="secondRowStripe" dxfId="12"/>
    </tableStyle>
    <tableStyle name="Experimento_Automatico1_3-style 11" pivot="0" count="2" xr9:uid="{00000000-0011-0000-FFFF-FFFF1B000000}">
      <tableStyleElement type="firstRowStripe" dxfId="11"/>
      <tableStyleElement type="secondRowStripe" dxfId="10"/>
    </tableStyle>
    <tableStyle name="Experimento_Automatico1_3-style 12" pivot="0" count="2" xr9:uid="{00000000-0011-0000-FFFF-FFFF1C000000}">
      <tableStyleElement type="firstRowStripe" dxfId="9"/>
      <tableStyleElement type="secondRowStripe" dxfId="8"/>
    </tableStyle>
    <tableStyle name="Experimento_Automatico1_3-style 13" pivot="0" count="2" xr9:uid="{00000000-0011-0000-FFFF-FFFF1D000000}">
      <tableStyleElement type="firstRowStripe" dxfId="7"/>
      <tableStyleElement type="secondRowStripe" dxfId="6"/>
    </tableStyle>
    <tableStyle name="Experimento_Automatico1_3-style 14" pivot="0" count="3" xr9:uid="{00000000-0011-0000-FFFF-FFFF1E000000}">
      <tableStyleElement type="headerRow" dxfId="5"/>
      <tableStyleElement type="firstRowStripe" dxfId="4"/>
      <tableStyleElement type="secondRowStripe" dxfId="3"/>
    </tableStyle>
    <tableStyle name="Experimento_Automatico1_3-style 15" pivot="0" count="3" xr9:uid="{00000000-0011-0000-FFFF-FFFF1F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0:E159" headerRowCount="0">
  <tableColumns count="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Experimento_Automatico1_1-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63:E291" headerRowCount="0">
  <tableColumns count="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s>
  <tableStyleInfo name="Experimento_Automatico1_1-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97:E430" headerRowCount="0">
  <tableColumns count="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s>
  <tableStyleInfo name="Experimento_Automatico1_1-style 3"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0:E158" headerRowCount="0">
  <tableColumns count="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s>
  <tableStyleInfo name="Experimento_Automatico1_2-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F145:F149" headerRowCount="0">
  <tableColumns count="1">
    <tableColumn id="1" xr3:uid="{00000000-0010-0000-0400-000001000000}" name="Column1"/>
  </tableColumns>
  <tableStyleInfo name="Experimento_Automatico1_2-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H145:H149" headerRowCount="0">
  <tableColumns count="1">
    <tableColumn id="1" xr3:uid="{00000000-0010-0000-0500-000001000000}" name="Column1"/>
  </tableColumns>
  <tableStyleInfo name="Experimento_Automatico1_2-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I145:J149" headerRowCount="0">
  <tableColumns count="2">
    <tableColumn id="1" xr3:uid="{00000000-0010-0000-0600-000001000000}" name="Column1"/>
    <tableColumn id="2" xr3:uid="{00000000-0010-0000-0600-000002000000}" name="Column2"/>
  </tableColumns>
  <tableStyleInfo name="Experimento_Automatico1_2-style 4"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K145:K149" headerRowCount="0">
  <tableColumns count="1">
    <tableColumn id="1" xr3:uid="{00000000-0010-0000-0700-000001000000}" name="Column1"/>
  </tableColumns>
  <tableStyleInfo name="Experimento_Automatico1_2-style 5"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L145:M149" headerRowCount="0">
  <tableColumns count="2">
    <tableColumn id="1" xr3:uid="{00000000-0010-0000-0800-000001000000}" name="Column1"/>
    <tableColumn id="2" xr3:uid="{00000000-0010-0000-0800-000002000000}" name="Column2"/>
  </tableColumns>
  <tableStyleInfo name="Experimento_Automatico1_2-style 6"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N145:N149" headerRowCount="0">
  <tableColumns count="1">
    <tableColumn id="1" xr3:uid="{00000000-0010-0000-0900-000001000000}" name="Column1"/>
  </tableColumns>
  <tableStyleInfo name="Experimento_Automatico1_2-style 7"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O145:P149" headerRowCount="0">
  <tableColumns count="2">
    <tableColumn id="1" xr3:uid="{00000000-0010-0000-0A00-000001000000}" name="Column1"/>
    <tableColumn id="2" xr3:uid="{00000000-0010-0000-0A00-000002000000}" name="Column2"/>
  </tableColumns>
  <tableStyleInfo name="Experimento_Automatico1_2-style 8"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Q145:Q149" headerRowCount="0">
  <tableColumns count="1">
    <tableColumn id="1" xr3:uid="{00000000-0010-0000-0B00-000001000000}" name="Column1"/>
  </tableColumns>
  <tableStyleInfo name="Experimento_Automatico1_2-style 9"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R145:S149" headerRowCount="0">
  <tableColumns count="2">
    <tableColumn id="1" xr3:uid="{00000000-0010-0000-0C00-000001000000}" name="Column1"/>
    <tableColumn id="2" xr3:uid="{00000000-0010-0000-0C00-000002000000}" name="Column2"/>
  </tableColumns>
  <tableStyleInfo name="Experimento_Automatico1_2-style 10"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T145:T149" headerRowCount="0">
  <tableColumns count="1">
    <tableColumn id="1" xr3:uid="{00000000-0010-0000-0D00-000001000000}" name="Column1"/>
  </tableColumns>
  <tableStyleInfo name="Experimento_Automatico1_2-style 11"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U145:V149" headerRowCount="0">
  <tableColumns count="2">
    <tableColumn id="1" xr3:uid="{00000000-0010-0000-0E00-000001000000}" name="Column1"/>
    <tableColumn id="2" xr3:uid="{00000000-0010-0000-0E00-000002000000}" name="Column2"/>
  </tableColumns>
  <tableStyleInfo name="Experimento_Automatico1_2-style 12"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163:E291" headerRowCount="0">
  <tableColumns count="5">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s>
  <tableStyleInfo name="Experimento_Automatico1_2-style 13" showFirstColumn="1" showLastColumn="1" showRowStripes="1" showColumnStripes="0"/>
  <extLst>
    <ext uri="GoogleSheetsCustomDataVersion1">
      <go:sheetsCustomData xmlns:go="http://customooxmlschemas.google.com/" headerRowCount="1"/>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A297:E430" headerRowCount="0">
  <tableColumns count="5">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s>
  <tableStyleInfo name="Experimento_Automatico1_2-style 14" showFirstColumn="1" showLastColumn="1" showRowStripes="1" showColumnStripes="0"/>
  <extLst>
    <ext uri="GoogleSheetsCustomDataVersion1">
      <go:sheetsCustomData xmlns:go="http://customooxmlschemas.google.com/" headerRowCount="1"/>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A10:E138" headerRowCount="0">
  <tableColumns count="5">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s>
  <tableStyleInfo name="Experimento_Automatico1_3-style" showFirstColumn="1" showLastColumn="1" showRowStripes="1" showColumnStripes="0"/>
  <extLst>
    <ext uri="GoogleSheetsCustomDataVersion1">
      <go:sheetsCustomData xmlns:go="http://customooxmlschemas.google.com/" headerRowCount="1"/>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A139:E158" headerRowCount="0">
  <tableColumns count="5">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s>
  <tableStyleInfo name="Experimento_Automatico1_3-style 2"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F145:F149" headerRowCount="0">
  <tableColumns count="1">
    <tableColumn id="1" xr3:uid="{00000000-0010-0000-1300-000001000000}" name="Column1"/>
  </tableColumns>
  <tableStyleInfo name="Experimento_Automatico1_3-style 3"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H145:H149" headerRowCount="0">
  <tableColumns count="1">
    <tableColumn id="1" xr3:uid="{00000000-0010-0000-1400-000001000000}" name="Column1"/>
  </tableColumns>
  <tableStyleInfo name="Experimento_Automatico1_3-style 4"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I145:J149" headerRowCount="0">
  <tableColumns count="2">
    <tableColumn id="1" xr3:uid="{00000000-0010-0000-1500-000001000000}" name="Column1"/>
    <tableColumn id="2" xr3:uid="{00000000-0010-0000-1500-000002000000}" name="Column2"/>
  </tableColumns>
  <tableStyleInfo name="Experimento_Automatico1_3-style 5"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K145:K149" headerRowCount="0">
  <tableColumns count="1">
    <tableColumn id="1" xr3:uid="{00000000-0010-0000-1600-000001000000}" name="Column1"/>
  </tableColumns>
  <tableStyleInfo name="Experimento_Automatico1_3-style 6"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L145:M149" headerRowCount="0">
  <tableColumns count="2">
    <tableColumn id="1" xr3:uid="{00000000-0010-0000-1700-000001000000}" name="Column1"/>
    <tableColumn id="2" xr3:uid="{00000000-0010-0000-1700-000002000000}" name="Column2"/>
  </tableColumns>
  <tableStyleInfo name="Experimento_Automatico1_3-style 7"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N145:N149" headerRowCount="0">
  <tableColumns count="1">
    <tableColumn id="1" xr3:uid="{00000000-0010-0000-1800-000001000000}" name="Column1"/>
  </tableColumns>
  <tableStyleInfo name="Experimento_Automatico1_3-style 8"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O145:P149" headerRowCount="0">
  <tableColumns count="2">
    <tableColumn id="1" xr3:uid="{00000000-0010-0000-1900-000001000000}" name="Column1"/>
    <tableColumn id="2" xr3:uid="{00000000-0010-0000-1900-000002000000}" name="Column2"/>
  </tableColumns>
  <tableStyleInfo name="Experimento_Automatico1_3-style 9"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Q145:Q149" headerRowCount="0">
  <tableColumns count="1">
    <tableColumn id="1" xr3:uid="{00000000-0010-0000-1A00-000001000000}" name="Column1"/>
  </tableColumns>
  <tableStyleInfo name="Experimento_Automatico1_3-style 10"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R145:S149" headerRowCount="0">
  <tableColumns count="2">
    <tableColumn id="1" xr3:uid="{00000000-0010-0000-1B00-000001000000}" name="Column1"/>
    <tableColumn id="2" xr3:uid="{00000000-0010-0000-1B00-000002000000}" name="Column2"/>
  </tableColumns>
  <tableStyleInfo name="Experimento_Automatico1_3-style 11"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T145:T149" headerRowCount="0">
  <tableColumns count="1">
    <tableColumn id="1" xr3:uid="{00000000-0010-0000-1C00-000001000000}" name="Column1"/>
  </tableColumns>
  <tableStyleInfo name="Experimento_Automatico1_3-style 12"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U145:V149" headerRowCount="0">
  <tableColumns count="2">
    <tableColumn id="1" xr3:uid="{00000000-0010-0000-1D00-000001000000}" name="Column1"/>
    <tableColumn id="2" xr3:uid="{00000000-0010-0000-1D00-000002000000}" name="Column2"/>
  </tableColumns>
  <tableStyleInfo name="Experimento_Automatico1_3-style 13"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A163:E291" headerRowCount="0">
  <tableColumns count="5">
    <tableColumn id="1" xr3:uid="{00000000-0010-0000-1E00-000001000000}" name="Column1"/>
    <tableColumn id="2" xr3:uid="{00000000-0010-0000-1E00-000002000000}" name="Column2"/>
    <tableColumn id="3" xr3:uid="{00000000-0010-0000-1E00-000003000000}" name="Column3"/>
    <tableColumn id="4" xr3:uid="{00000000-0010-0000-1E00-000004000000}" name="Column4"/>
    <tableColumn id="5" xr3:uid="{00000000-0010-0000-1E00-000005000000}" name="Column5"/>
  </tableColumns>
  <tableStyleInfo name="Experimento_Automatico1_3-style 14" showFirstColumn="1" showLastColumn="1" showRowStripes="1" showColumnStripes="0"/>
  <extLst>
    <ext uri="GoogleSheetsCustomDataVersion1">
      <go:sheetsCustomData xmlns:go="http://customooxmlschemas.google.com/" headerRowCount="1"/>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2" displayName="Table_32" ref="A297:E430" headerRowCount="0">
  <tableColumns count="5">
    <tableColumn id="1" xr3:uid="{00000000-0010-0000-1F00-000001000000}" name="Column1"/>
    <tableColumn id="2" xr3:uid="{00000000-0010-0000-1F00-000002000000}" name="Column2"/>
    <tableColumn id="3" xr3:uid="{00000000-0010-0000-1F00-000003000000}" name="Column3"/>
    <tableColumn id="4" xr3:uid="{00000000-0010-0000-1F00-000004000000}" name="Column4"/>
    <tableColumn id="5" xr3:uid="{00000000-0010-0000-1F00-000005000000}" name="Column5"/>
  </tableColumns>
  <tableStyleInfo name="Experimento_Automatico1_3-style 15"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gemini.google.com/" TargetMode="External"/><Relationship Id="rId7" Type="http://schemas.openxmlformats.org/officeDocument/2006/relationships/table" Target="../tables/table2.xml"/><Relationship Id="rId2" Type="http://schemas.openxmlformats.org/officeDocument/2006/relationships/hyperlink" Target="https://chatgpt.com/" TargetMode="External"/><Relationship Id="rId1" Type="http://schemas.openxmlformats.org/officeDocument/2006/relationships/hyperlink" Target="https://huggingface.co/chat/" TargetMode="External"/><Relationship Id="rId6" Type="http://schemas.openxmlformats.org/officeDocument/2006/relationships/table" Target="../tables/table1.xml"/><Relationship Id="rId5" Type="http://schemas.openxmlformats.org/officeDocument/2006/relationships/hyperlink" Target="https://www.deepseek.com/" TargetMode="External"/><Relationship Id="rId4" Type="http://schemas.openxmlformats.org/officeDocument/2006/relationships/hyperlink" Target="https://www.maritaca.ai/" TargetMode="External"/></Relationships>
</file>

<file path=xl/worksheets/_rels/sheet7.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18" Type="http://schemas.openxmlformats.org/officeDocument/2006/relationships/table" Target="../tables/table16.xml"/><Relationship Id="rId3" Type="http://schemas.openxmlformats.org/officeDocument/2006/relationships/hyperlink" Target="https://gemini.google.com/" TargetMode="External"/><Relationship Id="rId7" Type="http://schemas.openxmlformats.org/officeDocument/2006/relationships/table" Target="../tables/table5.xml"/><Relationship Id="rId12" Type="http://schemas.openxmlformats.org/officeDocument/2006/relationships/table" Target="../tables/table10.xml"/><Relationship Id="rId17" Type="http://schemas.openxmlformats.org/officeDocument/2006/relationships/table" Target="../tables/table15.xml"/><Relationship Id="rId2" Type="http://schemas.openxmlformats.org/officeDocument/2006/relationships/hyperlink" Target="https://chatgpt.com/" TargetMode="External"/><Relationship Id="rId16" Type="http://schemas.openxmlformats.org/officeDocument/2006/relationships/table" Target="../tables/table14.xml"/><Relationship Id="rId1" Type="http://schemas.openxmlformats.org/officeDocument/2006/relationships/hyperlink" Target="https://huggingface.co/chat/" TargetMode="External"/><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hyperlink" Target="https://www.deepseek.com/" TargetMode="External"/><Relationship Id="rId15" Type="http://schemas.openxmlformats.org/officeDocument/2006/relationships/table" Target="../tables/table13.xml"/><Relationship Id="rId10" Type="http://schemas.openxmlformats.org/officeDocument/2006/relationships/table" Target="../tables/table8.xml"/><Relationship Id="rId19" Type="http://schemas.openxmlformats.org/officeDocument/2006/relationships/table" Target="../tables/table17.xml"/><Relationship Id="rId4" Type="http://schemas.openxmlformats.org/officeDocument/2006/relationships/hyperlink" Target="https://www.maritaca.ai/" TargetMode="External"/><Relationship Id="rId9" Type="http://schemas.openxmlformats.org/officeDocument/2006/relationships/table" Target="../tables/table7.xml"/><Relationship Id="rId14"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18" Type="http://schemas.openxmlformats.org/officeDocument/2006/relationships/table" Target="../tables/table30.xml"/><Relationship Id="rId3" Type="http://schemas.openxmlformats.org/officeDocument/2006/relationships/hyperlink" Target="https://gemini.google.com/" TargetMode="Externa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hyperlink" Target="https://chatgpt.com/" TargetMode="External"/><Relationship Id="rId16" Type="http://schemas.openxmlformats.org/officeDocument/2006/relationships/table" Target="../tables/table28.xml"/><Relationship Id="rId20" Type="http://schemas.openxmlformats.org/officeDocument/2006/relationships/table" Target="../tables/table32.xml"/><Relationship Id="rId1" Type="http://schemas.openxmlformats.org/officeDocument/2006/relationships/hyperlink" Target="https://huggingface.co/chat/" TargetMode="External"/><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hyperlink" Target="https://www.deepseek.com/" TargetMode="External"/><Relationship Id="rId15" Type="http://schemas.openxmlformats.org/officeDocument/2006/relationships/table" Target="../tables/table27.xml"/><Relationship Id="rId10" Type="http://schemas.openxmlformats.org/officeDocument/2006/relationships/table" Target="../tables/table22.xml"/><Relationship Id="rId19" Type="http://schemas.openxmlformats.org/officeDocument/2006/relationships/table" Target="../tables/table31.xml"/><Relationship Id="rId4" Type="http://schemas.openxmlformats.org/officeDocument/2006/relationships/hyperlink" Target="https://www.maritaca.ai/" TargetMode="External"/><Relationship Id="rId9" Type="http://schemas.openxmlformats.org/officeDocument/2006/relationships/table" Target="../tables/table21.xml"/><Relationship Id="rId14"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9"/>
  <sheetViews>
    <sheetView tabSelected="1" workbookViewId="0"/>
  </sheetViews>
  <sheetFormatPr defaultColWidth="12.5703125" defaultRowHeight="15" customHeight="1"/>
  <sheetData>
    <row r="1" spans="1:1">
      <c r="A1" s="1" t="s">
        <v>0</v>
      </c>
    </row>
    <row r="2" spans="1:1">
      <c r="A2" s="2" t="s">
        <v>1</v>
      </c>
    </row>
    <row r="5" spans="1:1">
      <c r="A5" s="1" t="s">
        <v>2</v>
      </c>
    </row>
    <row r="6" spans="1:1">
      <c r="A6" s="2" t="s">
        <v>3</v>
      </c>
    </row>
    <row r="8" spans="1:1">
      <c r="A8" s="1" t="s">
        <v>4</v>
      </c>
    </row>
    <row r="9" spans="1:1">
      <c r="A9" s="2" t="s">
        <v>5</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5"/>
  <sheetViews>
    <sheetView workbookViewId="0"/>
  </sheetViews>
  <sheetFormatPr defaultColWidth="12.5703125" defaultRowHeight="15" customHeight="1"/>
  <sheetData>
    <row r="1" spans="1:2">
      <c r="A1" s="1" t="s">
        <v>6</v>
      </c>
      <c r="B1" s="2" t="s">
        <v>7</v>
      </c>
    </row>
    <row r="2" spans="1:2">
      <c r="A2" s="2" t="s">
        <v>8</v>
      </c>
    </row>
    <row r="4" spans="1:2">
      <c r="A4" s="1" t="s">
        <v>9</v>
      </c>
      <c r="B4" s="2" t="s">
        <v>10</v>
      </c>
    </row>
    <row r="5" spans="1:2">
      <c r="A5" s="2" t="s">
        <v>11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34"/>
  <sheetViews>
    <sheetView workbookViewId="0"/>
  </sheetViews>
  <sheetFormatPr defaultColWidth="12.5703125" defaultRowHeight="15" customHeight="1"/>
  <cols>
    <col min="1" max="1" width="12.85546875" customWidth="1"/>
    <col min="2" max="2" width="19.5703125" customWidth="1"/>
    <col min="3" max="3" width="41.28515625" customWidth="1"/>
    <col min="4" max="6" width="8.5703125" customWidth="1"/>
    <col min="7" max="8" width="29.28515625" customWidth="1"/>
    <col min="9" max="24" width="8.5703125" customWidth="1"/>
  </cols>
  <sheetData>
    <row r="1" spans="1:24">
      <c r="A1" s="3" t="s">
        <v>12</v>
      </c>
      <c r="B1" s="3" t="s">
        <v>13</v>
      </c>
      <c r="C1" s="3" t="s">
        <v>14</v>
      </c>
      <c r="D1" s="3" t="s">
        <v>15</v>
      </c>
      <c r="E1" s="3" t="s">
        <v>16</v>
      </c>
      <c r="F1" s="3" t="s">
        <v>17</v>
      </c>
      <c r="G1" s="2" t="s">
        <v>13</v>
      </c>
      <c r="H1" s="2" t="s">
        <v>18</v>
      </c>
      <c r="I1" s="2" t="s">
        <v>15</v>
      </c>
      <c r="J1" s="2" t="s">
        <v>16</v>
      </c>
      <c r="K1" s="2" t="s">
        <v>17</v>
      </c>
    </row>
    <row r="2" spans="1:24" ht="15" customHeight="1">
      <c r="A2" s="4">
        <v>1</v>
      </c>
      <c r="B2" s="4" t="s">
        <v>19</v>
      </c>
      <c r="C2" s="4" t="s">
        <v>20</v>
      </c>
      <c r="D2" s="4">
        <v>0</v>
      </c>
      <c r="E2" s="4">
        <v>0</v>
      </c>
      <c r="F2" s="5">
        <f t="shared" ref="F2:F40" si="0">SUM(D2:E2)/2</f>
        <v>0</v>
      </c>
      <c r="G2" s="4" t="s">
        <v>21</v>
      </c>
      <c r="H2" s="4" t="s">
        <v>22</v>
      </c>
      <c r="I2" s="4">
        <v>25</v>
      </c>
      <c r="J2" s="4">
        <v>30</v>
      </c>
      <c r="K2" s="6">
        <f t="shared" ref="K2:K135" si="1">(I2+J2)/2</f>
        <v>27.5</v>
      </c>
      <c r="L2" s="7"/>
      <c r="M2" s="7"/>
      <c r="N2" s="7"/>
      <c r="O2" s="7"/>
      <c r="P2" s="7"/>
      <c r="Q2" s="7"/>
      <c r="R2" s="7"/>
      <c r="S2" s="7"/>
      <c r="T2" s="7"/>
      <c r="U2" s="7"/>
      <c r="V2" s="7"/>
      <c r="W2" s="7"/>
      <c r="X2" s="7"/>
    </row>
    <row r="3" spans="1:24" ht="15" customHeight="1">
      <c r="A3" s="8">
        <v>2</v>
      </c>
      <c r="B3" s="8" t="s">
        <v>19</v>
      </c>
      <c r="C3" s="8" t="s">
        <v>23</v>
      </c>
      <c r="D3" s="8">
        <v>20</v>
      </c>
      <c r="E3" s="8">
        <v>0</v>
      </c>
      <c r="F3" s="9">
        <f t="shared" si="0"/>
        <v>10</v>
      </c>
      <c r="G3" s="8" t="s">
        <v>24</v>
      </c>
      <c r="H3" s="8" t="s">
        <v>25</v>
      </c>
      <c r="I3" s="8">
        <v>0</v>
      </c>
      <c r="J3" s="8">
        <v>0</v>
      </c>
      <c r="K3" s="10">
        <f t="shared" si="1"/>
        <v>0</v>
      </c>
    </row>
    <row r="4" spans="1:24" ht="15" customHeight="1">
      <c r="A4" s="4">
        <v>3</v>
      </c>
      <c r="B4" s="4" t="s">
        <v>19</v>
      </c>
      <c r="C4" s="4" t="s">
        <v>26</v>
      </c>
      <c r="D4" s="4">
        <v>20</v>
      </c>
      <c r="E4" s="4">
        <v>15</v>
      </c>
      <c r="F4" s="5">
        <f t="shared" si="0"/>
        <v>17.5</v>
      </c>
      <c r="G4" s="4" t="s">
        <v>27</v>
      </c>
      <c r="H4" s="4" t="s">
        <v>28</v>
      </c>
      <c r="I4" s="4">
        <v>0</v>
      </c>
      <c r="J4" s="4">
        <v>0</v>
      </c>
      <c r="K4" s="10">
        <f t="shared" si="1"/>
        <v>0</v>
      </c>
    </row>
    <row r="5" spans="1:24" ht="15" customHeight="1">
      <c r="A5" s="8">
        <v>4</v>
      </c>
      <c r="B5" s="8" t="s">
        <v>19</v>
      </c>
      <c r="C5" s="9" t="s">
        <v>29</v>
      </c>
      <c r="D5" s="8">
        <v>40</v>
      </c>
      <c r="E5" s="8">
        <v>30</v>
      </c>
      <c r="F5" s="9">
        <f t="shared" si="0"/>
        <v>35</v>
      </c>
      <c r="G5" s="8" t="s">
        <v>30</v>
      </c>
      <c r="H5" s="8" t="s">
        <v>31</v>
      </c>
      <c r="I5" s="8">
        <v>15</v>
      </c>
      <c r="J5" s="8">
        <v>15</v>
      </c>
      <c r="K5" s="10">
        <f t="shared" si="1"/>
        <v>15</v>
      </c>
    </row>
    <row r="6" spans="1:24" ht="15" customHeight="1">
      <c r="A6" s="4">
        <v>5</v>
      </c>
      <c r="B6" s="4" t="s">
        <v>19</v>
      </c>
      <c r="C6" s="4" t="s">
        <v>32</v>
      </c>
      <c r="D6" s="4">
        <v>5</v>
      </c>
      <c r="E6" s="4">
        <v>10</v>
      </c>
      <c r="F6" s="5">
        <f t="shared" si="0"/>
        <v>7.5</v>
      </c>
      <c r="G6" s="4" t="s">
        <v>33</v>
      </c>
      <c r="H6" s="4" t="s">
        <v>34</v>
      </c>
      <c r="I6" s="4">
        <v>20</v>
      </c>
      <c r="J6" s="4">
        <v>20</v>
      </c>
      <c r="K6" s="10">
        <f t="shared" si="1"/>
        <v>20</v>
      </c>
    </row>
    <row r="7" spans="1:24" ht="15" customHeight="1">
      <c r="A7" s="8">
        <v>6</v>
      </c>
      <c r="B7" s="9" t="s">
        <v>19</v>
      </c>
      <c r="C7" s="9" t="s">
        <v>35</v>
      </c>
      <c r="D7" s="8">
        <v>5</v>
      </c>
      <c r="E7" s="8">
        <v>10</v>
      </c>
      <c r="F7" s="9">
        <f t="shared" si="0"/>
        <v>7.5</v>
      </c>
      <c r="G7" s="8" t="s">
        <v>36</v>
      </c>
      <c r="H7" s="8" t="s">
        <v>25</v>
      </c>
      <c r="I7" s="8">
        <v>15</v>
      </c>
      <c r="J7" s="8">
        <v>10</v>
      </c>
      <c r="K7" s="10">
        <f t="shared" si="1"/>
        <v>12.5</v>
      </c>
    </row>
    <row r="8" spans="1:24" ht="15" customHeight="1">
      <c r="A8" s="4">
        <v>7</v>
      </c>
      <c r="B8" s="4" t="s">
        <v>19</v>
      </c>
      <c r="C8" s="4" t="s">
        <v>37</v>
      </c>
      <c r="D8" s="4">
        <v>15</v>
      </c>
      <c r="E8" s="4">
        <v>15</v>
      </c>
      <c r="F8" s="5">
        <f t="shared" si="0"/>
        <v>15</v>
      </c>
      <c r="G8" s="4" t="s">
        <v>38</v>
      </c>
      <c r="H8" s="4" t="s">
        <v>39</v>
      </c>
      <c r="I8" s="4">
        <v>20</v>
      </c>
      <c r="J8" s="4">
        <v>20</v>
      </c>
      <c r="K8" s="10">
        <f t="shared" si="1"/>
        <v>20</v>
      </c>
    </row>
    <row r="9" spans="1:24" ht="15" customHeight="1">
      <c r="A9" s="8">
        <v>8</v>
      </c>
      <c r="B9" s="8" t="s">
        <v>19</v>
      </c>
      <c r="C9" s="9" t="s">
        <v>40</v>
      </c>
      <c r="D9" s="8">
        <v>25</v>
      </c>
      <c r="E9" s="8">
        <v>10</v>
      </c>
      <c r="F9" s="9">
        <f t="shared" si="0"/>
        <v>17.5</v>
      </c>
      <c r="G9" s="8" t="s">
        <v>41</v>
      </c>
      <c r="H9" s="8" t="s">
        <v>42</v>
      </c>
      <c r="I9" s="8">
        <v>0</v>
      </c>
      <c r="J9" s="8">
        <v>0.5</v>
      </c>
      <c r="K9" s="10">
        <f t="shared" si="1"/>
        <v>0.25</v>
      </c>
    </row>
    <row r="10" spans="1:24" ht="15" customHeight="1">
      <c r="A10" s="4">
        <v>9</v>
      </c>
      <c r="B10" s="4" t="s">
        <v>19</v>
      </c>
      <c r="C10" s="4" t="s">
        <v>43</v>
      </c>
      <c r="D10" s="4">
        <v>25</v>
      </c>
      <c r="E10" s="4">
        <v>25</v>
      </c>
      <c r="F10" s="5">
        <f t="shared" si="0"/>
        <v>25</v>
      </c>
      <c r="G10" s="4" t="s">
        <v>44</v>
      </c>
      <c r="H10" s="4" t="s">
        <v>45</v>
      </c>
      <c r="I10" s="4">
        <v>0</v>
      </c>
      <c r="J10" s="4">
        <v>10</v>
      </c>
      <c r="K10" s="10">
        <f t="shared" si="1"/>
        <v>5</v>
      </c>
    </row>
    <row r="11" spans="1:24" ht="15" customHeight="1">
      <c r="A11" s="8">
        <v>10</v>
      </c>
      <c r="B11" s="8" t="s">
        <v>19</v>
      </c>
      <c r="C11" s="8" t="s">
        <v>46</v>
      </c>
      <c r="D11" s="8">
        <v>40</v>
      </c>
      <c r="E11" s="8">
        <v>40</v>
      </c>
      <c r="F11" s="9">
        <f t="shared" si="0"/>
        <v>40</v>
      </c>
      <c r="G11" s="8" t="s">
        <v>47</v>
      </c>
      <c r="H11" s="8" t="s">
        <v>48</v>
      </c>
      <c r="I11" s="8">
        <v>15</v>
      </c>
      <c r="J11" s="8">
        <v>15</v>
      </c>
      <c r="K11" s="10">
        <f t="shared" si="1"/>
        <v>15</v>
      </c>
    </row>
    <row r="12" spans="1:24" ht="15" customHeight="1">
      <c r="A12" s="4">
        <v>11</v>
      </c>
      <c r="B12" s="5" t="s">
        <v>19</v>
      </c>
      <c r="C12" s="4" t="s">
        <v>49</v>
      </c>
      <c r="D12" s="4">
        <v>0</v>
      </c>
      <c r="E12" s="4">
        <v>0</v>
      </c>
      <c r="F12" s="5">
        <f t="shared" si="0"/>
        <v>0</v>
      </c>
      <c r="G12" s="4" t="s">
        <v>50</v>
      </c>
      <c r="H12" s="4" t="s">
        <v>51</v>
      </c>
      <c r="I12" s="4">
        <v>10</v>
      </c>
      <c r="J12" s="4">
        <v>10</v>
      </c>
      <c r="K12" s="10">
        <f t="shared" si="1"/>
        <v>10</v>
      </c>
    </row>
    <row r="13" spans="1:24" ht="15" customHeight="1">
      <c r="A13" s="8">
        <v>12</v>
      </c>
      <c r="B13" s="8" t="s">
        <v>19</v>
      </c>
      <c r="C13" s="8" t="s">
        <v>52</v>
      </c>
      <c r="D13" s="8">
        <v>40</v>
      </c>
      <c r="E13" s="8">
        <v>40</v>
      </c>
      <c r="F13" s="9">
        <f t="shared" si="0"/>
        <v>40</v>
      </c>
      <c r="G13" s="8" t="s">
        <v>53</v>
      </c>
      <c r="H13" s="8" t="s">
        <v>54</v>
      </c>
      <c r="I13" s="8">
        <v>10</v>
      </c>
      <c r="J13" s="8">
        <v>10</v>
      </c>
      <c r="K13" s="10">
        <f t="shared" si="1"/>
        <v>10</v>
      </c>
      <c r="L13" s="2"/>
    </row>
    <row r="14" spans="1:24" ht="15" customHeight="1">
      <c r="A14" s="4">
        <v>13</v>
      </c>
      <c r="B14" s="5" t="s">
        <v>19</v>
      </c>
      <c r="C14" s="5" t="s">
        <v>55</v>
      </c>
      <c r="D14" s="4">
        <v>0</v>
      </c>
      <c r="E14" s="4">
        <v>10</v>
      </c>
      <c r="F14" s="5">
        <f t="shared" si="0"/>
        <v>5</v>
      </c>
      <c r="G14" s="4" t="s">
        <v>56</v>
      </c>
      <c r="H14" s="4" t="s">
        <v>57</v>
      </c>
      <c r="I14" s="4">
        <v>20</v>
      </c>
      <c r="J14" s="4">
        <v>20</v>
      </c>
      <c r="K14" s="10">
        <f t="shared" si="1"/>
        <v>20</v>
      </c>
    </row>
    <row r="15" spans="1:24" ht="15" customHeight="1">
      <c r="A15" s="8">
        <v>14</v>
      </c>
      <c r="B15" s="11" t="s">
        <v>19</v>
      </c>
      <c r="C15" s="11" t="s">
        <v>58</v>
      </c>
      <c r="D15" s="12">
        <v>35</v>
      </c>
      <c r="E15" s="12">
        <v>30</v>
      </c>
      <c r="F15" s="11">
        <f t="shared" si="0"/>
        <v>32.5</v>
      </c>
      <c r="G15" s="12" t="s">
        <v>59</v>
      </c>
      <c r="H15" s="12" t="s">
        <v>60</v>
      </c>
      <c r="I15" s="11"/>
      <c r="J15" s="11"/>
      <c r="K15" s="13">
        <f t="shared" si="1"/>
        <v>0</v>
      </c>
      <c r="L15" s="14"/>
      <c r="M15" s="14"/>
      <c r="N15" s="14"/>
      <c r="O15" s="14"/>
      <c r="P15" s="14"/>
      <c r="Q15" s="14"/>
      <c r="R15" s="14"/>
      <c r="S15" s="14"/>
      <c r="T15" s="14"/>
      <c r="U15" s="14"/>
      <c r="V15" s="14"/>
      <c r="W15" s="14"/>
      <c r="X15" s="14"/>
    </row>
    <row r="16" spans="1:24" ht="15" customHeight="1">
      <c r="A16" s="4">
        <v>15</v>
      </c>
      <c r="B16" s="5" t="s">
        <v>19</v>
      </c>
      <c r="C16" s="4" t="s">
        <v>61</v>
      </c>
      <c r="D16" s="4">
        <v>27</v>
      </c>
      <c r="E16" s="4">
        <v>25</v>
      </c>
      <c r="F16" s="5">
        <f t="shared" si="0"/>
        <v>26</v>
      </c>
      <c r="G16" s="4" t="s">
        <v>62</v>
      </c>
      <c r="H16" s="4" t="s">
        <v>63</v>
      </c>
      <c r="I16" s="4">
        <v>30</v>
      </c>
      <c r="J16" s="4">
        <v>20</v>
      </c>
      <c r="K16" s="10">
        <f t="shared" si="1"/>
        <v>25</v>
      </c>
    </row>
    <row r="17" spans="1:24" ht="15" customHeight="1">
      <c r="A17" s="8">
        <v>16</v>
      </c>
      <c r="B17" s="9" t="s">
        <v>19</v>
      </c>
      <c r="C17" s="9" t="s">
        <v>64</v>
      </c>
      <c r="D17" s="8">
        <v>38</v>
      </c>
      <c r="E17" s="8">
        <v>35</v>
      </c>
      <c r="F17" s="9">
        <f t="shared" si="0"/>
        <v>36.5</v>
      </c>
      <c r="G17" s="8" t="s">
        <v>65</v>
      </c>
      <c r="H17" s="8" t="s">
        <v>66</v>
      </c>
      <c r="I17" s="8">
        <v>40</v>
      </c>
      <c r="J17" s="8">
        <v>20</v>
      </c>
      <c r="K17" s="10">
        <f t="shared" si="1"/>
        <v>30</v>
      </c>
    </row>
    <row r="18" spans="1:24" ht="15" customHeight="1">
      <c r="A18" s="4">
        <v>17</v>
      </c>
      <c r="B18" s="5" t="s">
        <v>19</v>
      </c>
      <c r="C18" s="5" t="s">
        <v>67</v>
      </c>
      <c r="D18" s="4">
        <v>20</v>
      </c>
      <c r="E18" s="4">
        <v>20</v>
      </c>
      <c r="F18" s="5">
        <f t="shared" si="0"/>
        <v>20</v>
      </c>
      <c r="G18" s="4" t="s">
        <v>68</v>
      </c>
      <c r="H18" s="4" t="s">
        <v>69</v>
      </c>
      <c r="I18" s="4">
        <v>40</v>
      </c>
      <c r="J18" s="4">
        <v>40</v>
      </c>
      <c r="K18" s="10">
        <f t="shared" si="1"/>
        <v>40</v>
      </c>
    </row>
    <row r="19" spans="1:24" ht="15" customHeight="1">
      <c r="A19" s="8">
        <v>18</v>
      </c>
      <c r="B19" s="9" t="s">
        <v>19</v>
      </c>
      <c r="C19" s="8" t="s">
        <v>70</v>
      </c>
      <c r="D19" s="8">
        <v>10</v>
      </c>
      <c r="E19" s="8">
        <v>15</v>
      </c>
      <c r="F19" s="9">
        <f t="shared" si="0"/>
        <v>12.5</v>
      </c>
      <c r="G19" s="8" t="s">
        <v>71</v>
      </c>
      <c r="H19" s="15" t="s">
        <v>72</v>
      </c>
      <c r="I19" s="8">
        <v>0</v>
      </c>
      <c r="J19" s="8">
        <v>0</v>
      </c>
      <c r="K19" s="10">
        <f t="shared" si="1"/>
        <v>0</v>
      </c>
    </row>
    <row r="20" spans="1:24" ht="15" customHeight="1">
      <c r="A20" s="4">
        <v>19</v>
      </c>
      <c r="B20" s="5" t="s">
        <v>19</v>
      </c>
      <c r="C20" s="5" t="s">
        <v>73</v>
      </c>
      <c r="D20" s="4">
        <v>20</v>
      </c>
      <c r="E20" s="4">
        <v>0</v>
      </c>
      <c r="F20" s="5">
        <f t="shared" si="0"/>
        <v>10</v>
      </c>
      <c r="G20" s="4" t="s">
        <v>74</v>
      </c>
      <c r="H20" s="4" t="s">
        <v>75</v>
      </c>
      <c r="I20" s="4">
        <v>20</v>
      </c>
      <c r="J20" s="4">
        <v>10</v>
      </c>
      <c r="K20" s="10">
        <f t="shared" si="1"/>
        <v>15</v>
      </c>
    </row>
    <row r="21" spans="1:24" ht="15" customHeight="1">
      <c r="A21" s="8">
        <v>20</v>
      </c>
      <c r="B21" s="9" t="s">
        <v>19</v>
      </c>
      <c r="C21" s="9" t="s">
        <v>76</v>
      </c>
      <c r="D21" s="8">
        <v>30</v>
      </c>
      <c r="E21" s="8">
        <v>25</v>
      </c>
      <c r="F21" s="9">
        <f t="shared" si="0"/>
        <v>27.5</v>
      </c>
      <c r="G21" s="8" t="s">
        <v>77</v>
      </c>
      <c r="H21" s="8" t="s">
        <v>78</v>
      </c>
      <c r="I21" s="8">
        <v>35</v>
      </c>
      <c r="J21" s="8">
        <v>30</v>
      </c>
      <c r="K21" s="10">
        <f t="shared" si="1"/>
        <v>32.5</v>
      </c>
    </row>
    <row r="22" spans="1:24" ht="15" customHeight="1">
      <c r="A22" s="4">
        <v>21</v>
      </c>
      <c r="B22" s="5" t="s">
        <v>19</v>
      </c>
      <c r="C22" s="5" t="s">
        <v>79</v>
      </c>
      <c r="D22" s="4">
        <v>20</v>
      </c>
      <c r="E22" s="4">
        <v>10</v>
      </c>
      <c r="F22" s="5">
        <f t="shared" si="0"/>
        <v>15</v>
      </c>
      <c r="G22" s="4" t="s">
        <v>80</v>
      </c>
      <c r="H22" s="4" t="s">
        <v>81</v>
      </c>
      <c r="I22" s="4">
        <v>20</v>
      </c>
      <c r="J22" s="4">
        <v>20</v>
      </c>
      <c r="K22" s="10">
        <f t="shared" si="1"/>
        <v>20</v>
      </c>
    </row>
    <row r="23" spans="1:24" ht="15" customHeight="1">
      <c r="A23" s="8">
        <v>22</v>
      </c>
      <c r="B23" s="8" t="s">
        <v>19</v>
      </c>
      <c r="C23" s="9" t="s">
        <v>82</v>
      </c>
      <c r="D23" s="8">
        <v>20</v>
      </c>
      <c r="E23" s="8">
        <v>20</v>
      </c>
      <c r="F23" s="9">
        <f t="shared" si="0"/>
        <v>20</v>
      </c>
      <c r="G23" s="8" t="s">
        <v>83</v>
      </c>
      <c r="H23" s="8" t="s">
        <v>84</v>
      </c>
      <c r="I23" s="8">
        <v>20</v>
      </c>
      <c r="J23" s="8">
        <v>20</v>
      </c>
      <c r="K23" s="10">
        <f t="shared" si="1"/>
        <v>20</v>
      </c>
    </row>
    <row r="24" spans="1:24" ht="15" customHeight="1">
      <c r="A24" s="4">
        <v>23</v>
      </c>
      <c r="B24" s="5" t="s">
        <v>19</v>
      </c>
      <c r="C24" s="5" t="s">
        <v>85</v>
      </c>
      <c r="D24" s="4">
        <v>40</v>
      </c>
      <c r="E24" s="4">
        <v>35</v>
      </c>
      <c r="F24" s="5">
        <f t="shared" si="0"/>
        <v>37.5</v>
      </c>
      <c r="G24" s="4" t="s">
        <v>86</v>
      </c>
      <c r="H24" s="4" t="s">
        <v>87</v>
      </c>
      <c r="I24" s="4">
        <v>0</v>
      </c>
      <c r="J24" s="4">
        <v>0</v>
      </c>
      <c r="K24" s="10">
        <f t="shared" si="1"/>
        <v>0</v>
      </c>
    </row>
    <row r="25" spans="1:24" ht="15" customHeight="1">
      <c r="A25" s="8">
        <v>24</v>
      </c>
      <c r="B25" s="9" t="s">
        <v>19</v>
      </c>
      <c r="C25" s="9" t="s">
        <v>88</v>
      </c>
      <c r="D25" s="8">
        <v>15</v>
      </c>
      <c r="E25" s="8">
        <v>20</v>
      </c>
      <c r="F25" s="9">
        <f t="shared" si="0"/>
        <v>17.5</v>
      </c>
      <c r="G25" s="8" t="s">
        <v>89</v>
      </c>
      <c r="H25" s="8" t="s">
        <v>90</v>
      </c>
      <c r="I25" s="8">
        <v>20</v>
      </c>
      <c r="J25" s="8">
        <v>15</v>
      </c>
      <c r="K25" s="10">
        <f t="shared" si="1"/>
        <v>17.5</v>
      </c>
    </row>
    <row r="26" spans="1:24" ht="15" customHeight="1">
      <c r="A26" s="4">
        <v>25</v>
      </c>
      <c r="B26" s="5" t="s">
        <v>19</v>
      </c>
      <c r="C26" s="4" t="s">
        <v>91</v>
      </c>
      <c r="D26" s="4">
        <v>40</v>
      </c>
      <c r="E26" s="4">
        <v>40</v>
      </c>
      <c r="F26" s="5">
        <f t="shared" si="0"/>
        <v>40</v>
      </c>
      <c r="G26" s="4" t="s">
        <v>92</v>
      </c>
      <c r="H26" s="4" t="s">
        <v>93</v>
      </c>
      <c r="I26" s="4">
        <v>8</v>
      </c>
      <c r="J26" s="4">
        <v>5</v>
      </c>
      <c r="K26" s="10">
        <f t="shared" si="1"/>
        <v>6.5</v>
      </c>
    </row>
    <row r="27" spans="1:24" ht="15" customHeight="1">
      <c r="A27" s="8">
        <v>26</v>
      </c>
      <c r="B27" s="9" t="s">
        <v>19</v>
      </c>
      <c r="C27" s="8" t="s">
        <v>94</v>
      </c>
      <c r="D27" s="8">
        <v>40</v>
      </c>
      <c r="E27" s="8">
        <v>40</v>
      </c>
      <c r="F27" s="9">
        <f t="shared" si="0"/>
        <v>40</v>
      </c>
      <c r="G27" s="8" t="s">
        <v>95</v>
      </c>
      <c r="H27" s="8" t="s">
        <v>96</v>
      </c>
      <c r="I27" s="8">
        <v>40</v>
      </c>
      <c r="J27" s="8">
        <v>30</v>
      </c>
      <c r="K27" s="10">
        <f t="shared" si="1"/>
        <v>35</v>
      </c>
    </row>
    <row r="28" spans="1:24" ht="15" customHeight="1">
      <c r="A28" s="4">
        <v>27</v>
      </c>
      <c r="B28" s="11" t="s">
        <v>19</v>
      </c>
      <c r="C28" s="11" t="s">
        <v>97</v>
      </c>
      <c r="D28" s="12">
        <v>30</v>
      </c>
      <c r="E28" s="12">
        <v>20</v>
      </c>
      <c r="F28" s="11">
        <f t="shared" si="0"/>
        <v>25</v>
      </c>
      <c r="G28" s="12" t="s">
        <v>98</v>
      </c>
      <c r="H28" s="12" t="s">
        <v>99</v>
      </c>
      <c r="I28" s="11"/>
      <c r="J28" s="11"/>
      <c r="K28" s="13">
        <f t="shared" si="1"/>
        <v>0</v>
      </c>
      <c r="L28" s="14"/>
      <c r="M28" s="14"/>
      <c r="N28" s="14"/>
      <c r="O28" s="14"/>
      <c r="P28" s="14"/>
      <c r="Q28" s="14"/>
      <c r="R28" s="14"/>
      <c r="S28" s="14"/>
      <c r="T28" s="14"/>
      <c r="U28" s="14"/>
      <c r="V28" s="14"/>
      <c r="W28" s="14"/>
      <c r="X28" s="14"/>
    </row>
    <row r="29" spans="1:24" ht="15" customHeight="1">
      <c r="A29" s="8">
        <v>28</v>
      </c>
      <c r="B29" s="8" t="s">
        <v>19</v>
      </c>
      <c r="C29" s="9" t="s">
        <v>100</v>
      </c>
      <c r="D29" s="8">
        <v>20</v>
      </c>
      <c r="E29" s="8">
        <v>35</v>
      </c>
      <c r="F29" s="9">
        <f t="shared" si="0"/>
        <v>27.5</v>
      </c>
      <c r="G29" s="8" t="s">
        <v>101</v>
      </c>
      <c r="H29" s="9" t="s">
        <v>102</v>
      </c>
      <c r="I29" s="9">
        <v>40</v>
      </c>
      <c r="J29" s="9">
        <v>40</v>
      </c>
      <c r="K29" s="10">
        <f t="shared" si="1"/>
        <v>40</v>
      </c>
    </row>
    <row r="30" spans="1:24" ht="15" customHeight="1">
      <c r="A30" s="4">
        <v>29</v>
      </c>
      <c r="B30" s="5" t="s">
        <v>19</v>
      </c>
      <c r="C30" s="4" t="s">
        <v>103</v>
      </c>
      <c r="D30" s="4">
        <v>20</v>
      </c>
      <c r="E30" s="4">
        <v>25</v>
      </c>
      <c r="F30" s="5">
        <f t="shared" si="0"/>
        <v>22.5</v>
      </c>
      <c r="G30" s="4" t="s">
        <v>104</v>
      </c>
      <c r="H30" s="4" t="s">
        <v>105</v>
      </c>
      <c r="I30" s="4">
        <v>20</v>
      </c>
      <c r="J30" s="4">
        <v>15</v>
      </c>
      <c r="K30" s="10">
        <f t="shared" si="1"/>
        <v>17.5</v>
      </c>
    </row>
    <row r="31" spans="1:24" ht="15" customHeight="1">
      <c r="A31" s="8">
        <v>30</v>
      </c>
      <c r="B31" s="9" t="s">
        <v>19</v>
      </c>
      <c r="C31" s="8" t="s">
        <v>106</v>
      </c>
      <c r="D31" s="8">
        <v>35</v>
      </c>
      <c r="E31" s="8">
        <v>30</v>
      </c>
      <c r="F31" s="9">
        <f t="shared" si="0"/>
        <v>32.5</v>
      </c>
      <c r="G31" s="8" t="s">
        <v>107</v>
      </c>
      <c r="H31" s="8" t="s">
        <v>108</v>
      </c>
      <c r="I31" s="8">
        <v>30</v>
      </c>
      <c r="J31" s="8">
        <v>32</v>
      </c>
      <c r="K31" s="10">
        <f t="shared" si="1"/>
        <v>31</v>
      </c>
    </row>
    <row r="32" spans="1:24" ht="15" customHeight="1">
      <c r="A32" s="4">
        <v>31</v>
      </c>
      <c r="B32" s="5" t="s">
        <v>19</v>
      </c>
      <c r="C32" s="4" t="s">
        <v>109</v>
      </c>
      <c r="D32" s="4">
        <v>30</v>
      </c>
      <c r="E32" s="4">
        <v>35</v>
      </c>
      <c r="F32" s="5">
        <f t="shared" si="0"/>
        <v>32.5</v>
      </c>
      <c r="G32" s="4" t="s">
        <v>110</v>
      </c>
      <c r="H32" s="4" t="s">
        <v>111</v>
      </c>
      <c r="I32" s="4">
        <v>40</v>
      </c>
      <c r="J32" s="4">
        <v>30</v>
      </c>
      <c r="K32" s="10">
        <f t="shared" si="1"/>
        <v>35</v>
      </c>
    </row>
    <row r="33" spans="1:24" ht="15" customHeight="1">
      <c r="A33" s="8">
        <v>32</v>
      </c>
      <c r="B33" s="9" t="s">
        <v>19</v>
      </c>
      <c r="C33" s="8" t="s">
        <v>112</v>
      </c>
      <c r="D33" s="8">
        <v>20</v>
      </c>
      <c r="E33" s="8">
        <v>25</v>
      </c>
      <c r="F33" s="9">
        <f t="shared" si="0"/>
        <v>22.5</v>
      </c>
      <c r="G33" s="8" t="s">
        <v>113</v>
      </c>
      <c r="H33" s="8" t="s">
        <v>114</v>
      </c>
      <c r="I33" s="8">
        <v>37</v>
      </c>
      <c r="J33" s="8">
        <v>30</v>
      </c>
      <c r="K33" s="10">
        <f t="shared" si="1"/>
        <v>33.5</v>
      </c>
    </row>
    <row r="34" spans="1:24" ht="15" customHeight="1">
      <c r="A34" s="4">
        <v>33</v>
      </c>
      <c r="B34" s="5" t="s">
        <v>19</v>
      </c>
      <c r="C34" s="5" t="s">
        <v>115</v>
      </c>
      <c r="D34" s="4">
        <v>10</v>
      </c>
      <c r="E34" s="4">
        <v>10</v>
      </c>
      <c r="F34" s="5">
        <f t="shared" si="0"/>
        <v>10</v>
      </c>
      <c r="G34" s="4" t="s">
        <v>116</v>
      </c>
      <c r="H34" s="4" t="s">
        <v>117</v>
      </c>
      <c r="I34" s="4">
        <v>20</v>
      </c>
      <c r="J34" s="4">
        <v>20</v>
      </c>
      <c r="K34" s="10">
        <f t="shared" si="1"/>
        <v>20</v>
      </c>
    </row>
    <row r="35" spans="1:24" ht="15" customHeight="1">
      <c r="A35" s="8">
        <v>34</v>
      </c>
      <c r="B35" s="9" t="s">
        <v>19</v>
      </c>
      <c r="C35" s="8" t="s">
        <v>118</v>
      </c>
      <c r="D35" s="8">
        <v>0</v>
      </c>
      <c r="E35" s="8">
        <v>0</v>
      </c>
      <c r="F35" s="9">
        <f t="shared" si="0"/>
        <v>0</v>
      </c>
      <c r="G35" s="8" t="s">
        <v>119</v>
      </c>
      <c r="H35" s="8" t="s">
        <v>120</v>
      </c>
      <c r="I35" s="8">
        <v>40</v>
      </c>
      <c r="J35" s="8">
        <v>35</v>
      </c>
      <c r="K35" s="10">
        <f t="shared" si="1"/>
        <v>37.5</v>
      </c>
    </row>
    <row r="36" spans="1:24" ht="15" customHeight="1">
      <c r="A36" s="4">
        <v>35</v>
      </c>
      <c r="B36" s="5" t="s">
        <v>19</v>
      </c>
      <c r="C36" s="5" t="s">
        <v>121</v>
      </c>
      <c r="D36" s="4">
        <v>40</v>
      </c>
      <c r="E36" s="4">
        <v>40</v>
      </c>
      <c r="F36" s="5">
        <f t="shared" si="0"/>
        <v>40</v>
      </c>
      <c r="G36" s="4" t="s">
        <v>122</v>
      </c>
      <c r="H36" s="4" t="s">
        <v>123</v>
      </c>
      <c r="I36" s="4">
        <v>10</v>
      </c>
      <c r="J36" s="4">
        <v>8</v>
      </c>
      <c r="K36" s="10">
        <f t="shared" si="1"/>
        <v>9</v>
      </c>
    </row>
    <row r="37" spans="1:24" ht="15" customHeight="1">
      <c r="A37" s="8">
        <v>36</v>
      </c>
      <c r="B37" s="9" t="s">
        <v>19</v>
      </c>
      <c r="C37" s="8" t="s">
        <v>124</v>
      </c>
      <c r="D37" s="8">
        <v>40</v>
      </c>
      <c r="E37" s="8">
        <v>40</v>
      </c>
      <c r="F37" s="9">
        <f t="shared" si="0"/>
        <v>40</v>
      </c>
      <c r="G37" s="8" t="s">
        <v>125</v>
      </c>
      <c r="H37" s="8" t="s">
        <v>126</v>
      </c>
      <c r="I37" s="8">
        <v>8</v>
      </c>
      <c r="J37" s="8">
        <v>5</v>
      </c>
      <c r="K37" s="10">
        <f t="shared" si="1"/>
        <v>6.5</v>
      </c>
    </row>
    <row r="38" spans="1:24" ht="15" customHeight="1">
      <c r="A38" s="4">
        <v>37</v>
      </c>
      <c r="B38" s="11" t="s">
        <v>19</v>
      </c>
      <c r="C38" s="11" t="s">
        <v>127</v>
      </c>
      <c r="D38" s="12">
        <v>20</v>
      </c>
      <c r="E38" s="12">
        <v>25</v>
      </c>
      <c r="F38" s="11">
        <f t="shared" si="0"/>
        <v>22.5</v>
      </c>
      <c r="G38" s="12" t="s">
        <v>128</v>
      </c>
      <c r="H38" s="12" t="s">
        <v>99</v>
      </c>
      <c r="I38" s="11"/>
      <c r="J38" s="11"/>
      <c r="K38" s="13">
        <f t="shared" si="1"/>
        <v>0</v>
      </c>
      <c r="L38" s="14"/>
      <c r="M38" s="14"/>
      <c r="N38" s="14"/>
      <c r="O38" s="14"/>
      <c r="P38" s="14"/>
      <c r="Q38" s="14"/>
      <c r="R38" s="14"/>
      <c r="S38" s="14"/>
      <c r="T38" s="14"/>
      <c r="U38" s="14"/>
      <c r="V38" s="14"/>
      <c r="W38" s="14"/>
      <c r="X38" s="14"/>
    </row>
    <row r="39" spans="1:24" ht="15" customHeight="1">
      <c r="A39" s="8">
        <v>38</v>
      </c>
      <c r="B39" s="8" t="s">
        <v>19</v>
      </c>
      <c r="C39" s="9" t="s">
        <v>129</v>
      </c>
      <c r="D39" s="8">
        <v>40</v>
      </c>
      <c r="E39" s="8">
        <v>30</v>
      </c>
      <c r="F39" s="9">
        <f t="shared" si="0"/>
        <v>35</v>
      </c>
      <c r="G39" s="8" t="s">
        <v>130</v>
      </c>
      <c r="H39" s="8" t="s">
        <v>131</v>
      </c>
      <c r="I39" s="8">
        <v>15</v>
      </c>
      <c r="J39" s="8">
        <v>20</v>
      </c>
      <c r="K39" s="10">
        <f t="shared" si="1"/>
        <v>17.5</v>
      </c>
    </row>
    <row r="40" spans="1:24" ht="15" customHeight="1">
      <c r="A40" s="4">
        <v>39</v>
      </c>
      <c r="B40" s="4" t="s">
        <v>19</v>
      </c>
      <c r="C40" s="4" t="s">
        <v>132</v>
      </c>
      <c r="D40" s="4">
        <v>10</v>
      </c>
      <c r="E40" s="4">
        <v>10</v>
      </c>
      <c r="F40" s="5">
        <f t="shared" si="0"/>
        <v>10</v>
      </c>
      <c r="G40" s="4" t="s">
        <v>133</v>
      </c>
      <c r="H40" s="4" t="s">
        <v>134</v>
      </c>
      <c r="I40" s="4">
        <v>15</v>
      </c>
      <c r="J40" s="4">
        <v>20</v>
      </c>
      <c r="K40" s="10">
        <f t="shared" si="1"/>
        <v>17.5</v>
      </c>
    </row>
    <row r="41" spans="1:24" ht="15" customHeight="1">
      <c r="A41" s="8">
        <v>40</v>
      </c>
      <c r="B41" s="8" t="s">
        <v>19</v>
      </c>
      <c r="C41" s="8" t="s">
        <v>135</v>
      </c>
      <c r="D41" s="8">
        <v>0</v>
      </c>
      <c r="E41" s="8">
        <v>0</v>
      </c>
      <c r="F41" s="8">
        <v>0</v>
      </c>
      <c r="G41" s="8" t="s">
        <v>136</v>
      </c>
      <c r="H41" s="8" t="s">
        <v>137</v>
      </c>
      <c r="I41" s="8">
        <v>20</v>
      </c>
      <c r="J41" s="8">
        <v>20</v>
      </c>
      <c r="K41" s="10">
        <f t="shared" si="1"/>
        <v>20</v>
      </c>
    </row>
    <row r="42" spans="1:24" ht="15" customHeight="1">
      <c r="A42" s="4">
        <v>41</v>
      </c>
      <c r="B42" s="5" t="s">
        <v>19</v>
      </c>
      <c r="C42" s="5" t="s">
        <v>138</v>
      </c>
      <c r="D42" s="4">
        <v>0</v>
      </c>
      <c r="E42" s="4">
        <v>0</v>
      </c>
      <c r="F42" s="5">
        <f t="shared" ref="F42:F134" si="2">SUM(D42:E42)/2</f>
        <v>0</v>
      </c>
      <c r="G42" s="4" t="s">
        <v>139</v>
      </c>
      <c r="H42" s="4" t="s">
        <v>140</v>
      </c>
      <c r="I42" s="4">
        <v>15</v>
      </c>
      <c r="J42" s="4">
        <v>20</v>
      </c>
      <c r="K42" s="10">
        <f t="shared" si="1"/>
        <v>17.5</v>
      </c>
    </row>
    <row r="43" spans="1:24" ht="15" customHeight="1">
      <c r="A43" s="8">
        <v>42</v>
      </c>
      <c r="B43" s="9" t="s">
        <v>19</v>
      </c>
      <c r="C43" s="9" t="s">
        <v>141</v>
      </c>
      <c r="D43" s="8">
        <v>15</v>
      </c>
      <c r="E43" s="8">
        <v>15</v>
      </c>
      <c r="F43" s="9">
        <f t="shared" si="2"/>
        <v>15</v>
      </c>
      <c r="G43" s="8" t="s">
        <v>142</v>
      </c>
      <c r="H43" s="8" t="s">
        <v>143</v>
      </c>
      <c r="I43" s="8">
        <v>25</v>
      </c>
      <c r="J43" s="8">
        <v>25</v>
      </c>
      <c r="K43" s="10">
        <f t="shared" si="1"/>
        <v>25</v>
      </c>
    </row>
    <row r="44" spans="1:24" ht="15" customHeight="1">
      <c r="A44" s="4">
        <v>43</v>
      </c>
      <c r="B44" s="5" t="s">
        <v>19</v>
      </c>
      <c r="C44" s="5" t="s">
        <v>144</v>
      </c>
      <c r="D44" s="4">
        <v>40</v>
      </c>
      <c r="E44" s="4">
        <v>40</v>
      </c>
      <c r="F44" s="5">
        <f t="shared" si="2"/>
        <v>40</v>
      </c>
      <c r="G44" s="4" t="s">
        <v>145</v>
      </c>
      <c r="H44" s="4" t="s">
        <v>146</v>
      </c>
      <c r="I44" s="4">
        <v>20</v>
      </c>
      <c r="J44" s="4">
        <v>25</v>
      </c>
      <c r="K44" s="10">
        <f t="shared" si="1"/>
        <v>22.5</v>
      </c>
    </row>
    <row r="45" spans="1:24" ht="15" customHeight="1">
      <c r="A45" s="8">
        <v>44</v>
      </c>
      <c r="B45" s="9" t="s">
        <v>19</v>
      </c>
      <c r="C45" s="9" t="s">
        <v>147</v>
      </c>
      <c r="D45" s="8">
        <v>30</v>
      </c>
      <c r="E45" s="8">
        <v>20</v>
      </c>
      <c r="F45" s="9">
        <f t="shared" si="2"/>
        <v>25</v>
      </c>
      <c r="G45" s="8" t="s">
        <v>148</v>
      </c>
      <c r="H45" s="8" t="s">
        <v>149</v>
      </c>
      <c r="I45" s="8">
        <v>0</v>
      </c>
      <c r="J45" s="8">
        <v>0</v>
      </c>
      <c r="K45" s="10">
        <f t="shared" si="1"/>
        <v>0</v>
      </c>
    </row>
    <row r="46" spans="1:24" ht="15" customHeight="1">
      <c r="A46" s="4">
        <v>45</v>
      </c>
      <c r="B46" s="5" t="s">
        <v>19</v>
      </c>
      <c r="C46" s="4" t="s">
        <v>150</v>
      </c>
      <c r="D46" s="4">
        <v>25</v>
      </c>
      <c r="E46" s="4">
        <v>20</v>
      </c>
      <c r="F46" s="5">
        <f t="shared" si="2"/>
        <v>22.5</v>
      </c>
      <c r="G46" s="4" t="s">
        <v>151</v>
      </c>
      <c r="H46" s="4" t="s">
        <v>152</v>
      </c>
      <c r="I46" s="4">
        <v>15</v>
      </c>
      <c r="J46" s="4">
        <v>15</v>
      </c>
      <c r="K46" s="10">
        <f t="shared" si="1"/>
        <v>15</v>
      </c>
    </row>
    <row r="47" spans="1:24" ht="15" customHeight="1">
      <c r="A47" s="8">
        <v>46</v>
      </c>
      <c r="B47" s="8" t="s">
        <v>19</v>
      </c>
      <c r="C47" s="9" t="s">
        <v>153</v>
      </c>
      <c r="D47" s="8">
        <v>15</v>
      </c>
      <c r="E47" s="8">
        <v>30</v>
      </c>
      <c r="F47" s="9">
        <f t="shared" si="2"/>
        <v>22.5</v>
      </c>
      <c r="G47" s="8" t="s">
        <v>154</v>
      </c>
      <c r="H47" s="8" t="s">
        <v>155</v>
      </c>
      <c r="I47" s="8">
        <v>40</v>
      </c>
      <c r="J47" s="8">
        <v>40</v>
      </c>
      <c r="K47" s="10">
        <f t="shared" si="1"/>
        <v>40</v>
      </c>
    </row>
    <row r="48" spans="1:24" ht="15" customHeight="1">
      <c r="A48" s="4">
        <v>47</v>
      </c>
      <c r="B48" s="5" t="s">
        <v>19</v>
      </c>
      <c r="C48" s="4" t="s">
        <v>156</v>
      </c>
      <c r="D48" s="4">
        <v>30</v>
      </c>
      <c r="E48" s="4">
        <v>30</v>
      </c>
      <c r="F48" s="5">
        <f t="shared" si="2"/>
        <v>30</v>
      </c>
      <c r="G48" s="4" t="s">
        <v>157</v>
      </c>
      <c r="H48" s="4" t="s">
        <v>158</v>
      </c>
      <c r="I48" s="4">
        <v>20</v>
      </c>
      <c r="J48" s="4">
        <v>20</v>
      </c>
      <c r="K48" s="10">
        <f t="shared" si="1"/>
        <v>20</v>
      </c>
    </row>
    <row r="49" spans="1:11" ht="15" customHeight="1">
      <c r="A49" s="8">
        <v>48</v>
      </c>
      <c r="B49" s="9" t="s">
        <v>19</v>
      </c>
      <c r="C49" s="8" t="s">
        <v>159</v>
      </c>
      <c r="D49" s="8">
        <v>35</v>
      </c>
      <c r="E49" s="8">
        <v>35</v>
      </c>
      <c r="F49" s="9">
        <f t="shared" si="2"/>
        <v>35</v>
      </c>
      <c r="G49" s="8" t="s">
        <v>160</v>
      </c>
      <c r="H49" s="8" t="s">
        <v>161</v>
      </c>
      <c r="I49" s="8">
        <v>35</v>
      </c>
      <c r="J49" s="8">
        <v>20</v>
      </c>
      <c r="K49" s="10">
        <f t="shared" si="1"/>
        <v>27.5</v>
      </c>
    </row>
    <row r="50" spans="1:11" ht="15" customHeight="1">
      <c r="A50" s="4">
        <v>49</v>
      </c>
      <c r="B50" s="5" t="s">
        <v>19</v>
      </c>
      <c r="C50" s="4" t="s">
        <v>162</v>
      </c>
      <c r="D50" s="4">
        <v>10</v>
      </c>
      <c r="E50" s="4">
        <v>10</v>
      </c>
      <c r="F50" s="5">
        <f t="shared" si="2"/>
        <v>10</v>
      </c>
      <c r="G50" s="4" t="s">
        <v>163</v>
      </c>
      <c r="H50" s="4" t="s">
        <v>164</v>
      </c>
      <c r="I50" s="4">
        <v>10</v>
      </c>
      <c r="J50" s="4">
        <v>30</v>
      </c>
      <c r="K50" s="10">
        <f t="shared" si="1"/>
        <v>20</v>
      </c>
    </row>
    <row r="51" spans="1:11" ht="15" customHeight="1">
      <c r="A51" s="8">
        <v>50</v>
      </c>
      <c r="B51" s="9" t="s">
        <v>19</v>
      </c>
      <c r="C51" s="9" t="s">
        <v>165</v>
      </c>
      <c r="D51" s="8">
        <v>10</v>
      </c>
      <c r="E51" s="8">
        <v>15</v>
      </c>
      <c r="F51" s="9">
        <f t="shared" si="2"/>
        <v>12.5</v>
      </c>
      <c r="G51" s="8" t="s">
        <v>166</v>
      </c>
      <c r="H51" s="8" t="s">
        <v>167</v>
      </c>
      <c r="I51" s="8">
        <v>0</v>
      </c>
      <c r="J51" s="8">
        <v>5</v>
      </c>
      <c r="K51" s="10">
        <f t="shared" si="1"/>
        <v>2.5</v>
      </c>
    </row>
    <row r="52" spans="1:11" ht="15" customHeight="1">
      <c r="A52" s="4">
        <v>51</v>
      </c>
      <c r="B52" s="5" t="s">
        <v>19</v>
      </c>
      <c r="C52" s="5" t="s">
        <v>168</v>
      </c>
      <c r="D52" s="4">
        <v>30</v>
      </c>
      <c r="E52" s="4">
        <v>35</v>
      </c>
      <c r="F52" s="5">
        <f t="shared" si="2"/>
        <v>32.5</v>
      </c>
      <c r="G52" s="4" t="s">
        <v>169</v>
      </c>
      <c r="H52" s="4" t="s">
        <v>170</v>
      </c>
      <c r="I52" s="4">
        <v>20</v>
      </c>
      <c r="J52" s="4">
        <v>25</v>
      </c>
      <c r="K52" s="10">
        <f t="shared" si="1"/>
        <v>22.5</v>
      </c>
    </row>
    <row r="53" spans="1:11" ht="15" customHeight="1">
      <c r="A53" s="8">
        <v>52</v>
      </c>
      <c r="B53" s="9" t="s">
        <v>19</v>
      </c>
      <c r="C53" s="8" t="s">
        <v>171</v>
      </c>
      <c r="D53" s="8">
        <v>40</v>
      </c>
      <c r="E53" s="8">
        <v>35</v>
      </c>
      <c r="F53" s="9">
        <f t="shared" si="2"/>
        <v>37.5</v>
      </c>
      <c r="G53" s="8" t="s">
        <v>172</v>
      </c>
      <c r="H53" s="8" t="s">
        <v>173</v>
      </c>
      <c r="I53" s="8">
        <v>10</v>
      </c>
      <c r="J53" s="8">
        <v>0</v>
      </c>
      <c r="K53" s="10">
        <f t="shared" si="1"/>
        <v>5</v>
      </c>
    </row>
    <row r="54" spans="1:11" ht="15" customHeight="1">
      <c r="A54" s="4">
        <v>53</v>
      </c>
      <c r="B54" s="5" t="s">
        <v>19</v>
      </c>
      <c r="C54" s="4" t="s">
        <v>174</v>
      </c>
      <c r="D54" s="4">
        <v>20</v>
      </c>
      <c r="E54" s="4">
        <v>25</v>
      </c>
      <c r="F54" s="5">
        <f t="shared" si="2"/>
        <v>22.5</v>
      </c>
      <c r="G54" s="4" t="s">
        <v>175</v>
      </c>
      <c r="H54" s="4" t="s">
        <v>176</v>
      </c>
      <c r="I54" s="4">
        <v>10</v>
      </c>
      <c r="J54" s="4">
        <v>10</v>
      </c>
      <c r="K54" s="10">
        <f t="shared" si="1"/>
        <v>10</v>
      </c>
    </row>
    <row r="55" spans="1:11" ht="15" customHeight="1">
      <c r="A55" s="8">
        <v>54</v>
      </c>
      <c r="B55" s="9" t="s">
        <v>19</v>
      </c>
      <c r="C55" s="8" t="s">
        <v>177</v>
      </c>
      <c r="D55" s="8">
        <v>27</v>
      </c>
      <c r="E55" s="8">
        <v>28</v>
      </c>
      <c r="F55" s="9">
        <f t="shared" si="2"/>
        <v>27.5</v>
      </c>
      <c r="G55" s="8" t="s">
        <v>178</v>
      </c>
      <c r="H55" s="8" t="s">
        <v>179</v>
      </c>
      <c r="I55" s="8">
        <v>10</v>
      </c>
      <c r="J55" s="8">
        <v>10</v>
      </c>
      <c r="K55" s="10">
        <f t="shared" si="1"/>
        <v>10</v>
      </c>
    </row>
    <row r="56" spans="1:11" ht="15" customHeight="1">
      <c r="A56" s="4">
        <v>55</v>
      </c>
      <c r="B56" s="5" t="s">
        <v>19</v>
      </c>
      <c r="C56" s="4" t="s">
        <v>180</v>
      </c>
      <c r="D56" s="4">
        <v>40</v>
      </c>
      <c r="E56" s="4">
        <v>40</v>
      </c>
      <c r="F56" s="5">
        <f t="shared" si="2"/>
        <v>40</v>
      </c>
      <c r="G56" s="4" t="s">
        <v>181</v>
      </c>
      <c r="H56" s="4" t="s">
        <v>182</v>
      </c>
      <c r="I56" s="4">
        <v>20</v>
      </c>
      <c r="J56" s="4">
        <v>20</v>
      </c>
      <c r="K56" s="10">
        <f t="shared" si="1"/>
        <v>20</v>
      </c>
    </row>
    <row r="57" spans="1:11" ht="15" customHeight="1">
      <c r="A57" s="8">
        <v>56</v>
      </c>
      <c r="B57" s="9" t="s">
        <v>19</v>
      </c>
      <c r="C57" s="9" t="s">
        <v>183</v>
      </c>
      <c r="D57" s="8">
        <v>25</v>
      </c>
      <c r="E57" s="8">
        <v>20</v>
      </c>
      <c r="F57" s="9">
        <f t="shared" si="2"/>
        <v>22.5</v>
      </c>
      <c r="G57" s="8" t="s">
        <v>184</v>
      </c>
      <c r="H57" s="8" t="s">
        <v>185</v>
      </c>
      <c r="I57" s="8">
        <v>10</v>
      </c>
      <c r="J57" s="8">
        <v>10</v>
      </c>
      <c r="K57" s="10">
        <f t="shared" si="1"/>
        <v>10</v>
      </c>
    </row>
    <row r="58" spans="1:11" ht="15" customHeight="1">
      <c r="A58" s="4">
        <v>57</v>
      </c>
      <c r="B58" s="4" t="s">
        <v>19</v>
      </c>
      <c r="C58" s="4" t="s">
        <v>186</v>
      </c>
      <c r="D58" s="4">
        <v>30</v>
      </c>
      <c r="E58" s="4">
        <v>30</v>
      </c>
      <c r="F58" s="5">
        <f t="shared" si="2"/>
        <v>30</v>
      </c>
      <c r="G58" s="4" t="s">
        <v>187</v>
      </c>
      <c r="H58" s="4" t="s">
        <v>188</v>
      </c>
      <c r="I58" s="4">
        <v>30</v>
      </c>
      <c r="J58" s="4">
        <v>20</v>
      </c>
      <c r="K58" s="10">
        <f t="shared" si="1"/>
        <v>25</v>
      </c>
    </row>
    <row r="59" spans="1:11" ht="15" customHeight="1">
      <c r="A59" s="8">
        <v>58</v>
      </c>
      <c r="B59" s="9" t="s">
        <v>19</v>
      </c>
      <c r="C59" s="9" t="s">
        <v>189</v>
      </c>
      <c r="D59" s="8">
        <v>0</v>
      </c>
      <c r="E59" s="8">
        <v>0</v>
      </c>
      <c r="F59" s="9">
        <f t="shared" si="2"/>
        <v>0</v>
      </c>
      <c r="G59" s="8" t="s">
        <v>190</v>
      </c>
      <c r="H59" s="8" t="s">
        <v>191</v>
      </c>
      <c r="I59" s="8">
        <v>20</v>
      </c>
      <c r="J59" s="9">
        <v>20</v>
      </c>
      <c r="K59" s="10">
        <f t="shared" si="1"/>
        <v>20</v>
      </c>
    </row>
    <row r="60" spans="1:11" ht="15" customHeight="1">
      <c r="A60" s="4">
        <v>59</v>
      </c>
      <c r="B60" s="5" t="s">
        <v>19</v>
      </c>
      <c r="C60" s="5" t="s">
        <v>192</v>
      </c>
      <c r="D60" s="4">
        <v>30</v>
      </c>
      <c r="E60" s="4">
        <v>30</v>
      </c>
      <c r="F60" s="5">
        <f t="shared" si="2"/>
        <v>30</v>
      </c>
      <c r="G60" s="4" t="s">
        <v>193</v>
      </c>
      <c r="H60" s="4" t="s">
        <v>194</v>
      </c>
      <c r="I60" s="4">
        <v>0</v>
      </c>
      <c r="J60" s="4">
        <v>0</v>
      </c>
      <c r="K60" s="10">
        <f t="shared" si="1"/>
        <v>0</v>
      </c>
    </row>
    <row r="61" spans="1:11" ht="15" customHeight="1">
      <c r="A61" s="8">
        <v>60</v>
      </c>
      <c r="B61" s="9" t="s">
        <v>19</v>
      </c>
      <c r="C61" s="9" t="s">
        <v>195</v>
      </c>
      <c r="D61" s="8">
        <v>40</v>
      </c>
      <c r="E61" s="8">
        <v>40</v>
      </c>
      <c r="F61" s="9">
        <f t="shared" si="2"/>
        <v>40</v>
      </c>
      <c r="G61" s="8" t="s">
        <v>196</v>
      </c>
      <c r="H61" s="8" t="s">
        <v>197</v>
      </c>
      <c r="I61" s="8">
        <v>30</v>
      </c>
      <c r="J61" s="8">
        <v>25</v>
      </c>
      <c r="K61" s="10">
        <f t="shared" si="1"/>
        <v>27.5</v>
      </c>
    </row>
    <row r="62" spans="1:11" ht="15" customHeight="1">
      <c r="A62" s="4">
        <v>61</v>
      </c>
      <c r="B62" s="5" t="s">
        <v>19</v>
      </c>
      <c r="C62" s="4" t="s">
        <v>198</v>
      </c>
      <c r="D62" s="4">
        <v>10</v>
      </c>
      <c r="E62" s="4">
        <v>10</v>
      </c>
      <c r="F62" s="5">
        <f t="shared" si="2"/>
        <v>10</v>
      </c>
      <c r="G62" s="4" t="s">
        <v>199</v>
      </c>
      <c r="H62" s="4" t="s">
        <v>200</v>
      </c>
      <c r="I62" s="4">
        <v>20</v>
      </c>
      <c r="J62" s="4">
        <v>25</v>
      </c>
      <c r="K62" s="10">
        <f t="shared" si="1"/>
        <v>22.5</v>
      </c>
    </row>
    <row r="63" spans="1:11" ht="15" customHeight="1">
      <c r="A63" s="8">
        <v>62</v>
      </c>
      <c r="B63" s="9" t="s">
        <v>19</v>
      </c>
      <c r="C63" s="8" t="s">
        <v>201</v>
      </c>
      <c r="D63" s="8">
        <v>10</v>
      </c>
      <c r="E63" s="8">
        <v>0</v>
      </c>
      <c r="F63" s="9">
        <f t="shared" si="2"/>
        <v>5</v>
      </c>
      <c r="G63" s="8" t="s">
        <v>202</v>
      </c>
      <c r="H63" s="8" t="s">
        <v>203</v>
      </c>
      <c r="I63" s="8">
        <v>15</v>
      </c>
      <c r="J63" s="8">
        <v>10</v>
      </c>
      <c r="K63" s="10">
        <f t="shared" si="1"/>
        <v>12.5</v>
      </c>
    </row>
    <row r="64" spans="1:11" ht="15" customHeight="1">
      <c r="A64" s="4">
        <v>63</v>
      </c>
      <c r="B64" s="5" t="s">
        <v>19</v>
      </c>
      <c r="C64" s="5" t="s">
        <v>204</v>
      </c>
      <c r="D64" s="4">
        <v>30</v>
      </c>
      <c r="E64" s="4">
        <v>30</v>
      </c>
      <c r="F64" s="5">
        <f t="shared" si="2"/>
        <v>30</v>
      </c>
      <c r="G64" s="4" t="s">
        <v>205</v>
      </c>
      <c r="H64" s="4" t="s">
        <v>206</v>
      </c>
      <c r="I64" s="4">
        <v>10</v>
      </c>
      <c r="J64" s="4">
        <v>15</v>
      </c>
      <c r="K64" s="10">
        <f t="shared" si="1"/>
        <v>12.5</v>
      </c>
    </row>
    <row r="65" spans="1:24" ht="15" customHeight="1">
      <c r="A65" s="8">
        <v>64</v>
      </c>
      <c r="B65" s="8" t="s">
        <v>19</v>
      </c>
      <c r="C65" s="8" t="s">
        <v>207</v>
      </c>
      <c r="D65" s="8">
        <v>25</v>
      </c>
      <c r="E65" s="8">
        <v>20</v>
      </c>
      <c r="F65" s="9">
        <f t="shared" si="2"/>
        <v>22.5</v>
      </c>
      <c r="G65" s="8" t="s">
        <v>208</v>
      </c>
      <c r="H65" s="8" t="s">
        <v>209</v>
      </c>
      <c r="I65" s="8">
        <v>40</v>
      </c>
      <c r="J65" s="8">
        <v>40</v>
      </c>
      <c r="K65" s="10">
        <f t="shared" si="1"/>
        <v>40</v>
      </c>
    </row>
    <row r="66" spans="1:24" ht="15" customHeight="1">
      <c r="A66" s="4">
        <v>65</v>
      </c>
      <c r="B66" s="4" t="s">
        <v>19</v>
      </c>
      <c r="C66" s="4" t="s">
        <v>124</v>
      </c>
      <c r="D66" s="4">
        <v>40</v>
      </c>
      <c r="E66" s="4">
        <v>40</v>
      </c>
      <c r="F66" s="5">
        <f t="shared" si="2"/>
        <v>40</v>
      </c>
      <c r="G66" s="4" t="s">
        <v>210</v>
      </c>
      <c r="H66" s="4" t="s">
        <v>211</v>
      </c>
      <c r="I66" s="4">
        <v>40</v>
      </c>
      <c r="J66" s="4">
        <v>30</v>
      </c>
      <c r="K66" s="10">
        <f t="shared" si="1"/>
        <v>35</v>
      </c>
    </row>
    <row r="67" spans="1:24" ht="15" customHeight="1">
      <c r="A67" s="8">
        <v>66</v>
      </c>
      <c r="B67" s="8" t="s">
        <v>19</v>
      </c>
      <c r="C67" s="9" t="s">
        <v>212</v>
      </c>
      <c r="D67" s="8">
        <v>10</v>
      </c>
      <c r="E67" s="8">
        <v>25</v>
      </c>
      <c r="F67" s="9">
        <f t="shared" si="2"/>
        <v>17.5</v>
      </c>
      <c r="G67" s="8" t="s">
        <v>213</v>
      </c>
      <c r="H67" s="8" t="s">
        <v>214</v>
      </c>
      <c r="I67" s="8">
        <v>30</v>
      </c>
      <c r="J67" s="8">
        <v>30</v>
      </c>
      <c r="K67" s="10">
        <f t="shared" si="1"/>
        <v>30</v>
      </c>
    </row>
    <row r="68" spans="1:24" ht="15" customHeight="1">
      <c r="A68" s="4">
        <v>67</v>
      </c>
      <c r="B68" s="5" t="s">
        <v>19</v>
      </c>
      <c r="C68" s="5" t="s">
        <v>215</v>
      </c>
      <c r="D68" s="4">
        <v>0</v>
      </c>
      <c r="E68" s="4">
        <v>0</v>
      </c>
      <c r="F68" s="5">
        <f t="shared" si="2"/>
        <v>0</v>
      </c>
      <c r="G68" s="4" t="s">
        <v>216</v>
      </c>
      <c r="H68" s="4" t="s">
        <v>217</v>
      </c>
      <c r="I68" s="4">
        <v>20</v>
      </c>
      <c r="J68" s="4">
        <v>20</v>
      </c>
      <c r="K68" s="10">
        <f t="shared" si="1"/>
        <v>20</v>
      </c>
    </row>
    <row r="69" spans="1:24" ht="15" customHeight="1">
      <c r="A69" s="8">
        <v>68</v>
      </c>
      <c r="B69" s="9" t="s">
        <v>19</v>
      </c>
      <c r="C69" s="9" t="s">
        <v>218</v>
      </c>
      <c r="D69" s="8">
        <v>10</v>
      </c>
      <c r="E69" s="8">
        <v>10</v>
      </c>
      <c r="F69" s="9">
        <f t="shared" si="2"/>
        <v>10</v>
      </c>
      <c r="G69" s="8" t="s">
        <v>219</v>
      </c>
      <c r="H69" s="8" t="s">
        <v>220</v>
      </c>
      <c r="I69" s="8">
        <v>18</v>
      </c>
      <c r="J69" s="8">
        <v>25</v>
      </c>
      <c r="K69" s="10">
        <f t="shared" si="1"/>
        <v>21.5</v>
      </c>
    </row>
    <row r="70" spans="1:24" ht="15" customHeight="1">
      <c r="A70" s="4">
        <v>69</v>
      </c>
      <c r="B70" s="11" t="s">
        <v>19</v>
      </c>
      <c r="C70" s="11" t="s">
        <v>221</v>
      </c>
      <c r="D70" s="12">
        <v>30</v>
      </c>
      <c r="E70" s="12">
        <v>30</v>
      </c>
      <c r="F70" s="11">
        <f t="shared" si="2"/>
        <v>30</v>
      </c>
      <c r="G70" s="12" t="s">
        <v>222</v>
      </c>
      <c r="H70" s="12" t="s">
        <v>99</v>
      </c>
      <c r="I70" s="11"/>
      <c r="J70" s="11"/>
      <c r="K70" s="13">
        <f t="shared" si="1"/>
        <v>0</v>
      </c>
      <c r="L70" s="14"/>
      <c r="M70" s="14"/>
      <c r="N70" s="14"/>
      <c r="O70" s="14"/>
      <c r="P70" s="14"/>
      <c r="Q70" s="14"/>
      <c r="R70" s="14"/>
      <c r="S70" s="14"/>
      <c r="T70" s="14"/>
      <c r="U70" s="14"/>
      <c r="V70" s="14"/>
      <c r="W70" s="14"/>
      <c r="X70" s="14"/>
    </row>
    <row r="71" spans="1:24" ht="15" customHeight="1">
      <c r="A71" s="8">
        <v>70</v>
      </c>
      <c r="B71" s="9" t="s">
        <v>19</v>
      </c>
      <c r="C71" s="8" t="s">
        <v>223</v>
      </c>
      <c r="D71" s="8">
        <v>20</v>
      </c>
      <c r="E71" s="8">
        <v>20</v>
      </c>
      <c r="F71" s="9">
        <f t="shared" si="2"/>
        <v>20</v>
      </c>
      <c r="G71" s="8" t="s">
        <v>224</v>
      </c>
      <c r="H71" s="8" t="s">
        <v>225</v>
      </c>
      <c r="I71" s="8">
        <v>10</v>
      </c>
      <c r="J71" s="8">
        <v>10</v>
      </c>
      <c r="K71" s="10">
        <f t="shared" si="1"/>
        <v>10</v>
      </c>
    </row>
    <row r="72" spans="1:24" ht="15" customHeight="1">
      <c r="A72" s="4">
        <v>71</v>
      </c>
      <c r="B72" s="5" t="s">
        <v>19</v>
      </c>
      <c r="C72" s="5" t="s">
        <v>226</v>
      </c>
      <c r="D72" s="4">
        <v>20</v>
      </c>
      <c r="E72" s="4">
        <v>30</v>
      </c>
      <c r="F72" s="5">
        <f t="shared" si="2"/>
        <v>25</v>
      </c>
      <c r="G72" s="4" t="s">
        <v>227</v>
      </c>
      <c r="H72" s="4" t="s">
        <v>228</v>
      </c>
      <c r="I72" s="4">
        <v>20</v>
      </c>
      <c r="J72" s="4">
        <v>10</v>
      </c>
      <c r="K72" s="10">
        <f t="shared" si="1"/>
        <v>15</v>
      </c>
    </row>
    <row r="73" spans="1:24" ht="15" customHeight="1">
      <c r="A73" s="8">
        <v>72</v>
      </c>
      <c r="B73" s="9" t="s">
        <v>19</v>
      </c>
      <c r="C73" s="9" t="s">
        <v>229</v>
      </c>
      <c r="D73" s="8">
        <v>5</v>
      </c>
      <c r="E73" s="8">
        <v>10</v>
      </c>
      <c r="F73" s="9">
        <f t="shared" si="2"/>
        <v>7.5</v>
      </c>
      <c r="G73" s="8" t="s">
        <v>230</v>
      </c>
      <c r="H73" s="8" t="s">
        <v>231</v>
      </c>
      <c r="I73" s="8">
        <v>35</v>
      </c>
      <c r="J73" s="8">
        <v>30</v>
      </c>
      <c r="K73" s="10">
        <f t="shared" si="1"/>
        <v>32.5</v>
      </c>
    </row>
    <row r="74" spans="1:24" ht="15" customHeight="1">
      <c r="A74" s="4">
        <v>73</v>
      </c>
      <c r="B74" s="5" t="s">
        <v>19</v>
      </c>
      <c r="C74" s="5" t="s">
        <v>232</v>
      </c>
      <c r="D74" s="4">
        <v>10</v>
      </c>
      <c r="E74" s="4">
        <v>20</v>
      </c>
      <c r="F74" s="5">
        <f t="shared" si="2"/>
        <v>15</v>
      </c>
      <c r="G74" s="4" t="s">
        <v>233</v>
      </c>
      <c r="H74" s="4" t="s">
        <v>234</v>
      </c>
      <c r="I74" s="4">
        <v>0</v>
      </c>
      <c r="J74" s="4">
        <v>0</v>
      </c>
      <c r="K74" s="10">
        <f t="shared" si="1"/>
        <v>0</v>
      </c>
    </row>
    <row r="75" spans="1:24" ht="15" customHeight="1">
      <c r="A75" s="8">
        <v>74</v>
      </c>
      <c r="B75" s="9" t="s">
        <v>19</v>
      </c>
      <c r="C75" s="9" t="s">
        <v>235</v>
      </c>
      <c r="D75" s="8">
        <v>20</v>
      </c>
      <c r="E75" s="8">
        <v>20</v>
      </c>
      <c r="F75" s="9">
        <f t="shared" si="2"/>
        <v>20</v>
      </c>
      <c r="G75" s="8" t="s">
        <v>236</v>
      </c>
      <c r="H75" s="8" t="s">
        <v>237</v>
      </c>
      <c r="I75" s="8">
        <v>0</v>
      </c>
      <c r="J75" s="8">
        <v>10</v>
      </c>
      <c r="K75" s="10">
        <f t="shared" si="1"/>
        <v>5</v>
      </c>
    </row>
    <row r="76" spans="1:24" ht="15" customHeight="1">
      <c r="A76" s="4">
        <v>75</v>
      </c>
      <c r="B76" s="5" t="s">
        <v>19</v>
      </c>
      <c r="C76" s="5" t="s">
        <v>238</v>
      </c>
      <c r="D76" s="4">
        <v>0</v>
      </c>
      <c r="E76" s="4">
        <v>0</v>
      </c>
      <c r="F76" s="5">
        <f t="shared" si="2"/>
        <v>0</v>
      </c>
      <c r="G76" s="4" t="s">
        <v>239</v>
      </c>
      <c r="H76" s="4" t="s">
        <v>240</v>
      </c>
      <c r="I76" s="4">
        <v>0</v>
      </c>
      <c r="J76" s="5">
        <v>0</v>
      </c>
      <c r="K76" s="10">
        <f t="shared" si="1"/>
        <v>0</v>
      </c>
    </row>
    <row r="77" spans="1:24" ht="15" customHeight="1">
      <c r="A77" s="8">
        <v>76</v>
      </c>
      <c r="B77" s="9" t="s">
        <v>19</v>
      </c>
      <c r="C77" s="9" t="s">
        <v>241</v>
      </c>
      <c r="D77" s="8">
        <v>40</v>
      </c>
      <c r="E77" s="8">
        <v>40</v>
      </c>
      <c r="F77" s="9">
        <f t="shared" si="2"/>
        <v>40</v>
      </c>
      <c r="G77" s="8" t="s">
        <v>242</v>
      </c>
      <c r="H77" s="8" t="s">
        <v>243</v>
      </c>
      <c r="I77" s="8">
        <v>0</v>
      </c>
      <c r="J77" s="8">
        <v>0</v>
      </c>
      <c r="K77" s="10">
        <f t="shared" si="1"/>
        <v>0</v>
      </c>
    </row>
    <row r="78" spans="1:24" ht="15" customHeight="1">
      <c r="A78" s="4">
        <v>77</v>
      </c>
      <c r="B78" s="5" t="s">
        <v>19</v>
      </c>
      <c r="C78" s="5" t="s">
        <v>244</v>
      </c>
      <c r="D78" s="4">
        <v>40</v>
      </c>
      <c r="E78" s="4">
        <v>40</v>
      </c>
      <c r="F78" s="5">
        <f t="shared" si="2"/>
        <v>40</v>
      </c>
      <c r="G78" s="4" t="s">
        <v>245</v>
      </c>
      <c r="H78" s="4" t="s">
        <v>246</v>
      </c>
      <c r="I78" s="4">
        <v>30</v>
      </c>
      <c r="J78" s="4">
        <v>30</v>
      </c>
      <c r="K78" s="10">
        <f t="shared" si="1"/>
        <v>30</v>
      </c>
    </row>
    <row r="79" spans="1:24" ht="15" customHeight="1">
      <c r="A79" s="8">
        <v>78</v>
      </c>
      <c r="B79" s="9" t="s">
        <v>19</v>
      </c>
      <c r="C79" s="9" t="s">
        <v>247</v>
      </c>
      <c r="D79" s="8">
        <v>40</v>
      </c>
      <c r="E79" s="8">
        <v>40</v>
      </c>
      <c r="F79" s="9">
        <f t="shared" si="2"/>
        <v>40</v>
      </c>
      <c r="G79" s="8" t="s">
        <v>248</v>
      </c>
      <c r="H79" s="8" t="s">
        <v>249</v>
      </c>
      <c r="I79" s="8">
        <v>40</v>
      </c>
      <c r="J79" s="8">
        <v>35</v>
      </c>
      <c r="K79" s="10">
        <f t="shared" si="1"/>
        <v>37.5</v>
      </c>
    </row>
    <row r="80" spans="1:24" ht="15" customHeight="1">
      <c r="A80" s="4">
        <v>79</v>
      </c>
      <c r="B80" s="11" t="s">
        <v>19</v>
      </c>
      <c r="C80" s="11" t="s">
        <v>250</v>
      </c>
      <c r="D80" s="12">
        <v>40</v>
      </c>
      <c r="E80" s="12">
        <v>35</v>
      </c>
      <c r="F80" s="11">
        <f t="shared" si="2"/>
        <v>37.5</v>
      </c>
      <c r="G80" s="12" t="s">
        <v>251</v>
      </c>
      <c r="H80" s="12" t="s">
        <v>99</v>
      </c>
      <c r="I80" s="11"/>
      <c r="J80" s="11"/>
      <c r="K80" s="13">
        <f t="shared" si="1"/>
        <v>0</v>
      </c>
      <c r="L80" s="14"/>
      <c r="M80" s="14"/>
      <c r="N80" s="14"/>
      <c r="O80" s="14"/>
      <c r="P80" s="14"/>
      <c r="Q80" s="14"/>
      <c r="R80" s="14"/>
      <c r="S80" s="14"/>
      <c r="T80" s="14"/>
      <c r="U80" s="14"/>
      <c r="V80" s="14"/>
      <c r="W80" s="14"/>
      <c r="X80" s="14"/>
    </row>
    <row r="81" spans="1:11" ht="15" customHeight="1">
      <c r="A81" s="8">
        <v>80</v>
      </c>
      <c r="B81" s="9" t="s">
        <v>19</v>
      </c>
      <c r="C81" s="8" t="s">
        <v>252</v>
      </c>
      <c r="D81" s="8">
        <v>0</v>
      </c>
      <c r="E81" s="8">
        <v>5</v>
      </c>
      <c r="F81" s="9">
        <f t="shared" si="2"/>
        <v>2.5</v>
      </c>
      <c r="G81" s="8" t="s">
        <v>253</v>
      </c>
      <c r="H81" s="8" t="s">
        <v>254</v>
      </c>
      <c r="I81" s="8">
        <v>0</v>
      </c>
      <c r="J81" s="8">
        <v>0</v>
      </c>
      <c r="K81" s="10">
        <f t="shared" si="1"/>
        <v>0</v>
      </c>
    </row>
    <row r="82" spans="1:11" ht="15" customHeight="1">
      <c r="A82" s="4">
        <v>81</v>
      </c>
      <c r="B82" s="5" t="s">
        <v>19</v>
      </c>
      <c r="C82" s="4" t="s">
        <v>255</v>
      </c>
      <c r="D82" s="4">
        <v>10</v>
      </c>
      <c r="E82" s="4">
        <v>10</v>
      </c>
      <c r="F82" s="5">
        <f t="shared" si="2"/>
        <v>10</v>
      </c>
      <c r="G82" s="4" t="s">
        <v>256</v>
      </c>
      <c r="H82" s="4" t="s">
        <v>257</v>
      </c>
      <c r="I82" s="4">
        <v>25</v>
      </c>
      <c r="J82" s="4">
        <v>20</v>
      </c>
      <c r="K82" s="10">
        <f t="shared" si="1"/>
        <v>22.5</v>
      </c>
    </row>
    <row r="83" spans="1:11" ht="15" customHeight="1">
      <c r="A83" s="8">
        <v>82</v>
      </c>
      <c r="B83" s="9" t="s">
        <v>19</v>
      </c>
      <c r="C83" s="8" t="s">
        <v>258</v>
      </c>
      <c r="D83" s="8">
        <v>30</v>
      </c>
      <c r="E83" s="8">
        <v>32</v>
      </c>
      <c r="F83" s="9">
        <f t="shared" si="2"/>
        <v>31</v>
      </c>
      <c r="G83" s="8" t="s">
        <v>259</v>
      </c>
      <c r="H83" s="8" t="s">
        <v>260</v>
      </c>
      <c r="I83" s="8">
        <v>30</v>
      </c>
      <c r="J83" s="8">
        <v>25</v>
      </c>
      <c r="K83" s="10">
        <f t="shared" si="1"/>
        <v>27.5</v>
      </c>
    </row>
    <row r="84" spans="1:11" ht="15" customHeight="1">
      <c r="A84" s="4">
        <v>83</v>
      </c>
      <c r="B84" s="5" t="s">
        <v>19</v>
      </c>
      <c r="C84" s="5" t="s">
        <v>261</v>
      </c>
      <c r="D84" s="4">
        <v>0</v>
      </c>
      <c r="E84" s="4">
        <v>0</v>
      </c>
      <c r="F84" s="5">
        <f t="shared" si="2"/>
        <v>0</v>
      </c>
      <c r="G84" s="4" t="s">
        <v>262</v>
      </c>
      <c r="H84" s="4" t="s">
        <v>263</v>
      </c>
      <c r="I84" s="4">
        <v>0</v>
      </c>
      <c r="J84" s="4">
        <v>0</v>
      </c>
      <c r="K84" s="10">
        <f t="shared" si="1"/>
        <v>0</v>
      </c>
    </row>
    <row r="85" spans="1:11" ht="15" customHeight="1">
      <c r="A85" s="8">
        <v>84</v>
      </c>
      <c r="B85" s="9" t="s">
        <v>19</v>
      </c>
      <c r="C85" s="9" t="s">
        <v>264</v>
      </c>
      <c r="D85" s="8">
        <v>30</v>
      </c>
      <c r="E85" s="8">
        <v>35</v>
      </c>
      <c r="F85" s="9">
        <f t="shared" si="2"/>
        <v>32.5</v>
      </c>
      <c r="G85" s="8" t="s">
        <v>265</v>
      </c>
      <c r="H85" s="8" t="s">
        <v>266</v>
      </c>
      <c r="I85" s="8">
        <v>40</v>
      </c>
      <c r="J85" s="8">
        <v>40</v>
      </c>
      <c r="K85" s="10">
        <f t="shared" si="1"/>
        <v>40</v>
      </c>
    </row>
    <row r="86" spans="1:11" ht="15" customHeight="1">
      <c r="A86" s="4">
        <v>85</v>
      </c>
      <c r="B86" s="5" t="s">
        <v>19</v>
      </c>
      <c r="C86" s="5" t="s">
        <v>267</v>
      </c>
      <c r="D86" s="4">
        <v>40</v>
      </c>
      <c r="E86" s="4">
        <v>40</v>
      </c>
      <c r="F86" s="5">
        <f t="shared" si="2"/>
        <v>40</v>
      </c>
      <c r="G86" s="4" t="s">
        <v>268</v>
      </c>
      <c r="H86" s="4" t="s">
        <v>269</v>
      </c>
      <c r="I86" s="4">
        <v>30</v>
      </c>
      <c r="J86" s="4">
        <v>30</v>
      </c>
      <c r="K86" s="10">
        <f t="shared" si="1"/>
        <v>30</v>
      </c>
    </row>
    <row r="87" spans="1:11" ht="15" customHeight="1">
      <c r="A87" s="8">
        <v>86</v>
      </c>
      <c r="B87" s="8" t="s">
        <v>19</v>
      </c>
      <c r="C87" s="9" t="s">
        <v>270</v>
      </c>
      <c r="D87" s="8">
        <v>0.5</v>
      </c>
      <c r="E87" s="8">
        <v>0</v>
      </c>
      <c r="F87" s="9">
        <f t="shared" si="2"/>
        <v>0.25</v>
      </c>
      <c r="G87" s="8" t="s">
        <v>271</v>
      </c>
      <c r="H87" s="8" t="s">
        <v>272</v>
      </c>
      <c r="I87" s="8">
        <v>10</v>
      </c>
      <c r="J87" s="8">
        <v>0</v>
      </c>
      <c r="K87" s="10">
        <f t="shared" si="1"/>
        <v>5</v>
      </c>
    </row>
    <row r="88" spans="1:11" ht="15" customHeight="1">
      <c r="A88" s="4">
        <v>87</v>
      </c>
      <c r="B88" s="5" t="s">
        <v>19</v>
      </c>
      <c r="C88" s="5" t="s">
        <v>273</v>
      </c>
      <c r="D88" s="4">
        <v>40</v>
      </c>
      <c r="E88" s="4">
        <v>40</v>
      </c>
      <c r="F88" s="5">
        <f t="shared" si="2"/>
        <v>40</v>
      </c>
      <c r="G88" s="4" t="s">
        <v>274</v>
      </c>
      <c r="H88" s="4" t="s">
        <v>275</v>
      </c>
      <c r="I88" s="4">
        <v>40</v>
      </c>
      <c r="J88" s="4">
        <v>40</v>
      </c>
      <c r="K88" s="10">
        <f t="shared" si="1"/>
        <v>40</v>
      </c>
    </row>
    <row r="89" spans="1:11" ht="15" customHeight="1">
      <c r="A89" s="8">
        <v>88</v>
      </c>
      <c r="B89" s="8" t="s">
        <v>19</v>
      </c>
      <c r="C89" s="9" t="s">
        <v>276</v>
      </c>
      <c r="D89" s="8">
        <v>20</v>
      </c>
      <c r="E89" s="8">
        <v>30</v>
      </c>
      <c r="F89" s="9">
        <f t="shared" si="2"/>
        <v>25</v>
      </c>
      <c r="G89" s="8" t="s">
        <v>277</v>
      </c>
      <c r="H89" s="8" t="s">
        <v>278</v>
      </c>
      <c r="I89" s="8">
        <v>30</v>
      </c>
      <c r="J89" s="8">
        <v>40</v>
      </c>
      <c r="K89" s="10">
        <f t="shared" si="1"/>
        <v>35</v>
      </c>
    </row>
    <row r="90" spans="1:11" ht="15" customHeight="1">
      <c r="A90" s="4">
        <v>89</v>
      </c>
      <c r="B90" s="5" t="s">
        <v>19</v>
      </c>
      <c r="C90" s="5" t="s">
        <v>279</v>
      </c>
      <c r="D90" s="4">
        <v>0</v>
      </c>
      <c r="E90" s="4">
        <v>0</v>
      </c>
      <c r="F90" s="5">
        <f t="shared" si="2"/>
        <v>0</v>
      </c>
      <c r="G90" s="4" t="s">
        <v>280</v>
      </c>
      <c r="H90" s="5" t="s">
        <v>281</v>
      </c>
      <c r="I90" s="4">
        <v>30</v>
      </c>
      <c r="J90" s="4">
        <v>30</v>
      </c>
      <c r="K90" s="10">
        <f t="shared" si="1"/>
        <v>30</v>
      </c>
    </row>
    <row r="91" spans="1:11" ht="15" customHeight="1">
      <c r="A91" s="8">
        <v>90</v>
      </c>
      <c r="B91" s="9" t="s">
        <v>19</v>
      </c>
      <c r="C91" s="9" t="s">
        <v>282</v>
      </c>
      <c r="D91" s="8">
        <v>30</v>
      </c>
      <c r="E91" s="8">
        <v>30</v>
      </c>
      <c r="F91" s="9">
        <f t="shared" si="2"/>
        <v>30</v>
      </c>
      <c r="G91" s="8" t="s">
        <v>283</v>
      </c>
      <c r="H91" s="8" t="s">
        <v>284</v>
      </c>
      <c r="I91" s="8">
        <v>25</v>
      </c>
      <c r="J91" s="8">
        <v>20</v>
      </c>
      <c r="K91" s="10">
        <f t="shared" si="1"/>
        <v>22.5</v>
      </c>
    </row>
    <row r="92" spans="1:11" ht="15" customHeight="1">
      <c r="A92" s="4">
        <v>91</v>
      </c>
      <c r="B92" s="5" t="s">
        <v>19</v>
      </c>
      <c r="C92" s="5" t="s">
        <v>285</v>
      </c>
      <c r="D92" s="4">
        <v>40</v>
      </c>
      <c r="E92" s="4">
        <v>40</v>
      </c>
      <c r="F92" s="5">
        <f t="shared" si="2"/>
        <v>40</v>
      </c>
      <c r="G92" s="4" t="s">
        <v>286</v>
      </c>
      <c r="H92" s="4" t="s">
        <v>287</v>
      </c>
      <c r="I92" s="4">
        <v>25</v>
      </c>
      <c r="J92" s="4">
        <v>15</v>
      </c>
      <c r="K92" s="10">
        <f t="shared" si="1"/>
        <v>20</v>
      </c>
    </row>
    <row r="93" spans="1:11" ht="15" customHeight="1">
      <c r="A93" s="8">
        <v>92</v>
      </c>
      <c r="B93" s="9" t="s">
        <v>19</v>
      </c>
      <c r="C93" s="9" t="s">
        <v>288</v>
      </c>
      <c r="D93" s="8">
        <v>30</v>
      </c>
      <c r="E93" s="8">
        <v>30</v>
      </c>
      <c r="F93" s="9">
        <f t="shared" si="2"/>
        <v>30</v>
      </c>
      <c r="G93" s="8" t="s">
        <v>289</v>
      </c>
      <c r="H93" s="8" t="s">
        <v>290</v>
      </c>
      <c r="I93" s="8">
        <v>35</v>
      </c>
      <c r="J93" s="8">
        <v>30</v>
      </c>
      <c r="K93" s="10">
        <f t="shared" si="1"/>
        <v>32.5</v>
      </c>
    </row>
    <row r="94" spans="1:11" ht="15" customHeight="1">
      <c r="A94" s="4">
        <v>93</v>
      </c>
      <c r="B94" s="5" t="s">
        <v>19</v>
      </c>
      <c r="C94" s="5" t="s">
        <v>291</v>
      </c>
      <c r="D94" s="4">
        <v>10</v>
      </c>
      <c r="E94" s="4">
        <v>0</v>
      </c>
      <c r="F94" s="5">
        <f t="shared" si="2"/>
        <v>5</v>
      </c>
      <c r="G94" s="4" t="s">
        <v>292</v>
      </c>
      <c r="H94" s="4" t="s">
        <v>293</v>
      </c>
      <c r="I94" s="4">
        <v>10</v>
      </c>
      <c r="J94" s="4">
        <v>10</v>
      </c>
      <c r="K94" s="10">
        <f t="shared" si="1"/>
        <v>10</v>
      </c>
    </row>
    <row r="95" spans="1:11" ht="15" customHeight="1">
      <c r="A95" s="8">
        <v>94</v>
      </c>
      <c r="B95" s="9" t="s">
        <v>19</v>
      </c>
      <c r="C95" s="9" t="s">
        <v>294</v>
      </c>
      <c r="D95" s="8">
        <v>30</v>
      </c>
      <c r="E95" s="8">
        <v>30</v>
      </c>
      <c r="F95" s="9">
        <f t="shared" si="2"/>
        <v>30</v>
      </c>
      <c r="G95" s="8" t="s">
        <v>295</v>
      </c>
      <c r="H95" s="8" t="s">
        <v>296</v>
      </c>
      <c r="I95" s="8">
        <v>0</v>
      </c>
      <c r="J95" s="8">
        <v>0</v>
      </c>
      <c r="K95" s="10">
        <f t="shared" si="1"/>
        <v>0</v>
      </c>
    </row>
    <row r="96" spans="1:11" ht="15" customHeight="1">
      <c r="A96" s="4">
        <v>95</v>
      </c>
      <c r="B96" s="5" t="s">
        <v>19</v>
      </c>
      <c r="C96" s="4" t="s">
        <v>297</v>
      </c>
      <c r="D96" s="4">
        <v>12</v>
      </c>
      <c r="E96" s="4">
        <v>10</v>
      </c>
      <c r="F96" s="5">
        <f t="shared" si="2"/>
        <v>11</v>
      </c>
      <c r="G96" s="4" t="s">
        <v>298</v>
      </c>
      <c r="H96" s="4" t="s">
        <v>299</v>
      </c>
      <c r="I96" s="4">
        <v>20</v>
      </c>
      <c r="J96" s="4">
        <v>20</v>
      </c>
      <c r="K96" s="10">
        <f t="shared" si="1"/>
        <v>20</v>
      </c>
    </row>
    <row r="97" spans="1:11" ht="15" customHeight="1">
      <c r="A97" s="8">
        <v>96</v>
      </c>
      <c r="B97" s="9" t="s">
        <v>19</v>
      </c>
      <c r="C97" s="8" t="s">
        <v>300</v>
      </c>
      <c r="D97" s="8">
        <v>20</v>
      </c>
      <c r="E97" s="8">
        <v>20</v>
      </c>
      <c r="F97" s="9">
        <f t="shared" si="2"/>
        <v>20</v>
      </c>
      <c r="G97" s="8" t="s">
        <v>301</v>
      </c>
      <c r="H97" s="8" t="s">
        <v>302</v>
      </c>
      <c r="I97" s="8">
        <v>17</v>
      </c>
      <c r="J97" s="8">
        <v>10</v>
      </c>
      <c r="K97" s="10">
        <f t="shared" si="1"/>
        <v>13.5</v>
      </c>
    </row>
    <row r="98" spans="1:11" ht="15" customHeight="1">
      <c r="A98" s="4">
        <v>97</v>
      </c>
      <c r="B98" s="5" t="s">
        <v>19</v>
      </c>
      <c r="C98" s="5" t="s">
        <v>303</v>
      </c>
      <c r="D98" s="4">
        <v>10</v>
      </c>
      <c r="E98" s="4">
        <v>10</v>
      </c>
      <c r="F98" s="5">
        <f t="shared" si="2"/>
        <v>10</v>
      </c>
      <c r="G98" s="4" t="s">
        <v>304</v>
      </c>
      <c r="H98" s="4" t="s">
        <v>305</v>
      </c>
      <c r="I98" s="4">
        <v>25</v>
      </c>
      <c r="J98" s="4">
        <v>20</v>
      </c>
      <c r="K98" s="10">
        <f t="shared" si="1"/>
        <v>22.5</v>
      </c>
    </row>
    <row r="99" spans="1:11" ht="15" customHeight="1">
      <c r="A99" s="8">
        <v>98</v>
      </c>
      <c r="B99" s="9" t="s">
        <v>19</v>
      </c>
      <c r="C99" s="9" t="s">
        <v>306</v>
      </c>
      <c r="D99" s="8">
        <v>35</v>
      </c>
      <c r="E99" s="8">
        <v>40</v>
      </c>
      <c r="F99" s="9">
        <f t="shared" si="2"/>
        <v>37.5</v>
      </c>
      <c r="G99" s="8" t="s">
        <v>307</v>
      </c>
      <c r="H99" s="8" t="s">
        <v>308</v>
      </c>
      <c r="I99" s="8">
        <v>25</v>
      </c>
      <c r="J99" s="8">
        <v>20</v>
      </c>
      <c r="K99" s="10">
        <f t="shared" si="1"/>
        <v>22.5</v>
      </c>
    </row>
    <row r="100" spans="1:11" ht="15" customHeight="1">
      <c r="A100" s="4">
        <v>99</v>
      </c>
      <c r="B100" s="5" t="s">
        <v>19</v>
      </c>
      <c r="C100" s="5" t="s">
        <v>309</v>
      </c>
      <c r="D100" s="4">
        <v>30</v>
      </c>
      <c r="E100" s="4">
        <v>30</v>
      </c>
      <c r="F100" s="5">
        <f t="shared" si="2"/>
        <v>30</v>
      </c>
      <c r="G100" s="4" t="s">
        <v>310</v>
      </c>
      <c r="H100" s="4" t="s">
        <v>311</v>
      </c>
      <c r="I100" s="4">
        <v>0</v>
      </c>
      <c r="J100" s="4">
        <v>0</v>
      </c>
      <c r="K100" s="10">
        <f t="shared" si="1"/>
        <v>0</v>
      </c>
    </row>
    <row r="101" spans="1:11" ht="15" customHeight="1">
      <c r="A101" s="8">
        <v>100</v>
      </c>
      <c r="B101" s="8" t="s">
        <v>19</v>
      </c>
      <c r="C101" s="9" t="s">
        <v>312</v>
      </c>
      <c r="D101" s="8">
        <v>20</v>
      </c>
      <c r="E101" s="8">
        <v>20</v>
      </c>
      <c r="F101" s="9">
        <f t="shared" si="2"/>
        <v>20</v>
      </c>
      <c r="G101" s="8" t="s">
        <v>313</v>
      </c>
      <c r="H101" s="16" t="s">
        <v>314</v>
      </c>
      <c r="I101" s="8">
        <v>0</v>
      </c>
      <c r="J101" s="8">
        <v>0</v>
      </c>
      <c r="K101" s="10">
        <f t="shared" si="1"/>
        <v>0</v>
      </c>
    </row>
    <row r="102" spans="1:11" ht="15" customHeight="1">
      <c r="A102" s="4">
        <v>101</v>
      </c>
      <c r="B102" s="5" t="s">
        <v>19</v>
      </c>
      <c r="C102" s="5" t="s">
        <v>315</v>
      </c>
      <c r="D102" s="4">
        <v>10</v>
      </c>
      <c r="E102" s="4">
        <v>7</v>
      </c>
      <c r="F102" s="5">
        <f t="shared" si="2"/>
        <v>8.5</v>
      </c>
      <c r="G102" s="4" t="s">
        <v>316</v>
      </c>
      <c r="H102" s="4" t="s">
        <v>317</v>
      </c>
      <c r="I102" s="4">
        <v>0</v>
      </c>
      <c r="J102" s="4">
        <v>0</v>
      </c>
      <c r="K102" s="10">
        <f t="shared" si="1"/>
        <v>0</v>
      </c>
    </row>
    <row r="103" spans="1:11" ht="15" customHeight="1">
      <c r="A103" s="8">
        <v>102</v>
      </c>
      <c r="B103" s="9" t="s">
        <v>19</v>
      </c>
      <c r="C103" s="8" t="s">
        <v>318</v>
      </c>
      <c r="D103" s="8">
        <v>20</v>
      </c>
      <c r="E103" s="8">
        <v>20</v>
      </c>
      <c r="F103" s="9">
        <f t="shared" si="2"/>
        <v>20</v>
      </c>
      <c r="G103" s="8" t="s">
        <v>319</v>
      </c>
      <c r="H103" s="8" t="s">
        <v>320</v>
      </c>
      <c r="I103" s="8">
        <v>0</v>
      </c>
      <c r="J103" s="8">
        <v>0</v>
      </c>
      <c r="K103" s="10">
        <f t="shared" si="1"/>
        <v>0</v>
      </c>
    </row>
    <row r="104" spans="1:11" ht="15" customHeight="1">
      <c r="A104" s="4">
        <v>103</v>
      </c>
      <c r="B104" s="5" t="s">
        <v>19</v>
      </c>
      <c r="C104" s="5" t="s">
        <v>321</v>
      </c>
      <c r="D104" s="4">
        <v>30</v>
      </c>
      <c r="E104" s="4">
        <v>40</v>
      </c>
      <c r="F104" s="5">
        <f t="shared" si="2"/>
        <v>35</v>
      </c>
      <c r="G104" s="4" t="s">
        <v>322</v>
      </c>
      <c r="H104" s="4" t="s">
        <v>323</v>
      </c>
      <c r="I104" s="4">
        <v>0</v>
      </c>
      <c r="J104" s="4">
        <v>0</v>
      </c>
      <c r="K104" s="10">
        <f t="shared" si="1"/>
        <v>0</v>
      </c>
    </row>
    <row r="105" spans="1:11" ht="15" customHeight="1">
      <c r="A105" s="8">
        <v>104</v>
      </c>
      <c r="B105" s="9" t="s">
        <v>19</v>
      </c>
      <c r="C105" s="9" t="s">
        <v>324</v>
      </c>
      <c r="D105" s="8">
        <v>40</v>
      </c>
      <c r="E105" s="8">
        <v>40</v>
      </c>
      <c r="F105" s="9">
        <f t="shared" si="2"/>
        <v>40</v>
      </c>
      <c r="G105" s="8" t="s">
        <v>325</v>
      </c>
      <c r="H105" s="8" t="s">
        <v>326</v>
      </c>
      <c r="I105" s="8">
        <v>40</v>
      </c>
      <c r="J105" s="8">
        <v>40</v>
      </c>
      <c r="K105" s="10">
        <f t="shared" si="1"/>
        <v>40</v>
      </c>
    </row>
    <row r="106" spans="1:11" ht="15" customHeight="1">
      <c r="A106" s="4">
        <v>105</v>
      </c>
      <c r="B106" s="5" t="s">
        <v>19</v>
      </c>
      <c r="C106" s="4" t="s">
        <v>327</v>
      </c>
      <c r="D106" s="4">
        <v>25</v>
      </c>
      <c r="E106" s="4">
        <v>27</v>
      </c>
      <c r="F106" s="5">
        <f t="shared" si="2"/>
        <v>26</v>
      </c>
      <c r="G106" s="4" t="s">
        <v>328</v>
      </c>
      <c r="H106" s="4" t="s">
        <v>329</v>
      </c>
      <c r="I106" s="4">
        <v>25</v>
      </c>
      <c r="J106" s="4">
        <v>30</v>
      </c>
      <c r="K106" s="10">
        <f t="shared" si="1"/>
        <v>27.5</v>
      </c>
    </row>
    <row r="107" spans="1:11" ht="15" customHeight="1">
      <c r="A107" s="8">
        <v>106</v>
      </c>
      <c r="B107" s="9" t="s">
        <v>19</v>
      </c>
      <c r="C107" s="9" t="s">
        <v>330</v>
      </c>
      <c r="D107" s="8">
        <v>40</v>
      </c>
      <c r="E107" s="8">
        <v>35</v>
      </c>
      <c r="F107" s="9">
        <f t="shared" si="2"/>
        <v>37.5</v>
      </c>
      <c r="G107" s="8" t="s">
        <v>331</v>
      </c>
      <c r="H107" s="8" t="s">
        <v>332</v>
      </c>
      <c r="I107" s="8">
        <v>10</v>
      </c>
      <c r="J107" s="8">
        <v>15</v>
      </c>
      <c r="K107" s="10">
        <f t="shared" si="1"/>
        <v>12.5</v>
      </c>
    </row>
    <row r="108" spans="1:11" ht="15" customHeight="1">
      <c r="A108" s="4">
        <v>107</v>
      </c>
      <c r="B108" s="5" t="s">
        <v>19</v>
      </c>
      <c r="C108" s="5" t="s">
        <v>333</v>
      </c>
      <c r="D108" s="4">
        <v>10</v>
      </c>
      <c r="E108" s="4">
        <v>25</v>
      </c>
      <c r="F108" s="5">
        <f t="shared" si="2"/>
        <v>17.5</v>
      </c>
      <c r="G108" s="4" t="s">
        <v>334</v>
      </c>
      <c r="H108" s="4" t="s">
        <v>335</v>
      </c>
      <c r="I108" s="4">
        <v>10</v>
      </c>
      <c r="J108" s="4">
        <v>5</v>
      </c>
      <c r="K108" s="10">
        <f t="shared" si="1"/>
        <v>7.5</v>
      </c>
    </row>
    <row r="109" spans="1:11" ht="15" customHeight="1">
      <c r="A109" s="8">
        <v>108</v>
      </c>
      <c r="B109" s="9" t="s">
        <v>19</v>
      </c>
      <c r="C109" s="8" t="s">
        <v>336</v>
      </c>
      <c r="D109" s="8">
        <v>25</v>
      </c>
      <c r="E109" s="8">
        <v>25</v>
      </c>
      <c r="F109" s="9">
        <f t="shared" si="2"/>
        <v>25</v>
      </c>
      <c r="G109" s="8" t="s">
        <v>337</v>
      </c>
      <c r="H109" s="8" t="s">
        <v>338</v>
      </c>
      <c r="I109" s="8">
        <v>40</v>
      </c>
      <c r="J109" s="8">
        <v>35</v>
      </c>
      <c r="K109" s="10">
        <f t="shared" si="1"/>
        <v>37.5</v>
      </c>
    </row>
    <row r="110" spans="1:11" ht="15" customHeight="1">
      <c r="A110" s="4">
        <v>109</v>
      </c>
      <c r="B110" s="5" t="s">
        <v>19</v>
      </c>
      <c r="C110" s="5" t="s">
        <v>339</v>
      </c>
      <c r="D110" s="4">
        <v>35</v>
      </c>
      <c r="E110" s="4">
        <v>35</v>
      </c>
      <c r="F110" s="5">
        <f t="shared" si="2"/>
        <v>35</v>
      </c>
      <c r="G110" s="4" t="s">
        <v>340</v>
      </c>
      <c r="H110" s="4" t="s">
        <v>341</v>
      </c>
      <c r="I110" s="5">
        <v>30</v>
      </c>
      <c r="J110" s="4">
        <v>35</v>
      </c>
      <c r="K110" s="10">
        <f t="shared" si="1"/>
        <v>32.5</v>
      </c>
    </row>
    <row r="111" spans="1:11" ht="15" customHeight="1">
      <c r="A111" s="8">
        <v>110</v>
      </c>
      <c r="B111" s="9" t="s">
        <v>19</v>
      </c>
      <c r="C111" s="9" t="s">
        <v>342</v>
      </c>
      <c r="D111" s="8">
        <v>30</v>
      </c>
      <c r="E111" s="8">
        <v>35</v>
      </c>
      <c r="F111" s="9">
        <f t="shared" si="2"/>
        <v>32.5</v>
      </c>
      <c r="G111" s="8" t="s">
        <v>343</v>
      </c>
      <c r="H111" s="8" t="s">
        <v>344</v>
      </c>
      <c r="I111" s="8">
        <v>20</v>
      </c>
      <c r="J111" s="8">
        <v>15</v>
      </c>
      <c r="K111" s="10">
        <f t="shared" si="1"/>
        <v>17.5</v>
      </c>
    </row>
    <row r="112" spans="1:11" ht="15" customHeight="1">
      <c r="A112" s="4">
        <v>111</v>
      </c>
      <c r="B112" s="5" t="s">
        <v>19</v>
      </c>
      <c r="C112" s="5" t="s">
        <v>345</v>
      </c>
      <c r="D112" s="4">
        <v>10</v>
      </c>
      <c r="E112" s="4">
        <v>5</v>
      </c>
      <c r="F112" s="5">
        <f t="shared" si="2"/>
        <v>7.5</v>
      </c>
      <c r="G112" s="4" t="s">
        <v>346</v>
      </c>
      <c r="H112" s="4" t="s">
        <v>347</v>
      </c>
      <c r="I112" s="4">
        <v>15</v>
      </c>
      <c r="J112" s="4">
        <v>10</v>
      </c>
      <c r="K112" s="10">
        <f t="shared" si="1"/>
        <v>12.5</v>
      </c>
    </row>
    <row r="113" spans="1:11" ht="15" customHeight="1">
      <c r="A113" s="8">
        <v>112</v>
      </c>
      <c r="B113" s="9" t="s">
        <v>19</v>
      </c>
      <c r="C113" s="8" t="s">
        <v>348</v>
      </c>
      <c r="D113" s="8">
        <v>12</v>
      </c>
      <c r="E113" s="8">
        <v>10</v>
      </c>
      <c r="F113" s="9">
        <f t="shared" si="2"/>
        <v>11</v>
      </c>
      <c r="G113" s="8" t="s">
        <v>349</v>
      </c>
      <c r="H113" s="8" t="s">
        <v>350</v>
      </c>
      <c r="I113" s="8">
        <v>25</v>
      </c>
      <c r="J113" s="8">
        <v>30</v>
      </c>
      <c r="K113" s="10">
        <f t="shared" si="1"/>
        <v>27.5</v>
      </c>
    </row>
    <row r="114" spans="1:11" ht="15" customHeight="1">
      <c r="A114" s="4">
        <v>113</v>
      </c>
      <c r="B114" s="5" t="s">
        <v>19</v>
      </c>
      <c r="C114" s="4" t="s">
        <v>351</v>
      </c>
      <c r="D114" s="4">
        <v>25</v>
      </c>
      <c r="E114" s="4">
        <v>20</v>
      </c>
      <c r="F114" s="5">
        <f t="shared" si="2"/>
        <v>22.5</v>
      </c>
      <c r="G114" s="4" t="s">
        <v>352</v>
      </c>
      <c r="H114" s="4" t="s">
        <v>353</v>
      </c>
      <c r="I114" s="4">
        <v>5</v>
      </c>
      <c r="J114" s="4">
        <v>10</v>
      </c>
      <c r="K114" s="10">
        <f t="shared" si="1"/>
        <v>7.5</v>
      </c>
    </row>
    <row r="115" spans="1:11" ht="15" customHeight="1">
      <c r="A115" s="8">
        <v>114</v>
      </c>
      <c r="B115" s="9" t="s">
        <v>19</v>
      </c>
      <c r="C115" s="9" t="s">
        <v>354</v>
      </c>
      <c r="D115" s="8">
        <v>10</v>
      </c>
      <c r="E115" s="8">
        <v>20</v>
      </c>
      <c r="F115" s="9">
        <f t="shared" si="2"/>
        <v>15</v>
      </c>
      <c r="G115" s="8" t="s">
        <v>355</v>
      </c>
      <c r="H115" s="8" t="s">
        <v>356</v>
      </c>
      <c r="I115" s="8">
        <v>10</v>
      </c>
      <c r="J115" s="8">
        <v>10</v>
      </c>
      <c r="K115" s="10">
        <f t="shared" si="1"/>
        <v>10</v>
      </c>
    </row>
    <row r="116" spans="1:11" ht="15" customHeight="1">
      <c r="A116" s="4">
        <v>115</v>
      </c>
      <c r="B116" s="5" t="s">
        <v>19</v>
      </c>
      <c r="C116" s="5" t="s">
        <v>357</v>
      </c>
      <c r="D116" s="4">
        <v>30</v>
      </c>
      <c r="E116" s="4">
        <v>35</v>
      </c>
      <c r="F116" s="5">
        <f t="shared" si="2"/>
        <v>32.5</v>
      </c>
      <c r="G116" s="4" t="s">
        <v>358</v>
      </c>
      <c r="H116" s="17" t="s">
        <v>359</v>
      </c>
      <c r="I116" s="4">
        <v>40</v>
      </c>
      <c r="J116" s="4">
        <v>40</v>
      </c>
      <c r="K116" s="10">
        <f t="shared" si="1"/>
        <v>40</v>
      </c>
    </row>
    <row r="117" spans="1:11" ht="15" customHeight="1">
      <c r="A117" s="8">
        <v>116</v>
      </c>
      <c r="B117" s="9" t="s">
        <v>19</v>
      </c>
      <c r="C117" s="9" t="s">
        <v>360</v>
      </c>
      <c r="D117" s="8">
        <v>20</v>
      </c>
      <c r="E117" s="8">
        <v>20</v>
      </c>
      <c r="F117" s="9">
        <f t="shared" si="2"/>
        <v>20</v>
      </c>
      <c r="G117" s="8" t="s">
        <v>361</v>
      </c>
      <c r="H117" s="8" t="s">
        <v>362</v>
      </c>
      <c r="I117" s="8">
        <v>40</v>
      </c>
      <c r="J117" s="8">
        <v>35</v>
      </c>
      <c r="K117" s="10">
        <f t="shared" si="1"/>
        <v>37.5</v>
      </c>
    </row>
    <row r="118" spans="1:11" ht="15" customHeight="1">
      <c r="A118" s="4">
        <v>117</v>
      </c>
      <c r="B118" s="5" t="s">
        <v>19</v>
      </c>
      <c r="C118" s="5" t="s">
        <v>363</v>
      </c>
      <c r="D118" s="4">
        <v>10</v>
      </c>
      <c r="E118" s="4">
        <v>10</v>
      </c>
      <c r="F118" s="5">
        <f t="shared" si="2"/>
        <v>10</v>
      </c>
      <c r="G118" s="4" t="s">
        <v>364</v>
      </c>
      <c r="H118" s="4" t="s">
        <v>365</v>
      </c>
      <c r="I118" s="4">
        <v>25</v>
      </c>
      <c r="J118" s="4">
        <v>20</v>
      </c>
      <c r="K118" s="10">
        <f t="shared" si="1"/>
        <v>22.5</v>
      </c>
    </row>
    <row r="119" spans="1:11" ht="15" customHeight="1">
      <c r="A119" s="8">
        <v>118</v>
      </c>
      <c r="B119" s="9" t="s">
        <v>19</v>
      </c>
      <c r="C119" s="9" t="s">
        <v>366</v>
      </c>
      <c r="D119" s="8">
        <v>40</v>
      </c>
      <c r="E119" s="8">
        <v>40</v>
      </c>
      <c r="F119" s="9">
        <f t="shared" si="2"/>
        <v>40</v>
      </c>
      <c r="G119" s="8" t="s">
        <v>367</v>
      </c>
      <c r="H119" s="8" t="s">
        <v>368</v>
      </c>
      <c r="I119" s="8">
        <v>40</v>
      </c>
      <c r="J119" s="8">
        <v>35</v>
      </c>
      <c r="K119" s="10">
        <f t="shared" si="1"/>
        <v>37.5</v>
      </c>
    </row>
    <row r="120" spans="1:11" ht="15" customHeight="1">
      <c r="A120" s="4">
        <v>119</v>
      </c>
      <c r="B120" s="4" t="s">
        <v>19</v>
      </c>
      <c r="C120" s="4" t="s">
        <v>369</v>
      </c>
      <c r="D120" s="4">
        <v>20</v>
      </c>
      <c r="E120" s="4">
        <v>20</v>
      </c>
      <c r="F120" s="5">
        <f t="shared" si="2"/>
        <v>20</v>
      </c>
      <c r="G120" s="4" t="s">
        <v>370</v>
      </c>
      <c r="H120" s="4" t="s">
        <v>371</v>
      </c>
      <c r="I120" s="4">
        <v>40</v>
      </c>
      <c r="J120" s="4">
        <v>35</v>
      </c>
      <c r="K120" s="10">
        <f t="shared" si="1"/>
        <v>37.5</v>
      </c>
    </row>
    <row r="121" spans="1:11" ht="15" customHeight="1">
      <c r="A121" s="8">
        <v>120</v>
      </c>
      <c r="B121" s="9" t="s">
        <v>19</v>
      </c>
      <c r="C121" s="8" t="s">
        <v>372</v>
      </c>
      <c r="D121" s="8">
        <v>20</v>
      </c>
      <c r="E121" s="8">
        <v>22</v>
      </c>
      <c r="F121" s="9">
        <f t="shared" si="2"/>
        <v>21</v>
      </c>
      <c r="G121" s="8" t="s">
        <v>373</v>
      </c>
      <c r="H121" s="8" t="s">
        <v>374</v>
      </c>
      <c r="I121" s="8">
        <v>20</v>
      </c>
      <c r="J121" s="8">
        <v>20</v>
      </c>
      <c r="K121" s="10">
        <f t="shared" si="1"/>
        <v>20</v>
      </c>
    </row>
    <row r="122" spans="1:11" ht="15" customHeight="1">
      <c r="A122" s="4">
        <v>121</v>
      </c>
      <c r="B122" s="5" t="s">
        <v>19</v>
      </c>
      <c r="C122" s="5" t="s">
        <v>375</v>
      </c>
      <c r="D122" s="4">
        <v>20</v>
      </c>
      <c r="E122" s="4">
        <v>20</v>
      </c>
      <c r="F122" s="5">
        <f t="shared" si="2"/>
        <v>20</v>
      </c>
      <c r="G122" s="4" t="s">
        <v>376</v>
      </c>
      <c r="H122" s="4" t="s">
        <v>377</v>
      </c>
      <c r="I122" s="4">
        <v>15</v>
      </c>
      <c r="J122" s="4">
        <v>10</v>
      </c>
      <c r="K122" s="10">
        <f t="shared" si="1"/>
        <v>12.5</v>
      </c>
    </row>
    <row r="123" spans="1:11" ht="15" customHeight="1">
      <c r="A123" s="8">
        <v>122</v>
      </c>
      <c r="B123" s="9" t="s">
        <v>19</v>
      </c>
      <c r="C123" s="9" t="s">
        <v>378</v>
      </c>
      <c r="D123" s="8">
        <v>25</v>
      </c>
      <c r="E123" s="8">
        <v>40</v>
      </c>
      <c r="F123" s="9">
        <f t="shared" si="2"/>
        <v>32.5</v>
      </c>
      <c r="G123" s="8" t="s">
        <v>379</v>
      </c>
      <c r="H123" s="8" t="s">
        <v>380</v>
      </c>
      <c r="I123" s="8">
        <v>35</v>
      </c>
      <c r="J123" s="8">
        <v>20</v>
      </c>
      <c r="K123" s="10">
        <f t="shared" si="1"/>
        <v>27.5</v>
      </c>
    </row>
    <row r="124" spans="1:11" ht="15" customHeight="1">
      <c r="A124" s="4">
        <v>123</v>
      </c>
      <c r="B124" s="5" t="s">
        <v>19</v>
      </c>
      <c r="C124" s="5" t="s">
        <v>381</v>
      </c>
      <c r="D124" s="4">
        <v>40</v>
      </c>
      <c r="E124" s="4">
        <v>40</v>
      </c>
      <c r="F124" s="5">
        <f t="shared" si="2"/>
        <v>40</v>
      </c>
      <c r="G124" s="4" t="s">
        <v>382</v>
      </c>
      <c r="H124" s="4" t="s">
        <v>383</v>
      </c>
      <c r="I124" s="4">
        <v>30</v>
      </c>
      <c r="J124" s="4">
        <v>30</v>
      </c>
      <c r="K124" s="10">
        <f t="shared" si="1"/>
        <v>30</v>
      </c>
    </row>
    <row r="125" spans="1:11" ht="15" customHeight="1">
      <c r="A125" s="8">
        <v>124</v>
      </c>
      <c r="B125" s="9" t="s">
        <v>19</v>
      </c>
      <c r="C125" s="8" t="s">
        <v>384</v>
      </c>
      <c r="D125" s="8">
        <v>40</v>
      </c>
      <c r="E125" s="8">
        <v>40</v>
      </c>
      <c r="F125" s="9">
        <f t="shared" si="2"/>
        <v>40</v>
      </c>
      <c r="G125" s="8" t="s">
        <v>385</v>
      </c>
      <c r="H125" s="15" t="s">
        <v>386</v>
      </c>
      <c r="I125" s="8">
        <v>20</v>
      </c>
      <c r="J125" s="8">
        <v>20</v>
      </c>
      <c r="K125" s="10">
        <f t="shared" si="1"/>
        <v>20</v>
      </c>
    </row>
    <row r="126" spans="1:11" ht="15" customHeight="1">
      <c r="A126" s="4">
        <v>125</v>
      </c>
      <c r="B126" s="5" t="s">
        <v>19</v>
      </c>
      <c r="C126" s="5" t="s">
        <v>387</v>
      </c>
      <c r="D126" s="4">
        <v>10</v>
      </c>
      <c r="E126" s="4">
        <v>0</v>
      </c>
      <c r="F126" s="5">
        <f t="shared" si="2"/>
        <v>5</v>
      </c>
      <c r="G126" s="4" t="s">
        <v>388</v>
      </c>
      <c r="H126" s="4" t="s">
        <v>389</v>
      </c>
      <c r="I126" s="4">
        <v>0</v>
      </c>
      <c r="J126" s="4">
        <v>0</v>
      </c>
      <c r="K126" s="10">
        <f t="shared" si="1"/>
        <v>0</v>
      </c>
    </row>
    <row r="127" spans="1:11" ht="15" customHeight="1">
      <c r="A127" s="8">
        <v>126</v>
      </c>
      <c r="B127" s="9" t="s">
        <v>19</v>
      </c>
      <c r="C127" s="9" t="s">
        <v>390</v>
      </c>
      <c r="D127" s="8">
        <v>20</v>
      </c>
      <c r="E127" s="8">
        <v>30</v>
      </c>
      <c r="F127" s="9">
        <f t="shared" si="2"/>
        <v>25</v>
      </c>
      <c r="G127" s="8" t="s">
        <v>391</v>
      </c>
      <c r="H127" s="8" t="s">
        <v>392</v>
      </c>
      <c r="I127" s="8">
        <v>0</v>
      </c>
      <c r="J127" s="8">
        <v>0</v>
      </c>
      <c r="K127" s="10">
        <f t="shared" si="1"/>
        <v>0</v>
      </c>
    </row>
    <row r="128" spans="1:11" ht="15" customHeight="1">
      <c r="A128" s="4">
        <v>127</v>
      </c>
      <c r="B128" s="5" t="s">
        <v>19</v>
      </c>
      <c r="C128" s="5" t="s">
        <v>393</v>
      </c>
      <c r="D128" s="4">
        <v>10</v>
      </c>
      <c r="E128" s="4">
        <v>10</v>
      </c>
      <c r="F128" s="5">
        <f t="shared" si="2"/>
        <v>10</v>
      </c>
      <c r="G128" s="4" t="s">
        <v>394</v>
      </c>
      <c r="H128" s="4" t="s">
        <v>395</v>
      </c>
      <c r="I128" s="4">
        <v>0</v>
      </c>
      <c r="J128" s="4">
        <v>0</v>
      </c>
      <c r="K128" s="10">
        <f t="shared" si="1"/>
        <v>0</v>
      </c>
    </row>
    <row r="129" spans="1:11" ht="15" customHeight="1">
      <c r="A129" s="8">
        <v>128</v>
      </c>
      <c r="B129" s="9" t="s">
        <v>19</v>
      </c>
      <c r="C129" s="9" t="s">
        <v>396</v>
      </c>
      <c r="D129" s="8">
        <v>0</v>
      </c>
      <c r="E129" s="8">
        <v>0</v>
      </c>
      <c r="F129" s="9">
        <f t="shared" si="2"/>
        <v>0</v>
      </c>
      <c r="G129" s="8" t="s">
        <v>397</v>
      </c>
      <c r="H129" s="8" t="s">
        <v>398</v>
      </c>
      <c r="I129" s="8">
        <v>10</v>
      </c>
      <c r="J129" s="8">
        <v>5</v>
      </c>
      <c r="K129" s="10">
        <f t="shared" si="1"/>
        <v>7.5</v>
      </c>
    </row>
    <row r="130" spans="1:11" ht="15" customHeight="1">
      <c r="A130" s="4">
        <v>129</v>
      </c>
      <c r="B130" s="5" t="s">
        <v>19</v>
      </c>
      <c r="C130" s="4" t="s">
        <v>399</v>
      </c>
      <c r="D130" s="4">
        <v>25</v>
      </c>
      <c r="E130" s="4">
        <v>25</v>
      </c>
      <c r="F130" s="5">
        <f t="shared" si="2"/>
        <v>25</v>
      </c>
      <c r="G130" s="4" t="s">
        <v>400</v>
      </c>
      <c r="H130" s="4" t="s">
        <v>401</v>
      </c>
      <c r="I130" s="4">
        <v>35</v>
      </c>
      <c r="J130" s="4">
        <v>40</v>
      </c>
      <c r="K130" s="10">
        <f t="shared" si="1"/>
        <v>37.5</v>
      </c>
    </row>
    <row r="131" spans="1:11" ht="15" customHeight="1">
      <c r="A131" s="8">
        <v>130</v>
      </c>
      <c r="B131" s="9" t="s">
        <v>19</v>
      </c>
      <c r="C131" s="8" t="s">
        <v>402</v>
      </c>
      <c r="D131" s="8">
        <v>10</v>
      </c>
      <c r="E131" s="8">
        <v>10</v>
      </c>
      <c r="F131" s="9">
        <f t="shared" si="2"/>
        <v>10</v>
      </c>
      <c r="G131" s="8" t="s">
        <v>403</v>
      </c>
      <c r="H131" s="8" t="s">
        <v>404</v>
      </c>
      <c r="I131" s="8">
        <v>32</v>
      </c>
      <c r="J131" s="8">
        <v>35</v>
      </c>
      <c r="K131" s="10">
        <f t="shared" si="1"/>
        <v>33.5</v>
      </c>
    </row>
    <row r="132" spans="1:11" ht="15" customHeight="1">
      <c r="A132" s="4">
        <v>131</v>
      </c>
      <c r="B132" s="5" t="s">
        <v>19</v>
      </c>
      <c r="C132" s="5" t="s">
        <v>405</v>
      </c>
      <c r="D132" s="4">
        <v>40</v>
      </c>
      <c r="E132" s="4">
        <v>40</v>
      </c>
      <c r="F132" s="5">
        <f t="shared" si="2"/>
        <v>40</v>
      </c>
      <c r="G132" s="4" t="s">
        <v>406</v>
      </c>
      <c r="H132" s="4" t="s">
        <v>407</v>
      </c>
      <c r="I132" s="4">
        <v>25</v>
      </c>
      <c r="J132" s="4">
        <v>25</v>
      </c>
      <c r="K132" s="10">
        <f t="shared" si="1"/>
        <v>25</v>
      </c>
    </row>
    <row r="133" spans="1:11" ht="15" customHeight="1">
      <c r="A133" s="8">
        <v>132</v>
      </c>
      <c r="B133" s="9" t="s">
        <v>19</v>
      </c>
      <c r="C133" s="9" t="s">
        <v>408</v>
      </c>
      <c r="D133" s="8">
        <v>0</v>
      </c>
      <c r="E133" s="8">
        <v>0</v>
      </c>
      <c r="F133" s="9">
        <f t="shared" si="2"/>
        <v>0</v>
      </c>
      <c r="G133" s="8" t="s">
        <v>409</v>
      </c>
      <c r="H133" s="8" t="s">
        <v>410</v>
      </c>
      <c r="I133" s="8">
        <v>0</v>
      </c>
      <c r="J133" s="8">
        <v>5</v>
      </c>
      <c r="K133" s="10">
        <f t="shared" si="1"/>
        <v>2.5</v>
      </c>
    </row>
    <row r="134" spans="1:11" ht="15" customHeight="1">
      <c r="A134" s="4">
        <v>133</v>
      </c>
      <c r="B134" s="5" t="s">
        <v>19</v>
      </c>
      <c r="C134" s="5" t="s">
        <v>411</v>
      </c>
      <c r="D134" s="4">
        <v>20</v>
      </c>
      <c r="E134" s="4">
        <v>10</v>
      </c>
      <c r="F134" s="5">
        <f t="shared" si="2"/>
        <v>15</v>
      </c>
      <c r="G134" s="4" t="s">
        <v>412</v>
      </c>
      <c r="H134" s="4" t="s">
        <v>413</v>
      </c>
      <c r="I134" s="4">
        <v>0</v>
      </c>
      <c r="J134" s="4">
        <v>0</v>
      </c>
      <c r="K134" s="10">
        <f t="shared" si="1"/>
        <v>0</v>
      </c>
    </row>
    <row r="135" spans="1:11" ht="15" customHeight="1">
      <c r="A135" s="8">
        <v>134</v>
      </c>
      <c r="B135" s="9" t="s">
        <v>19</v>
      </c>
      <c r="C135" s="9" t="s">
        <v>414</v>
      </c>
      <c r="D135" s="8">
        <v>10</v>
      </c>
      <c r="E135" s="8">
        <v>10</v>
      </c>
      <c r="F135" s="8">
        <v>10</v>
      </c>
      <c r="G135" s="8" t="s">
        <v>415</v>
      </c>
      <c r="H135" s="8" t="s">
        <v>416</v>
      </c>
      <c r="I135" s="8">
        <v>20</v>
      </c>
      <c r="J135" s="8">
        <v>20</v>
      </c>
      <c r="K135" s="10">
        <f t="shared" si="1"/>
        <v>20</v>
      </c>
    </row>
    <row r="136" spans="1:11" ht="15.75" customHeight="1">
      <c r="A136" s="18"/>
      <c r="B136" s="18"/>
      <c r="C136" s="19"/>
      <c r="D136" s="18"/>
      <c r="E136" s="18"/>
      <c r="F136" s="18"/>
      <c r="G136" s="18"/>
      <c r="H136" s="18"/>
      <c r="I136" s="18"/>
      <c r="J136" s="18"/>
      <c r="K136" s="18"/>
    </row>
    <row r="137" spans="1:11" ht="15.75" customHeight="1">
      <c r="A137" s="18"/>
      <c r="B137" s="18"/>
      <c r="C137" s="19"/>
      <c r="D137" s="18"/>
      <c r="E137" s="18"/>
      <c r="F137" s="18"/>
      <c r="G137" s="18"/>
      <c r="H137" s="18"/>
      <c r="I137" s="18"/>
      <c r="J137" s="18"/>
      <c r="K137" s="18"/>
    </row>
    <row r="138" spans="1:11" ht="15.75" customHeight="1">
      <c r="A138" s="18"/>
      <c r="B138" s="18"/>
      <c r="C138" s="19"/>
      <c r="D138" s="18"/>
      <c r="E138" s="18"/>
      <c r="F138" s="18"/>
      <c r="G138" s="18"/>
      <c r="H138" s="18"/>
      <c r="I138" s="18"/>
      <c r="J138" s="18"/>
      <c r="K138" s="18"/>
    </row>
    <row r="139" spans="1:11" ht="15.75" customHeight="1">
      <c r="A139" s="18"/>
      <c r="B139" s="18"/>
      <c r="C139" s="19"/>
      <c r="D139" s="18"/>
      <c r="E139" s="18"/>
      <c r="F139" s="18"/>
      <c r="G139" s="18"/>
      <c r="H139" s="18"/>
      <c r="I139" s="18"/>
      <c r="J139" s="18"/>
      <c r="K139" s="18"/>
    </row>
    <row r="140" spans="1:11" ht="15.75" customHeight="1">
      <c r="A140" s="18"/>
      <c r="B140" s="18"/>
      <c r="C140" s="19"/>
      <c r="D140" s="18"/>
      <c r="E140" s="18"/>
      <c r="F140" s="18"/>
      <c r="G140" s="18"/>
      <c r="H140" s="18"/>
      <c r="I140" s="18"/>
      <c r="J140" s="18"/>
      <c r="K140" s="18"/>
    </row>
    <row r="141" spans="1:11" ht="15.75" customHeight="1">
      <c r="A141" s="18"/>
      <c r="B141" s="18"/>
      <c r="C141" s="19"/>
      <c r="D141" s="18"/>
      <c r="E141" s="18"/>
      <c r="F141" s="18"/>
      <c r="G141" s="18"/>
      <c r="H141" s="18"/>
      <c r="I141" s="18"/>
      <c r="J141" s="18"/>
      <c r="K141" s="18"/>
    </row>
    <row r="142" spans="1:11" ht="15.75" customHeight="1">
      <c r="A142" s="18"/>
      <c r="B142" s="18"/>
      <c r="C142" s="19"/>
      <c r="D142" s="18"/>
      <c r="E142" s="18"/>
      <c r="F142" s="18"/>
      <c r="G142" s="18"/>
      <c r="H142" s="18"/>
      <c r="I142" s="18"/>
      <c r="J142" s="18"/>
      <c r="K142" s="18"/>
    </row>
    <row r="143" spans="1:11" ht="15.75" customHeight="1">
      <c r="A143" s="18"/>
      <c r="B143" s="18"/>
      <c r="C143" s="19"/>
      <c r="D143" s="18"/>
      <c r="E143" s="18"/>
      <c r="F143" s="18"/>
      <c r="G143" s="18"/>
      <c r="H143" s="18"/>
      <c r="I143" s="18"/>
      <c r="J143" s="18"/>
      <c r="K143" s="18"/>
    </row>
    <row r="144" spans="1:11" ht="15.75" customHeight="1">
      <c r="A144" s="18"/>
      <c r="B144" s="18"/>
      <c r="C144" s="19"/>
      <c r="D144" s="18"/>
      <c r="E144" s="18"/>
      <c r="F144" s="18"/>
      <c r="G144" s="18"/>
      <c r="H144" s="18"/>
      <c r="I144" s="18"/>
      <c r="J144" s="18"/>
      <c r="K144" s="18"/>
    </row>
    <row r="145" spans="1:11" ht="15.75" customHeight="1">
      <c r="A145" s="18"/>
      <c r="B145" s="18"/>
      <c r="C145" s="19"/>
      <c r="D145" s="18"/>
      <c r="E145" s="18"/>
      <c r="F145" s="18"/>
      <c r="G145" s="18"/>
      <c r="H145" s="18"/>
      <c r="I145" s="18"/>
      <c r="J145" s="18"/>
      <c r="K145" s="18"/>
    </row>
    <row r="146" spans="1:11" ht="15.75" customHeight="1">
      <c r="A146" s="18"/>
      <c r="B146" s="18"/>
      <c r="C146" s="19"/>
      <c r="D146" s="18"/>
      <c r="E146" s="18"/>
      <c r="F146" s="18"/>
      <c r="G146" s="18"/>
      <c r="H146" s="18"/>
      <c r="I146" s="18"/>
      <c r="J146" s="18"/>
      <c r="K146" s="18"/>
    </row>
    <row r="147" spans="1:11" ht="15.75" customHeight="1">
      <c r="A147" s="18"/>
      <c r="B147" s="18"/>
      <c r="C147" s="19"/>
      <c r="D147" s="18"/>
      <c r="E147" s="18"/>
      <c r="F147" s="18"/>
      <c r="G147" s="18"/>
      <c r="H147" s="18"/>
      <c r="I147" s="18"/>
      <c r="J147" s="18"/>
      <c r="K147" s="18"/>
    </row>
    <row r="148" spans="1:11" ht="15.75" customHeight="1">
      <c r="A148" s="18"/>
      <c r="B148" s="18"/>
      <c r="C148" s="19"/>
      <c r="D148" s="18"/>
      <c r="E148" s="18"/>
      <c r="F148" s="18"/>
      <c r="G148" s="18"/>
      <c r="H148" s="18"/>
      <c r="I148" s="18"/>
      <c r="J148" s="18"/>
      <c r="K148" s="18"/>
    </row>
    <row r="149" spans="1:11" ht="15.75" customHeight="1">
      <c r="A149" s="18"/>
      <c r="B149" s="18"/>
      <c r="C149" s="19"/>
      <c r="D149" s="18"/>
      <c r="E149" s="18"/>
      <c r="F149" s="18"/>
      <c r="G149" s="18"/>
      <c r="H149" s="18"/>
      <c r="I149" s="18"/>
      <c r="J149" s="18"/>
      <c r="K149" s="18"/>
    </row>
    <row r="150" spans="1:11" ht="15.75" customHeight="1">
      <c r="A150" s="18"/>
      <c r="B150" s="18"/>
      <c r="C150" s="19"/>
      <c r="D150" s="18"/>
      <c r="E150" s="18"/>
      <c r="F150" s="18"/>
      <c r="G150" s="18"/>
      <c r="H150" s="18"/>
      <c r="I150" s="18"/>
      <c r="J150" s="18"/>
      <c r="K150" s="18"/>
    </row>
    <row r="151" spans="1:11" ht="15.75" customHeight="1">
      <c r="A151" s="18"/>
      <c r="B151" s="18"/>
      <c r="C151" s="19"/>
      <c r="D151" s="18"/>
      <c r="E151" s="18"/>
      <c r="F151" s="18"/>
      <c r="G151" s="18"/>
      <c r="H151" s="18"/>
      <c r="I151" s="18"/>
      <c r="J151" s="18"/>
      <c r="K151" s="18"/>
    </row>
    <row r="152" spans="1:11" ht="15.75" customHeight="1">
      <c r="A152" s="18"/>
      <c r="B152" s="18"/>
      <c r="C152" s="19"/>
      <c r="D152" s="18"/>
      <c r="E152" s="18"/>
      <c r="F152" s="18"/>
      <c r="G152" s="18"/>
      <c r="H152" s="18"/>
      <c r="I152" s="18"/>
      <c r="J152" s="18"/>
      <c r="K152" s="18"/>
    </row>
    <row r="153" spans="1:11" ht="15.75" customHeight="1">
      <c r="A153" s="18"/>
      <c r="B153" s="18"/>
      <c r="C153" s="19"/>
      <c r="D153" s="18"/>
      <c r="E153" s="18"/>
      <c r="F153" s="18"/>
      <c r="G153" s="18"/>
      <c r="H153" s="18"/>
      <c r="I153" s="18"/>
      <c r="J153" s="18"/>
      <c r="K153" s="18"/>
    </row>
    <row r="154" spans="1:11" ht="15.75" customHeight="1">
      <c r="A154" s="18"/>
      <c r="B154" s="18"/>
      <c r="C154" s="19"/>
      <c r="D154" s="18"/>
      <c r="E154" s="18"/>
      <c r="F154" s="18"/>
      <c r="G154" s="18"/>
      <c r="H154" s="18"/>
      <c r="I154" s="18"/>
      <c r="J154" s="18"/>
      <c r="K154" s="18"/>
    </row>
    <row r="155" spans="1:11" ht="15.75" customHeight="1">
      <c r="A155" s="18"/>
      <c r="B155" s="18"/>
      <c r="C155" s="19"/>
      <c r="D155" s="18"/>
      <c r="E155" s="18"/>
      <c r="F155" s="18"/>
      <c r="G155" s="18"/>
      <c r="H155" s="18"/>
      <c r="I155" s="18"/>
      <c r="J155" s="18"/>
      <c r="K155" s="18"/>
    </row>
    <row r="156" spans="1:11" ht="15.75" customHeight="1">
      <c r="A156" s="18"/>
      <c r="B156" s="18"/>
      <c r="C156" s="19"/>
      <c r="D156" s="18"/>
      <c r="E156" s="18"/>
      <c r="F156" s="18"/>
      <c r="G156" s="18"/>
      <c r="H156" s="18"/>
      <c r="I156" s="18"/>
      <c r="J156" s="18"/>
      <c r="K156" s="18"/>
    </row>
    <row r="157" spans="1:11" ht="15.75" customHeight="1">
      <c r="A157" s="18"/>
      <c r="B157" s="18"/>
      <c r="C157" s="19"/>
      <c r="D157" s="18"/>
      <c r="E157" s="18"/>
      <c r="F157" s="18"/>
      <c r="G157" s="18"/>
      <c r="H157" s="18"/>
      <c r="I157" s="18"/>
      <c r="J157" s="18"/>
      <c r="K157" s="18"/>
    </row>
    <row r="158" spans="1:11" ht="15.75" customHeight="1">
      <c r="A158" s="18"/>
      <c r="B158" s="18"/>
      <c r="C158" s="19"/>
      <c r="D158" s="18"/>
      <c r="E158" s="18"/>
      <c r="F158" s="18"/>
      <c r="G158" s="18"/>
      <c r="H158" s="18"/>
      <c r="I158" s="18"/>
      <c r="J158" s="18"/>
      <c r="K158" s="18"/>
    </row>
    <row r="159" spans="1:11" ht="15.75" customHeight="1">
      <c r="A159" s="18"/>
      <c r="B159" s="18"/>
      <c r="C159" s="19"/>
      <c r="D159" s="18"/>
      <c r="E159" s="18"/>
      <c r="F159" s="18"/>
      <c r="G159" s="18"/>
      <c r="H159" s="18"/>
      <c r="I159" s="18"/>
      <c r="J159" s="18"/>
      <c r="K159" s="18"/>
    </row>
    <row r="160" spans="1:11" ht="15.75" customHeight="1">
      <c r="A160" s="18"/>
      <c r="B160" s="18"/>
      <c r="C160" s="19"/>
      <c r="D160" s="18"/>
      <c r="E160" s="18"/>
      <c r="F160" s="18"/>
      <c r="G160" s="18"/>
      <c r="H160" s="18"/>
      <c r="I160" s="18"/>
      <c r="J160" s="18"/>
      <c r="K160" s="18"/>
    </row>
    <row r="161" spans="1:11" ht="15.75" customHeight="1">
      <c r="A161" s="18"/>
      <c r="B161" s="18"/>
      <c r="C161" s="19"/>
      <c r="D161" s="18"/>
      <c r="E161" s="18"/>
      <c r="F161" s="18"/>
      <c r="G161" s="18"/>
      <c r="H161" s="18"/>
      <c r="I161" s="18"/>
      <c r="J161" s="18"/>
      <c r="K161" s="18"/>
    </row>
    <row r="162" spans="1:11" ht="15.75" customHeight="1">
      <c r="A162" s="18"/>
      <c r="B162" s="18"/>
      <c r="C162" s="19"/>
      <c r="D162" s="18"/>
      <c r="E162" s="18"/>
      <c r="F162" s="18"/>
      <c r="G162" s="18"/>
      <c r="H162" s="18"/>
      <c r="I162" s="18"/>
      <c r="J162" s="18"/>
      <c r="K162" s="18"/>
    </row>
    <row r="163" spans="1:11" ht="15.75" customHeight="1">
      <c r="A163" s="18"/>
      <c r="B163" s="18"/>
      <c r="C163" s="19"/>
      <c r="D163" s="18"/>
      <c r="E163" s="18"/>
      <c r="F163" s="18"/>
      <c r="G163" s="18"/>
      <c r="H163" s="18"/>
      <c r="I163" s="18"/>
      <c r="J163" s="18"/>
      <c r="K163" s="18"/>
    </row>
    <row r="164" spans="1:11" ht="15.75" customHeight="1">
      <c r="A164" s="18"/>
      <c r="B164" s="18"/>
      <c r="C164" s="19"/>
      <c r="D164" s="18"/>
      <c r="E164" s="18"/>
      <c r="F164" s="18"/>
      <c r="G164" s="18"/>
      <c r="H164" s="18"/>
      <c r="I164" s="18"/>
      <c r="J164" s="18"/>
      <c r="K164" s="18"/>
    </row>
    <row r="165" spans="1:11" ht="15.75" customHeight="1">
      <c r="A165" s="18"/>
      <c r="B165" s="18"/>
      <c r="C165" s="19"/>
      <c r="D165" s="18"/>
      <c r="E165" s="18"/>
      <c r="F165" s="18"/>
      <c r="G165" s="18"/>
      <c r="H165" s="18"/>
      <c r="I165" s="18"/>
      <c r="J165" s="18"/>
      <c r="K165" s="18"/>
    </row>
    <row r="166" spans="1:11" ht="15.75" customHeight="1">
      <c r="A166" s="18"/>
      <c r="B166" s="18"/>
      <c r="C166" s="19"/>
      <c r="D166" s="18"/>
      <c r="E166" s="18"/>
      <c r="F166" s="18"/>
      <c r="G166" s="18"/>
      <c r="H166" s="18"/>
      <c r="I166" s="18"/>
      <c r="J166" s="18"/>
      <c r="K166" s="18"/>
    </row>
    <row r="167" spans="1:11" ht="15.75" customHeight="1">
      <c r="A167" s="18"/>
      <c r="B167" s="18"/>
      <c r="C167" s="19"/>
      <c r="D167" s="18"/>
      <c r="E167" s="18"/>
      <c r="F167" s="18"/>
      <c r="G167" s="18"/>
      <c r="H167" s="18"/>
      <c r="I167" s="18"/>
      <c r="J167" s="18"/>
      <c r="K167" s="18"/>
    </row>
    <row r="168" spans="1:11" ht="15.75" customHeight="1">
      <c r="A168" s="18"/>
      <c r="B168" s="18"/>
      <c r="C168" s="19"/>
      <c r="D168" s="18"/>
      <c r="E168" s="18"/>
      <c r="F168" s="18"/>
      <c r="G168" s="18"/>
      <c r="H168" s="18"/>
      <c r="I168" s="18"/>
      <c r="J168" s="18"/>
      <c r="K168" s="18"/>
    </row>
    <row r="169" spans="1:11" ht="15.75" customHeight="1">
      <c r="A169" s="18"/>
      <c r="B169" s="18"/>
      <c r="C169" s="19"/>
      <c r="D169" s="18"/>
      <c r="E169" s="18"/>
      <c r="F169" s="18"/>
      <c r="G169" s="18"/>
      <c r="H169" s="18"/>
      <c r="I169" s="18"/>
      <c r="J169" s="18"/>
      <c r="K169" s="18"/>
    </row>
    <row r="170" spans="1:11" ht="15.75" customHeight="1">
      <c r="A170" s="18"/>
      <c r="B170" s="18"/>
      <c r="C170" s="19"/>
      <c r="D170" s="18"/>
      <c r="E170" s="18"/>
      <c r="F170" s="18"/>
      <c r="G170" s="18"/>
      <c r="H170" s="18"/>
      <c r="I170" s="18"/>
      <c r="J170" s="18"/>
      <c r="K170" s="18"/>
    </row>
    <row r="171" spans="1:11" ht="15.75" customHeight="1">
      <c r="A171" s="18"/>
      <c r="B171" s="18"/>
      <c r="C171" s="19"/>
      <c r="D171" s="18"/>
      <c r="E171" s="18"/>
      <c r="F171" s="18"/>
      <c r="G171" s="18"/>
      <c r="H171" s="18"/>
      <c r="I171" s="18"/>
      <c r="J171" s="18"/>
      <c r="K171" s="18"/>
    </row>
    <row r="172" spans="1:11" ht="15.75" customHeight="1">
      <c r="A172" s="18"/>
      <c r="B172" s="18"/>
      <c r="C172" s="19"/>
      <c r="D172" s="18"/>
      <c r="E172" s="18"/>
      <c r="F172" s="18"/>
      <c r="G172" s="18"/>
      <c r="H172" s="18"/>
      <c r="I172" s="18"/>
      <c r="J172" s="18"/>
      <c r="K172" s="18"/>
    </row>
    <row r="173" spans="1:11" ht="15.75" customHeight="1">
      <c r="A173" s="18"/>
      <c r="B173" s="18"/>
      <c r="C173" s="19"/>
      <c r="D173" s="18"/>
      <c r="E173" s="18"/>
      <c r="F173" s="18"/>
      <c r="G173" s="18"/>
      <c r="H173" s="18"/>
      <c r="I173" s="18"/>
      <c r="J173" s="18"/>
      <c r="K173" s="18"/>
    </row>
    <row r="174" spans="1:11" ht="15.75" customHeight="1">
      <c r="A174" s="18"/>
      <c r="B174" s="18"/>
      <c r="C174" s="19"/>
      <c r="D174" s="18"/>
      <c r="E174" s="18"/>
      <c r="F174" s="18"/>
      <c r="G174" s="18"/>
      <c r="H174" s="18"/>
      <c r="I174" s="18"/>
      <c r="J174" s="18"/>
      <c r="K174" s="18"/>
    </row>
    <row r="175" spans="1:11" ht="15.75" customHeight="1">
      <c r="A175" s="18"/>
      <c r="B175" s="18"/>
      <c r="C175" s="19"/>
      <c r="D175" s="18"/>
      <c r="E175" s="18"/>
      <c r="F175" s="18"/>
      <c r="G175" s="18"/>
      <c r="H175" s="18"/>
      <c r="I175" s="18"/>
      <c r="J175" s="18"/>
      <c r="K175" s="18"/>
    </row>
    <row r="176" spans="1:11" ht="15.75" customHeight="1">
      <c r="A176" s="18"/>
      <c r="B176" s="18"/>
      <c r="C176" s="19"/>
      <c r="D176" s="18"/>
      <c r="E176" s="18"/>
      <c r="F176" s="18"/>
      <c r="G176" s="18"/>
      <c r="H176" s="18"/>
      <c r="I176" s="18"/>
      <c r="J176" s="18"/>
      <c r="K176" s="18"/>
    </row>
    <row r="177" spans="1:11" ht="15.75" customHeight="1">
      <c r="A177" s="18"/>
      <c r="B177" s="18"/>
      <c r="C177" s="19"/>
      <c r="D177" s="18"/>
      <c r="E177" s="18"/>
      <c r="F177" s="18"/>
      <c r="G177" s="18"/>
      <c r="H177" s="18"/>
      <c r="I177" s="18"/>
      <c r="J177" s="18"/>
      <c r="K177" s="18"/>
    </row>
    <row r="178" spans="1:11" ht="15.75" customHeight="1">
      <c r="A178" s="18"/>
      <c r="B178" s="18"/>
      <c r="C178" s="19"/>
      <c r="D178" s="18"/>
      <c r="E178" s="18"/>
      <c r="F178" s="18"/>
      <c r="G178" s="18"/>
      <c r="H178" s="18"/>
      <c r="I178" s="18"/>
      <c r="J178" s="18"/>
      <c r="K178" s="18"/>
    </row>
    <row r="179" spans="1:11" ht="15.75" customHeight="1">
      <c r="A179" s="18"/>
      <c r="B179" s="18"/>
      <c r="C179" s="19"/>
      <c r="D179" s="18"/>
      <c r="E179" s="18"/>
      <c r="F179" s="18"/>
      <c r="G179" s="18"/>
      <c r="H179" s="18"/>
      <c r="I179" s="18"/>
      <c r="J179" s="18"/>
      <c r="K179" s="18"/>
    </row>
    <row r="180" spans="1:11" ht="15.75" customHeight="1">
      <c r="A180" s="18"/>
      <c r="B180" s="18"/>
      <c r="C180" s="19"/>
      <c r="D180" s="18"/>
      <c r="E180" s="18"/>
      <c r="F180" s="18"/>
      <c r="G180" s="18"/>
      <c r="H180" s="18"/>
      <c r="I180" s="18"/>
      <c r="J180" s="18"/>
      <c r="K180" s="18"/>
    </row>
    <row r="181" spans="1:11" ht="15.75" customHeight="1">
      <c r="A181" s="18"/>
      <c r="B181" s="18"/>
      <c r="C181" s="19"/>
      <c r="D181" s="18"/>
      <c r="E181" s="18"/>
      <c r="F181" s="18"/>
      <c r="G181" s="18"/>
      <c r="H181" s="18"/>
      <c r="I181" s="18"/>
      <c r="J181" s="18"/>
      <c r="K181" s="18"/>
    </row>
    <row r="182" spans="1:11" ht="15.75" customHeight="1">
      <c r="A182" s="18"/>
      <c r="B182" s="18"/>
      <c r="C182" s="19"/>
      <c r="D182" s="18"/>
      <c r="E182" s="18"/>
      <c r="F182" s="18"/>
      <c r="G182" s="18"/>
      <c r="H182" s="18"/>
      <c r="I182" s="18"/>
      <c r="J182" s="18"/>
      <c r="K182" s="18"/>
    </row>
    <row r="183" spans="1:11" ht="15.75" customHeight="1">
      <c r="A183" s="18"/>
      <c r="B183" s="18"/>
      <c r="C183" s="19"/>
      <c r="D183" s="18"/>
      <c r="E183" s="18"/>
      <c r="F183" s="18"/>
      <c r="G183" s="18"/>
      <c r="H183" s="18"/>
      <c r="I183" s="18"/>
      <c r="J183" s="18"/>
      <c r="K183" s="18"/>
    </row>
    <row r="184" spans="1:11" ht="15.75" customHeight="1">
      <c r="A184" s="18"/>
      <c r="B184" s="18"/>
      <c r="C184" s="19"/>
      <c r="D184" s="18"/>
      <c r="E184" s="18"/>
      <c r="F184" s="18"/>
      <c r="G184" s="18"/>
      <c r="H184" s="18"/>
      <c r="I184" s="18"/>
      <c r="J184" s="18"/>
      <c r="K184" s="18"/>
    </row>
    <row r="185" spans="1:11" ht="15.75" customHeight="1">
      <c r="A185" s="18"/>
      <c r="B185" s="18"/>
      <c r="C185" s="19"/>
      <c r="D185" s="18"/>
      <c r="E185" s="18"/>
      <c r="F185" s="18"/>
      <c r="G185" s="18"/>
      <c r="H185" s="18"/>
      <c r="I185" s="18"/>
      <c r="J185" s="18"/>
      <c r="K185" s="18"/>
    </row>
    <row r="186" spans="1:11" ht="15.75" customHeight="1">
      <c r="A186" s="18"/>
      <c r="B186" s="18"/>
      <c r="C186" s="19"/>
      <c r="D186" s="18"/>
      <c r="E186" s="18"/>
      <c r="F186" s="18"/>
      <c r="G186" s="18"/>
      <c r="H186" s="18"/>
      <c r="I186" s="18"/>
      <c r="J186" s="18"/>
      <c r="K186" s="18"/>
    </row>
    <row r="187" spans="1:11" ht="15.75" customHeight="1">
      <c r="A187" s="18"/>
      <c r="B187" s="18"/>
      <c r="C187" s="19"/>
      <c r="D187" s="18"/>
      <c r="E187" s="18"/>
      <c r="F187" s="18"/>
      <c r="G187" s="18"/>
      <c r="H187" s="18"/>
      <c r="I187" s="18"/>
      <c r="J187" s="18"/>
      <c r="K187" s="18"/>
    </row>
    <row r="188" spans="1:11" ht="15.75" customHeight="1">
      <c r="A188" s="18"/>
      <c r="B188" s="18"/>
      <c r="C188" s="19"/>
      <c r="D188" s="18"/>
      <c r="E188" s="18"/>
      <c r="F188" s="18"/>
      <c r="G188" s="18"/>
      <c r="H188" s="18"/>
      <c r="I188" s="18"/>
      <c r="J188" s="18"/>
      <c r="K188" s="18"/>
    </row>
    <row r="189" spans="1:11" ht="15.75" customHeight="1">
      <c r="A189" s="18"/>
      <c r="B189" s="18"/>
      <c r="C189" s="19"/>
      <c r="D189" s="18"/>
      <c r="E189" s="18"/>
      <c r="F189" s="18"/>
      <c r="G189" s="18"/>
      <c r="H189" s="18"/>
      <c r="I189" s="18"/>
      <c r="J189" s="18"/>
      <c r="K189" s="18"/>
    </row>
    <row r="190" spans="1:11" ht="15.75" customHeight="1">
      <c r="A190" s="18"/>
      <c r="B190" s="18"/>
      <c r="C190" s="19"/>
      <c r="D190" s="18"/>
      <c r="E190" s="18"/>
      <c r="F190" s="18"/>
      <c r="G190" s="18"/>
      <c r="H190" s="18"/>
      <c r="I190" s="18"/>
      <c r="J190" s="18"/>
      <c r="K190" s="18"/>
    </row>
    <row r="191" spans="1:11" ht="15.75" customHeight="1">
      <c r="A191" s="18"/>
      <c r="B191" s="18"/>
      <c r="C191" s="19"/>
      <c r="D191" s="18"/>
      <c r="E191" s="18"/>
      <c r="F191" s="18"/>
      <c r="G191" s="18"/>
      <c r="H191" s="18"/>
      <c r="I191" s="18"/>
      <c r="J191" s="18"/>
      <c r="K191" s="18"/>
    </row>
    <row r="192" spans="1:11" ht="15.75" customHeight="1">
      <c r="A192" s="18"/>
      <c r="B192" s="18"/>
      <c r="C192" s="19"/>
      <c r="D192" s="18"/>
      <c r="E192" s="18"/>
      <c r="F192" s="18"/>
      <c r="G192" s="18"/>
      <c r="H192" s="18"/>
      <c r="I192" s="18"/>
      <c r="J192" s="18"/>
      <c r="K192" s="18"/>
    </row>
    <row r="193" spans="1:11" ht="15.75" customHeight="1">
      <c r="A193" s="18"/>
      <c r="B193" s="18"/>
      <c r="C193" s="19"/>
      <c r="D193" s="18"/>
      <c r="E193" s="18"/>
      <c r="F193" s="18"/>
      <c r="G193" s="18"/>
      <c r="H193" s="18"/>
      <c r="I193" s="18"/>
      <c r="J193" s="18"/>
      <c r="K193" s="18"/>
    </row>
    <row r="194" spans="1:11" ht="15.75" customHeight="1">
      <c r="A194" s="18"/>
      <c r="B194" s="18"/>
      <c r="C194" s="19"/>
      <c r="D194" s="18"/>
      <c r="E194" s="18"/>
      <c r="F194" s="18"/>
      <c r="G194" s="18"/>
      <c r="H194" s="18"/>
      <c r="I194" s="18"/>
      <c r="J194" s="18"/>
      <c r="K194" s="18"/>
    </row>
    <row r="195" spans="1:11" ht="15.75" customHeight="1">
      <c r="A195" s="18"/>
      <c r="B195" s="18"/>
      <c r="C195" s="19"/>
      <c r="D195" s="18"/>
      <c r="E195" s="18"/>
      <c r="F195" s="18"/>
      <c r="G195" s="18"/>
      <c r="H195" s="18"/>
      <c r="I195" s="18"/>
      <c r="J195" s="18"/>
      <c r="K195" s="18"/>
    </row>
    <row r="196" spans="1:11" ht="15.75" customHeight="1">
      <c r="A196" s="18"/>
      <c r="B196" s="18"/>
      <c r="C196" s="19"/>
      <c r="D196" s="18"/>
      <c r="E196" s="18"/>
      <c r="F196" s="18"/>
      <c r="G196" s="18"/>
      <c r="H196" s="18"/>
      <c r="I196" s="18"/>
      <c r="J196" s="18"/>
      <c r="K196" s="18"/>
    </row>
    <row r="197" spans="1:11" ht="15.75" customHeight="1">
      <c r="A197" s="18"/>
      <c r="B197" s="18"/>
      <c r="C197" s="19"/>
      <c r="D197" s="18"/>
      <c r="E197" s="18"/>
      <c r="F197" s="18"/>
      <c r="G197" s="18"/>
      <c r="H197" s="18"/>
      <c r="I197" s="18"/>
      <c r="J197" s="18"/>
      <c r="K197" s="18"/>
    </row>
    <row r="198" spans="1:11" ht="15.75" customHeight="1">
      <c r="A198" s="18"/>
      <c r="B198" s="18"/>
      <c r="C198" s="19"/>
      <c r="D198" s="18"/>
      <c r="E198" s="18"/>
      <c r="F198" s="18"/>
      <c r="G198" s="18"/>
      <c r="H198" s="18"/>
      <c r="I198" s="18"/>
      <c r="J198" s="18"/>
      <c r="K198" s="18"/>
    </row>
    <row r="199" spans="1:11" ht="15.75" customHeight="1">
      <c r="A199" s="18"/>
      <c r="B199" s="18"/>
      <c r="C199" s="19"/>
      <c r="D199" s="18"/>
      <c r="E199" s="18"/>
      <c r="F199" s="18"/>
      <c r="G199" s="18"/>
      <c r="H199" s="18"/>
      <c r="I199" s="18"/>
      <c r="J199" s="18"/>
      <c r="K199" s="18"/>
    </row>
    <row r="200" spans="1:11" ht="15.75" customHeight="1">
      <c r="A200" s="18"/>
      <c r="B200" s="18"/>
      <c r="C200" s="19"/>
      <c r="D200" s="18"/>
      <c r="E200" s="18"/>
      <c r="F200" s="18"/>
      <c r="G200" s="18"/>
      <c r="H200" s="18"/>
      <c r="I200" s="18"/>
      <c r="J200" s="18"/>
      <c r="K200" s="18"/>
    </row>
    <row r="201" spans="1:11" ht="15.75" customHeight="1">
      <c r="A201" s="18"/>
      <c r="B201" s="18"/>
      <c r="C201" s="19"/>
      <c r="D201" s="18"/>
      <c r="E201" s="18"/>
      <c r="F201" s="18"/>
      <c r="G201" s="18"/>
      <c r="H201" s="18"/>
      <c r="I201" s="18"/>
      <c r="J201" s="18"/>
      <c r="K201" s="18"/>
    </row>
    <row r="202" spans="1:11" ht="15.75" customHeight="1">
      <c r="A202" s="18"/>
      <c r="B202" s="18"/>
      <c r="C202" s="19"/>
      <c r="D202" s="18"/>
      <c r="E202" s="18"/>
      <c r="F202" s="18"/>
      <c r="G202" s="18"/>
      <c r="H202" s="18"/>
      <c r="I202" s="18"/>
      <c r="J202" s="18"/>
      <c r="K202" s="18"/>
    </row>
    <row r="203" spans="1:11" ht="15.75" customHeight="1">
      <c r="A203" s="18"/>
      <c r="B203" s="18"/>
      <c r="C203" s="19"/>
      <c r="D203" s="18"/>
      <c r="E203" s="18"/>
      <c r="F203" s="18"/>
      <c r="G203" s="18"/>
      <c r="H203" s="18"/>
      <c r="I203" s="18"/>
      <c r="J203" s="18"/>
      <c r="K203" s="18"/>
    </row>
    <row r="204" spans="1:11" ht="15.75" customHeight="1">
      <c r="A204" s="18"/>
      <c r="B204" s="18"/>
      <c r="C204" s="19"/>
      <c r="D204" s="18"/>
      <c r="E204" s="18"/>
      <c r="F204" s="18"/>
      <c r="G204" s="18"/>
      <c r="H204" s="18"/>
      <c r="I204" s="18"/>
      <c r="J204" s="18"/>
      <c r="K204" s="18"/>
    </row>
    <row r="205" spans="1:11" ht="15.75" customHeight="1">
      <c r="A205" s="18"/>
      <c r="B205" s="18"/>
      <c r="C205" s="19"/>
      <c r="D205" s="18"/>
      <c r="E205" s="18"/>
      <c r="F205" s="18"/>
      <c r="G205" s="18"/>
      <c r="H205" s="18"/>
      <c r="I205" s="18"/>
      <c r="J205" s="18"/>
      <c r="K205" s="18"/>
    </row>
    <row r="206" spans="1:11" ht="15.75" customHeight="1">
      <c r="A206" s="18"/>
      <c r="B206" s="18"/>
      <c r="C206" s="19"/>
      <c r="D206" s="18"/>
      <c r="E206" s="18"/>
      <c r="F206" s="18"/>
      <c r="G206" s="18"/>
      <c r="H206" s="18"/>
      <c r="I206" s="18"/>
      <c r="J206" s="18"/>
      <c r="K206" s="18"/>
    </row>
    <row r="207" spans="1:11" ht="15.75" customHeight="1">
      <c r="A207" s="18"/>
      <c r="B207" s="18"/>
      <c r="C207" s="19"/>
      <c r="D207" s="18"/>
      <c r="E207" s="18"/>
      <c r="F207" s="18"/>
      <c r="G207" s="18"/>
      <c r="H207" s="18"/>
      <c r="I207" s="18"/>
      <c r="J207" s="18"/>
      <c r="K207" s="18"/>
    </row>
    <row r="208" spans="1:11" ht="15.75" customHeight="1">
      <c r="A208" s="18"/>
      <c r="B208" s="18"/>
      <c r="C208" s="19"/>
      <c r="D208" s="18"/>
      <c r="E208" s="18"/>
      <c r="F208" s="18"/>
      <c r="G208" s="18"/>
      <c r="H208" s="18"/>
      <c r="I208" s="18"/>
      <c r="J208" s="18"/>
      <c r="K208" s="18"/>
    </row>
    <row r="209" spans="1:11" ht="15.75" customHeight="1">
      <c r="A209" s="18"/>
      <c r="B209" s="18"/>
      <c r="C209" s="19"/>
      <c r="D209" s="18"/>
      <c r="E209" s="18"/>
      <c r="F209" s="18"/>
      <c r="G209" s="18"/>
      <c r="H209" s="18"/>
      <c r="I209" s="18"/>
      <c r="J209" s="18"/>
      <c r="K209" s="18"/>
    </row>
    <row r="210" spans="1:11" ht="15.75" customHeight="1">
      <c r="A210" s="18"/>
      <c r="B210" s="18"/>
      <c r="C210" s="19"/>
      <c r="D210" s="18"/>
      <c r="E210" s="18"/>
      <c r="F210" s="18"/>
      <c r="G210" s="18"/>
      <c r="H210" s="18"/>
      <c r="I210" s="18"/>
      <c r="J210" s="18"/>
      <c r="K210" s="18"/>
    </row>
    <row r="211" spans="1:11" ht="15.75" customHeight="1">
      <c r="A211" s="18"/>
      <c r="B211" s="18"/>
      <c r="C211" s="19"/>
      <c r="D211" s="18"/>
      <c r="E211" s="18"/>
      <c r="F211" s="18"/>
      <c r="G211" s="18"/>
      <c r="H211" s="18"/>
      <c r="I211" s="18"/>
      <c r="J211" s="18"/>
      <c r="K211" s="18"/>
    </row>
    <row r="212" spans="1:11" ht="15.75" customHeight="1">
      <c r="A212" s="18"/>
      <c r="B212" s="18"/>
      <c r="C212" s="19"/>
      <c r="D212" s="18"/>
      <c r="E212" s="18"/>
      <c r="F212" s="18"/>
      <c r="G212" s="18"/>
      <c r="H212" s="18"/>
      <c r="I212" s="18"/>
      <c r="J212" s="18"/>
      <c r="K212" s="18"/>
    </row>
    <row r="213" spans="1:11" ht="15.75" customHeight="1">
      <c r="A213" s="18"/>
      <c r="B213" s="18"/>
      <c r="C213" s="19"/>
      <c r="D213" s="18"/>
      <c r="E213" s="18"/>
      <c r="F213" s="18"/>
      <c r="G213" s="18"/>
      <c r="H213" s="18"/>
      <c r="I213" s="18"/>
      <c r="J213" s="18"/>
      <c r="K213" s="18"/>
    </row>
    <row r="214" spans="1:11" ht="15.75" customHeight="1">
      <c r="A214" s="18"/>
      <c r="B214" s="18"/>
      <c r="C214" s="19"/>
      <c r="D214" s="18"/>
      <c r="E214" s="18"/>
      <c r="F214" s="18"/>
      <c r="G214" s="18"/>
      <c r="H214" s="18"/>
      <c r="I214" s="18"/>
      <c r="J214" s="18"/>
      <c r="K214" s="18"/>
    </row>
    <row r="215" spans="1:11" ht="15.75" customHeight="1">
      <c r="A215" s="18"/>
      <c r="B215" s="18"/>
      <c r="C215" s="19"/>
      <c r="D215" s="18"/>
      <c r="E215" s="18"/>
      <c r="F215" s="18"/>
      <c r="G215" s="18"/>
      <c r="H215" s="18"/>
      <c r="I215" s="18"/>
      <c r="J215" s="18"/>
      <c r="K215" s="18"/>
    </row>
    <row r="216" spans="1:11" ht="15.75" customHeight="1">
      <c r="A216" s="18"/>
      <c r="B216" s="18"/>
      <c r="C216" s="19"/>
      <c r="D216" s="18"/>
      <c r="E216" s="18"/>
      <c r="F216" s="18"/>
      <c r="G216" s="18"/>
      <c r="H216" s="18"/>
      <c r="I216" s="18"/>
      <c r="J216" s="18"/>
      <c r="K216" s="18"/>
    </row>
    <row r="217" spans="1:11" ht="15.75" customHeight="1">
      <c r="A217" s="18"/>
      <c r="B217" s="18"/>
      <c r="C217" s="19"/>
      <c r="D217" s="18"/>
      <c r="E217" s="18"/>
      <c r="F217" s="18"/>
      <c r="G217" s="18"/>
      <c r="H217" s="18"/>
      <c r="I217" s="18"/>
      <c r="J217" s="18"/>
      <c r="K217" s="18"/>
    </row>
    <row r="218" spans="1:11" ht="15.75" customHeight="1">
      <c r="A218" s="18"/>
      <c r="B218" s="18"/>
      <c r="C218" s="19"/>
      <c r="D218" s="18"/>
      <c r="E218" s="18"/>
      <c r="F218" s="18"/>
      <c r="G218" s="18"/>
      <c r="H218" s="18"/>
      <c r="I218" s="18"/>
      <c r="J218" s="18"/>
      <c r="K218" s="18"/>
    </row>
    <row r="219" spans="1:11" ht="15.75" customHeight="1">
      <c r="A219" s="18"/>
      <c r="B219" s="18"/>
      <c r="C219" s="19"/>
      <c r="D219" s="18"/>
      <c r="E219" s="18"/>
      <c r="F219" s="18"/>
      <c r="G219" s="18"/>
      <c r="H219" s="18"/>
      <c r="I219" s="18"/>
      <c r="J219" s="18"/>
      <c r="K219" s="18"/>
    </row>
    <row r="220" spans="1:11" ht="15.75" customHeight="1">
      <c r="A220" s="18"/>
      <c r="B220" s="18"/>
      <c r="C220" s="19"/>
      <c r="D220" s="18"/>
      <c r="E220" s="18"/>
      <c r="F220" s="18"/>
      <c r="G220" s="18"/>
      <c r="H220" s="18"/>
      <c r="I220" s="18"/>
      <c r="J220" s="18"/>
      <c r="K220" s="18"/>
    </row>
    <row r="221" spans="1:11" ht="15.75" customHeight="1">
      <c r="A221" s="18"/>
      <c r="B221" s="18"/>
      <c r="C221" s="19"/>
      <c r="D221" s="18"/>
      <c r="E221" s="18"/>
      <c r="F221" s="18"/>
      <c r="G221" s="18"/>
      <c r="H221" s="18"/>
      <c r="I221" s="18"/>
      <c r="J221" s="18"/>
      <c r="K221" s="18"/>
    </row>
    <row r="222" spans="1:11" ht="15.75" customHeight="1">
      <c r="A222" s="18"/>
      <c r="B222" s="18"/>
      <c r="C222" s="19"/>
      <c r="D222" s="18"/>
      <c r="E222" s="18"/>
      <c r="F222" s="18"/>
      <c r="G222" s="18"/>
      <c r="H222" s="18"/>
      <c r="I222" s="18"/>
      <c r="J222" s="18"/>
      <c r="K222" s="18"/>
    </row>
    <row r="223" spans="1:11" ht="15.75" customHeight="1">
      <c r="A223" s="18"/>
      <c r="B223" s="18"/>
      <c r="C223" s="19"/>
      <c r="D223" s="18"/>
      <c r="E223" s="18"/>
      <c r="F223" s="18"/>
      <c r="G223" s="18"/>
      <c r="H223" s="18"/>
      <c r="I223" s="18"/>
      <c r="J223" s="18"/>
      <c r="K223" s="18"/>
    </row>
    <row r="224" spans="1:11" ht="15.75" customHeight="1">
      <c r="A224" s="18"/>
      <c r="B224" s="18"/>
      <c r="C224" s="19"/>
      <c r="D224" s="18"/>
      <c r="E224" s="18"/>
      <c r="F224" s="18"/>
      <c r="G224" s="18"/>
      <c r="H224" s="18"/>
      <c r="I224" s="18"/>
      <c r="J224" s="18"/>
      <c r="K224" s="18"/>
    </row>
    <row r="225" spans="1:11" ht="15.75" customHeight="1">
      <c r="A225" s="18"/>
      <c r="B225" s="18"/>
      <c r="C225" s="19"/>
      <c r="D225" s="18"/>
      <c r="E225" s="18"/>
      <c r="F225" s="18"/>
      <c r="G225" s="18"/>
      <c r="H225" s="18"/>
      <c r="I225" s="18"/>
      <c r="J225" s="18"/>
      <c r="K225" s="18"/>
    </row>
    <row r="226" spans="1:11" ht="15.75" customHeight="1">
      <c r="A226" s="18"/>
      <c r="B226" s="18"/>
      <c r="C226" s="19"/>
      <c r="D226" s="18"/>
      <c r="E226" s="18"/>
      <c r="F226" s="18"/>
      <c r="G226" s="18"/>
      <c r="H226" s="18"/>
      <c r="I226" s="18"/>
      <c r="J226" s="18"/>
      <c r="K226" s="18"/>
    </row>
    <row r="227" spans="1:11" ht="15.75" customHeight="1">
      <c r="A227" s="18"/>
      <c r="B227" s="18"/>
      <c r="C227" s="19"/>
      <c r="D227" s="18"/>
      <c r="E227" s="18"/>
      <c r="F227" s="18"/>
      <c r="G227" s="18"/>
      <c r="H227" s="18"/>
      <c r="I227" s="18"/>
      <c r="J227" s="18"/>
      <c r="K227" s="18"/>
    </row>
    <row r="228" spans="1:11" ht="15.75" customHeight="1">
      <c r="A228" s="18"/>
      <c r="B228" s="18"/>
      <c r="C228" s="19"/>
      <c r="D228" s="18"/>
      <c r="E228" s="18"/>
      <c r="F228" s="18"/>
      <c r="G228" s="18"/>
      <c r="H228" s="18"/>
      <c r="I228" s="18"/>
      <c r="J228" s="18"/>
      <c r="K228" s="18"/>
    </row>
    <row r="229" spans="1:11" ht="15.75" customHeight="1">
      <c r="A229" s="18"/>
      <c r="B229" s="18"/>
      <c r="C229" s="19"/>
      <c r="D229" s="18"/>
      <c r="E229" s="18"/>
      <c r="F229" s="18"/>
      <c r="G229" s="18"/>
      <c r="H229" s="18"/>
      <c r="I229" s="18"/>
      <c r="J229" s="18"/>
      <c r="K229" s="18"/>
    </row>
    <row r="230" spans="1:11" ht="15.75" customHeight="1">
      <c r="A230" s="18"/>
      <c r="B230" s="18"/>
      <c r="C230" s="19"/>
      <c r="D230" s="18"/>
      <c r="E230" s="18"/>
      <c r="F230" s="18"/>
      <c r="G230" s="18"/>
      <c r="H230" s="18"/>
      <c r="I230" s="18"/>
      <c r="J230" s="18"/>
      <c r="K230" s="18"/>
    </row>
    <row r="231" spans="1:11" ht="15.75" customHeight="1">
      <c r="A231" s="18"/>
      <c r="B231" s="18"/>
      <c r="C231" s="19"/>
      <c r="D231" s="18"/>
      <c r="E231" s="18"/>
      <c r="F231" s="18"/>
      <c r="G231" s="18"/>
      <c r="H231" s="18"/>
      <c r="I231" s="18"/>
      <c r="J231" s="18"/>
      <c r="K231" s="18"/>
    </row>
    <row r="232" spans="1:11" ht="15.75" customHeight="1">
      <c r="A232" s="18"/>
      <c r="B232" s="18"/>
      <c r="C232" s="19"/>
      <c r="D232" s="18"/>
      <c r="E232" s="18"/>
      <c r="F232" s="18"/>
      <c r="G232" s="18"/>
      <c r="H232" s="18"/>
      <c r="I232" s="18"/>
      <c r="J232" s="18"/>
      <c r="K232" s="18"/>
    </row>
    <row r="233" spans="1:11" ht="15.75" customHeight="1">
      <c r="A233" s="18"/>
      <c r="B233" s="18"/>
      <c r="C233" s="19"/>
      <c r="D233" s="18"/>
      <c r="E233" s="18"/>
      <c r="F233" s="18"/>
      <c r="G233" s="18"/>
      <c r="H233" s="18"/>
      <c r="I233" s="18"/>
      <c r="J233" s="18"/>
      <c r="K233" s="18"/>
    </row>
    <row r="234" spans="1:11" ht="15.75" customHeight="1">
      <c r="A234" s="18"/>
      <c r="B234" s="18"/>
      <c r="C234" s="19"/>
      <c r="D234" s="18"/>
      <c r="E234" s="18"/>
      <c r="F234" s="18"/>
      <c r="G234" s="18"/>
      <c r="H234" s="18"/>
      <c r="I234" s="18"/>
      <c r="J234" s="18"/>
      <c r="K234" s="18"/>
    </row>
    <row r="235" spans="1:11" ht="15.75" customHeight="1">
      <c r="A235" s="18"/>
      <c r="B235" s="18"/>
      <c r="C235" s="19"/>
      <c r="D235" s="18"/>
      <c r="E235" s="18"/>
      <c r="F235" s="18"/>
      <c r="G235" s="18"/>
      <c r="H235" s="18"/>
      <c r="I235" s="18"/>
      <c r="J235" s="18"/>
      <c r="K235" s="18"/>
    </row>
    <row r="236" spans="1:11" ht="15.75" customHeight="1">
      <c r="A236" s="18"/>
      <c r="B236" s="18"/>
      <c r="C236" s="19"/>
      <c r="D236" s="18"/>
      <c r="E236" s="18"/>
      <c r="F236" s="18"/>
      <c r="G236" s="18"/>
      <c r="H236" s="18"/>
      <c r="I236" s="18"/>
      <c r="J236" s="18"/>
      <c r="K236" s="18"/>
    </row>
    <row r="237" spans="1:11" ht="15.75" customHeight="1">
      <c r="A237" s="18"/>
      <c r="B237" s="18"/>
      <c r="C237" s="19"/>
      <c r="D237" s="18"/>
      <c r="E237" s="18"/>
      <c r="F237" s="18"/>
      <c r="G237" s="18"/>
      <c r="H237" s="18"/>
      <c r="I237" s="18"/>
      <c r="J237" s="18"/>
      <c r="K237" s="18"/>
    </row>
    <row r="238" spans="1:11" ht="15.75" customHeight="1">
      <c r="A238" s="18"/>
      <c r="B238" s="18"/>
      <c r="C238" s="19"/>
      <c r="D238" s="18"/>
      <c r="E238" s="18"/>
      <c r="F238" s="18"/>
      <c r="G238" s="18"/>
      <c r="H238" s="18"/>
      <c r="I238" s="18"/>
      <c r="J238" s="18"/>
      <c r="K238" s="18"/>
    </row>
    <row r="239" spans="1:11" ht="15.75" customHeight="1">
      <c r="A239" s="18"/>
      <c r="B239" s="18"/>
      <c r="C239" s="19"/>
      <c r="D239" s="18"/>
      <c r="E239" s="18"/>
      <c r="F239" s="18"/>
      <c r="G239" s="18"/>
      <c r="H239" s="18"/>
      <c r="I239" s="18"/>
      <c r="J239" s="18"/>
      <c r="K239" s="18"/>
    </row>
    <row r="240" spans="1:11" ht="15.75" customHeight="1">
      <c r="A240" s="18"/>
      <c r="B240" s="18"/>
      <c r="C240" s="19"/>
      <c r="D240" s="18"/>
      <c r="E240" s="18"/>
      <c r="F240" s="18"/>
      <c r="G240" s="18"/>
      <c r="H240" s="18"/>
      <c r="I240" s="18"/>
      <c r="J240" s="18"/>
      <c r="K240" s="18"/>
    </row>
    <row r="241" spans="1:11" ht="15.75" customHeight="1">
      <c r="A241" s="18"/>
      <c r="B241" s="18"/>
      <c r="C241" s="19"/>
      <c r="D241" s="18"/>
      <c r="E241" s="18"/>
      <c r="F241" s="18"/>
      <c r="G241" s="18"/>
      <c r="H241" s="18"/>
      <c r="I241" s="18"/>
      <c r="J241" s="18"/>
      <c r="K241" s="18"/>
    </row>
    <row r="242" spans="1:11" ht="15.75" customHeight="1">
      <c r="A242" s="18"/>
      <c r="B242" s="18"/>
      <c r="C242" s="19"/>
      <c r="D242" s="18"/>
      <c r="E242" s="18"/>
      <c r="F242" s="18"/>
      <c r="G242" s="18"/>
      <c r="H242" s="18"/>
      <c r="I242" s="18"/>
      <c r="J242" s="18"/>
      <c r="K242" s="18"/>
    </row>
    <row r="243" spans="1:11" ht="15.75" customHeight="1">
      <c r="A243" s="18"/>
      <c r="B243" s="18"/>
      <c r="C243" s="19"/>
      <c r="D243" s="18"/>
      <c r="E243" s="18"/>
      <c r="F243" s="18"/>
      <c r="G243" s="18"/>
      <c r="H243" s="18"/>
      <c r="I243" s="18"/>
      <c r="J243" s="18"/>
      <c r="K243" s="18"/>
    </row>
    <row r="244" spans="1:11" ht="15.75" customHeight="1">
      <c r="A244" s="18"/>
      <c r="B244" s="18"/>
      <c r="C244" s="19"/>
      <c r="D244" s="18"/>
      <c r="E244" s="18"/>
      <c r="F244" s="18"/>
      <c r="G244" s="18"/>
      <c r="H244" s="18"/>
      <c r="I244" s="18"/>
      <c r="J244" s="18"/>
      <c r="K244" s="18"/>
    </row>
    <row r="245" spans="1:11" ht="15.75" customHeight="1">
      <c r="A245" s="18"/>
      <c r="B245" s="18"/>
      <c r="C245" s="19"/>
      <c r="D245" s="18"/>
      <c r="E245" s="18"/>
      <c r="F245" s="18"/>
      <c r="G245" s="18"/>
      <c r="H245" s="18"/>
      <c r="I245" s="18"/>
      <c r="J245" s="18"/>
      <c r="K245" s="18"/>
    </row>
    <row r="246" spans="1:11" ht="15.75" customHeight="1">
      <c r="A246" s="18"/>
      <c r="B246" s="18"/>
      <c r="C246" s="19"/>
      <c r="D246" s="18"/>
      <c r="E246" s="18"/>
      <c r="F246" s="18"/>
      <c r="G246" s="18"/>
      <c r="H246" s="18"/>
      <c r="I246" s="18"/>
      <c r="J246" s="18"/>
      <c r="K246" s="18"/>
    </row>
    <row r="247" spans="1:11" ht="15.75" customHeight="1">
      <c r="A247" s="18"/>
      <c r="B247" s="18"/>
      <c r="C247" s="19"/>
      <c r="D247" s="18"/>
      <c r="E247" s="18"/>
      <c r="F247" s="18"/>
      <c r="G247" s="18"/>
      <c r="H247" s="18"/>
      <c r="I247" s="18"/>
      <c r="J247" s="18"/>
      <c r="K247" s="18"/>
    </row>
    <row r="248" spans="1:11" ht="15.75" customHeight="1">
      <c r="A248" s="18"/>
      <c r="B248" s="18"/>
      <c r="C248" s="19"/>
      <c r="D248" s="18"/>
      <c r="E248" s="18"/>
      <c r="F248" s="18"/>
      <c r="G248" s="18"/>
      <c r="H248" s="18"/>
      <c r="I248" s="18"/>
      <c r="J248" s="18"/>
      <c r="K248" s="18"/>
    </row>
    <row r="249" spans="1:11" ht="15.75" customHeight="1">
      <c r="A249" s="18"/>
      <c r="B249" s="18"/>
      <c r="C249" s="19"/>
      <c r="D249" s="18"/>
      <c r="E249" s="18"/>
      <c r="F249" s="18"/>
      <c r="G249" s="18"/>
      <c r="H249" s="18"/>
      <c r="I249" s="18"/>
      <c r="J249" s="18"/>
      <c r="K249" s="18"/>
    </row>
    <row r="250" spans="1:11" ht="15.75" customHeight="1">
      <c r="A250" s="18"/>
      <c r="B250" s="18"/>
      <c r="C250" s="19"/>
      <c r="D250" s="18"/>
      <c r="E250" s="18"/>
      <c r="F250" s="18"/>
      <c r="G250" s="18"/>
      <c r="H250" s="18"/>
      <c r="I250" s="18"/>
      <c r="J250" s="18"/>
      <c r="K250" s="18"/>
    </row>
    <row r="251" spans="1:11" ht="15.75" customHeight="1">
      <c r="A251" s="18"/>
      <c r="B251" s="18"/>
      <c r="C251" s="19"/>
      <c r="D251" s="18"/>
      <c r="E251" s="18"/>
      <c r="F251" s="18"/>
      <c r="G251" s="18"/>
      <c r="H251" s="18"/>
      <c r="I251" s="18"/>
      <c r="J251" s="18"/>
      <c r="K251" s="18"/>
    </row>
    <row r="252" spans="1:11" ht="15.75" customHeight="1">
      <c r="A252" s="18"/>
      <c r="B252" s="18"/>
      <c r="C252" s="19"/>
      <c r="D252" s="18"/>
      <c r="E252" s="18"/>
      <c r="F252" s="18"/>
      <c r="G252" s="18"/>
      <c r="H252" s="18"/>
      <c r="I252" s="18"/>
      <c r="J252" s="18"/>
      <c r="K252" s="18"/>
    </row>
    <row r="253" spans="1:11" ht="15.75" customHeight="1">
      <c r="A253" s="18"/>
      <c r="B253" s="18"/>
      <c r="C253" s="19"/>
      <c r="D253" s="18"/>
      <c r="E253" s="18"/>
      <c r="F253" s="18"/>
      <c r="G253" s="18"/>
      <c r="H253" s="18"/>
      <c r="I253" s="18"/>
      <c r="J253" s="18"/>
      <c r="K253" s="18"/>
    </row>
    <row r="254" spans="1:11" ht="15.75" customHeight="1">
      <c r="A254" s="18"/>
      <c r="B254" s="18"/>
      <c r="C254" s="19"/>
      <c r="D254" s="18"/>
      <c r="E254" s="18"/>
      <c r="F254" s="18"/>
      <c r="G254" s="18"/>
      <c r="H254" s="18"/>
      <c r="I254" s="18"/>
      <c r="J254" s="18"/>
      <c r="K254" s="18"/>
    </row>
    <row r="255" spans="1:11" ht="15.75" customHeight="1">
      <c r="A255" s="18"/>
      <c r="B255" s="18"/>
      <c r="C255" s="19"/>
      <c r="D255" s="18"/>
      <c r="E255" s="18"/>
      <c r="F255" s="18"/>
      <c r="G255" s="18"/>
      <c r="H255" s="18"/>
      <c r="I255" s="18"/>
      <c r="J255" s="18"/>
      <c r="K255" s="18"/>
    </row>
    <row r="256" spans="1:11" ht="15.75" customHeight="1">
      <c r="A256" s="18"/>
      <c r="B256" s="18"/>
      <c r="C256" s="19"/>
      <c r="D256" s="18"/>
      <c r="E256" s="18"/>
      <c r="F256" s="18"/>
      <c r="G256" s="18"/>
      <c r="H256" s="18"/>
      <c r="I256" s="18"/>
      <c r="J256" s="18"/>
      <c r="K256" s="18"/>
    </row>
    <row r="257" spans="1:11" ht="15.75" customHeight="1">
      <c r="A257" s="18"/>
      <c r="B257" s="18"/>
      <c r="C257" s="19"/>
      <c r="D257" s="18"/>
      <c r="E257" s="18"/>
      <c r="F257" s="18"/>
      <c r="G257" s="18"/>
      <c r="H257" s="18"/>
      <c r="I257" s="18"/>
      <c r="J257" s="18"/>
      <c r="K257" s="18"/>
    </row>
    <row r="258" spans="1:11" ht="15.75" customHeight="1">
      <c r="A258" s="18"/>
      <c r="B258" s="18"/>
      <c r="C258" s="19"/>
      <c r="D258" s="18"/>
      <c r="E258" s="18"/>
      <c r="F258" s="18"/>
      <c r="G258" s="18"/>
      <c r="H258" s="18"/>
      <c r="I258" s="18"/>
      <c r="J258" s="18"/>
      <c r="K258" s="18"/>
    </row>
    <row r="259" spans="1:11" ht="15.75" customHeight="1">
      <c r="A259" s="18"/>
      <c r="B259" s="18"/>
      <c r="C259" s="19"/>
      <c r="D259" s="18"/>
      <c r="E259" s="18"/>
      <c r="F259" s="18"/>
      <c r="G259" s="18"/>
      <c r="H259" s="18"/>
      <c r="I259" s="18"/>
      <c r="J259" s="18"/>
      <c r="K259" s="18"/>
    </row>
    <row r="260" spans="1:11" ht="15.75" customHeight="1">
      <c r="A260" s="18"/>
      <c r="B260" s="18"/>
      <c r="C260" s="19"/>
      <c r="D260" s="18"/>
      <c r="E260" s="18"/>
      <c r="F260" s="18"/>
      <c r="G260" s="18"/>
      <c r="H260" s="18"/>
      <c r="I260" s="18"/>
      <c r="J260" s="18"/>
      <c r="K260" s="18"/>
    </row>
    <row r="261" spans="1:11" ht="15.75" customHeight="1">
      <c r="A261" s="18"/>
      <c r="B261" s="18"/>
      <c r="C261" s="19"/>
      <c r="D261" s="18"/>
      <c r="E261" s="18"/>
      <c r="F261" s="18"/>
      <c r="G261" s="18"/>
      <c r="H261" s="18"/>
      <c r="I261" s="18"/>
      <c r="J261" s="18"/>
      <c r="K261" s="18"/>
    </row>
    <row r="262" spans="1:11" ht="15.75" customHeight="1">
      <c r="A262" s="18"/>
      <c r="B262" s="18"/>
      <c r="C262" s="19"/>
      <c r="D262" s="18"/>
      <c r="E262" s="18"/>
      <c r="F262" s="18"/>
      <c r="G262" s="18"/>
      <c r="H262" s="18"/>
      <c r="I262" s="18"/>
      <c r="J262" s="18"/>
      <c r="K262" s="18"/>
    </row>
    <row r="263" spans="1:11" ht="15.75" customHeight="1">
      <c r="A263" s="18"/>
      <c r="B263" s="18"/>
      <c r="C263" s="19"/>
      <c r="D263" s="18"/>
      <c r="E263" s="18"/>
      <c r="F263" s="18"/>
      <c r="G263" s="18"/>
      <c r="H263" s="18"/>
      <c r="I263" s="18"/>
      <c r="J263" s="18"/>
      <c r="K263" s="18"/>
    </row>
    <row r="264" spans="1:11" ht="15.75" customHeight="1">
      <c r="A264" s="18"/>
      <c r="B264" s="18"/>
      <c r="C264" s="19"/>
      <c r="D264" s="18"/>
      <c r="E264" s="18"/>
      <c r="F264" s="18"/>
      <c r="G264" s="18"/>
      <c r="H264" s="18"/>
      <c r="I264" s="18"/>
      <c r="J264" s="18"/>
      <c r="K264" s="18"/>
    </row>
    <row r="265" spans="1:11" ht="15.75" customHeight="1">
      <c r="A265" s="18"/>
      <c r="B265" s="18"/>
      <c r="C265" s="19"/>
      <c r="D265" s="18"/>
      <c r="E265" s="18"/>
      <c r="F265" s="18"/>
      <c r="G265" s="18"/>
      <c r="H265" s="18"/>
      <c r="I265" s="18"/>
      <c r="J265" s="18"/>
      <c r="K265" s="18"/>
    </row>
    <row r="266" spans="1:11" ht="15.75" customHeight="1">
      <c r="A266" s="18"/>
      <c r="B266" s="18"/>
      <c r="C266" s="19"/>
      <c r="D266" s="18"/>
      <c r="E266" s="18"/>
      <c r="F266" s="18"/>
      <c r="G266" s="18"/>
      <c r="H266" s="18"/>
      <c r="I266" s="18"/>
      <c r="J266" s="18"/>
      <c r="K266" s="18"/>
    </row>
    <row r="267" spans="1:11" ht="15.75" customHeight="1">
      <c r="A267" s="18"/>
      <c r="B267" s="18"/>
      <c r="C267" s="19"/>
      <c r="D267" s="18"/>
      <c r="E267" s="18"/>
      <c r="F267" s="18"/>
      <c r="G267" s="18"/>
      <c r="H267" s="18"/>
      <c r="I267" s="18"/>
      <c r="J267" s="18"/>
      <c r="K267" s="18"/>
    </row>
    <row r="268" spans="1:11" ht="15.75" customHeight="1">
      <c r="A268" s="18"/>
      <c r="B268" s="18"/>
      <c r="C268" s="19"/>
      <c r="D268" s="18"/>
      <c r="E268" s="18"/>
      <c r="F268" s="18"/>
      <c r="G268" s="18"/>
      <c r="H268" s="18"/>
      <c r="I268" s="18"/>
      <c r="J268" s="18"/>
      <c r="K268" s="18"/>
    </row>
    <row r="269" spans="1:11" ht="15.75" customHeight="1">
      <c r="A269" s="18"/>
      <c r="B269" s="18"/>
      <c r="C269" s="19"/>
      <c r="D269" s="18"/>
      <c r="E269" s="18"/>
      <c r="F269" s="18"/>
      <c r="G269" s="18"/>
      <c r="H269" s="18"/>
      <c r="I269" s="18"/>
      <c r="J269" s="18"/>
      <c r="K269" s="18"/>
    </row>
    <row r="270" spans="1:11" ht="15.75" customHeight="1">
      <c r="A270" s="18"/>
      <c r="B270" s="18"/>
      <c r="C270" s="19"/>
      <c r="D270" s="18"/>
      <c r="E270" s="18"/>
      <c r="F270" s="18"/>
      <c r="G270" s="18"/>
      <c r="H270" s="18"/>
      <c r="I270" s="18"/>
      <c r="J270" s="18"/>
      <c r="K270" s="18"/>
    </row>
    <row r="271" spans="1:11" ht="15.75" customHeight="1">
      <c r="A271" s="18"/>
      <c r="B271" s="18"/>
      <c r="C271" s="19"/>
      <c r="D271" s="18"/>
      <c r="E271" s="18"/>
      <c r="F271" s="18"/>
      <c r="G271" s="18"/>
      <c r="H271" s="18"/>
      <c r="I271" s="18"/>
      <c r="J271" s="18"/>
      <c r="K271" s="18"/>
    </row>
    <row r="272" spans="1:11" ht="15.75" customHeight="1">
      <c r="A272" s="18"/>
      <c r="B272" s="18"/>
      <c r="C272" s="19"/>
      <c r="D272" s="18"/>
      <c r="E272" s="18"/>
      <c r="F272" s="18"/>
      <c r="G272" s="18"/>
      <c r="H272" s="18"/>
      <c r="I272" s="18"/>
      <c r="J272" s="18"/>
      <c r="K272" s="18"/>
    </row>
    <row r="273" spans="1:11" ht="15.75" customHeight="1">
      <c r="A273" s="18"/>
      <c r="B273" s="18"/>
      <c r="C273" s="19"/>
      <c r="D273" s="18"/>
      <c r="E273" s="18"/>
      <c r="F273" s="18"/>
      <c r="G273" s="18"/>
      <c r="H273" s="18"/>
      <c r="I273" s="18"/>
      <c r="J273" s="18"/>
      <c r="K273" s="18"/>
    </row>
    <row r="274" spans="1:11" ht="15.75" customHeight="1">
      <c r="A274" s="18"/>
      <c r="B274" s="18"/>
      <c r="C274" s="19"/>
      <c r="D274" s="18"/>
      <c r="E274" s="18"/>
      <c r="F274" s="18"/>
      <c r="G274" s="18"/>
      <c r="H274" s="18"/>
      <c r="I274" s="18"/>
      <c r="J274" s="18"/>
      <c r="K274" s="18"/>
    </row>
    <row r="275" spans="1:11" ht="15.75" customHeight="1">
      <c r="A275" s="18"/>
      <c r="B275" s="18"/>
      <c r="C275" s="19"/>
      <c r="D275" s="18"/>
      <c r="E275" s="18"/>
      <c r="F275" s="18"/>
      <c r="G275" s="18"/>
      <c r="H275" s="18"/>
      <c r="I275" s="18"/>
      <c r="J275" s="18"/>
      <c r="K275" s="18"/>
    </row>
    <row r="276" spans="1:11" ht="15.75" customHeight="1">
      <c r="A276" s="18"/>
      <c r="B276" s="18"/>
      <c r="C276" s="19"/>
      <c r="D276" s="18"/>
      <c r="E276" s="18"/>
      <c r="F276" s="18"/>
      <c r="G276" s="18"/>
      <c r="H276" s="18"/>
      <c r="I276" s="18"/>
      <c r="J276" s="18"/>
      <c r="K276" s="18"/>
    </row>
    <row r="277" spans="1:11" ht="15.75" customHeight="1">
      <c r="A277" s="18"/>
      <c r="B277" s="18"/>
      <c r="C277" s="19"/>
      <c r="D277" s="18"/>
      <c r="E277" s="18"/>
      <c r="F277" s="18"/>
      <c r="G277" s="18"/>
      <c r="H277" s="18"/>
      <c r="I277" s="18"/>
      <c r="J277" s="18"/>
      <c r="K277" s="18"/>
    </row>
    <row r="278" spans="1:11" ht="15.75" customHeight="1">
      <c r="A278" s="18"/>
      <c r="B278" s="18"/>
      <c r="C278" s="19"/>
      <c r="D278" s="18"/>
      <c r="E278" s="18"/>
      <c r="F278" s="18"/>
      <c r="G278" s="18"/>
      <c r="H278" s="18"/>
      <c r="I278" s="18"/>
      <c r="J278" s="18"/>
      <c r="K278" s="18"/>
    </row>
    <row r="279" spans="1:11" ht="15.75" customHeight="1">
      <c r="A279" s="18"/>
      <c r="B279" s="18"/>
      <c r="C279" s="19"/>
      <c r="D279" s="18"/>
      <c r="E279" s="18"/>
      <c r="F279" s="18"/>
      <c r="G279" s="18"/>
      <c r="H279" s="18"/>
      <c r="I279" s="18"/>
      <c r="J279" s="18"/>
      <c r="K279" s="18"/>
    </row>
    <row r="280" spans="1:11" ht="15.75" customHeight="1">
      <c r="A280" s="18"/>
      <c r="B280" s="18"/>
      <c r="C280" s="19"/>
      <c r="D280" s="18"/>
      <c r="E280" s="18"/>
      <c r="F280" s="18"/>
      <c r="G280" s="18"/>
      <c r="H280" s="18"/>
      <c r="I280" s="18"/>
      <c r="J280" s="18"/>
      <c r="K280" s="18"/>
    </row>
    <row r="281" spans="1:11" ht="15.75" customHeight="1">
      <c r="A281" s="18"/>
      <c r="B281" s="18"/>
      <c r="C281" s="19"/>
      <c r="D281" s="18"/>
      <c r="E281" s="18"/>
      <c r="F281" s="18"/>
      <c r="G281" s="18"/>
      <c r="H281" s="18"/>
      <c r="I281" s="18"/>
      <c r="J281" s="18"/>
      <c r="K281" s="18"/>
    </row>
    <row r="282" spans="1:11" ht="15.75" customHeight="1">
      <c r="A282" s="18"/>
      <c r="B282" s="18"/>
      <c r="C282" s="19"/>
      <c r="D282" s="18"/>
      <c r="E282" s="18"/>
      <c r="F282" s="18"/>
      <c r="G282" s="18"/>
      <c r="H282" s="18"/>
      <c r="I282" s="18"/>
      <c r="J282" s="18"/>
      <c r="K282" s="18"/>
    </row>
    <row r="283" spans="1:11" ht="15.75" customHeight="1">
      <c r="A283" s="18"/>
      <c r="B283" s="18"/>
      <c r="C283" s="19"/>
      <c r="D283" s="18"/>
      <c r="E283" s="18"/>
      <c r="F283" s="18"/>
      <c r="G283" s="18"/>
      <c r="H283" s="18"/>
      <c r="I283" s="18"/>
      <c r="J283" s="18"/>
      <c r="K283" s="18"/>
    </row>
    <row r="284" spans="1:11" ht="15.75" customHeight="1">
      <c r="A284" s="18"/>
      <c r="B284" s="18"/>
      <c r="C284" s="19"/>
      <c r="D284" s="18"/>
      <c r="E284" s="18"/>
      <c r="F284" s="18"/>
      <c r="G284" s="18"/>
      <c r="H284" s="18"/>
      <c r="I284" s="18"/>
      <c r="J284" s="18"/>
      <c r="K284" s="18"/>
    </row>
    <row r="285" spans="1:11" ht="15.75" customHeight="1">
      <c r="A285" s="18"/>
      <c r="B285" s="18"/>
      <c r="C285" s="19"/>
      <c r="D285" s="18"/>
      <c r="E285" s="18"/>
      <c r="F285" s="18"/>
      <c r="G285" s="18"/>
      <c r="H285" s="18"/>
      <c r="I285" s="18"/>
      <c r="J285" s="18"/>
      <c r="K285" s="18"/>
    </row>
    <row r="286" spans="1:11" ht="15.75" customHeight="1">
      <c r="A286" s="18"/>
      <c r="B286" s="18"/>
      <c r="C286" s="19"/>
      <c r="D286" s="18"/>
      <c r="E286" s="18"/>
      <c r="F286" s="18"/>
      <c r="G286" s="18"/>
      <c r="H286" s="18"/>
      <c r="I286" s="18"/>
      <c r="J286" s="18"/>
      <c r="K286" s="18"/>
    </row>
    <row r="287" spans="1:11" ht="15.75" customHeight="1">
      <c r="A287" s="18"/>
      <c r="B287" s="18"/>
      <c r="C287" s="19"/>
      <c r="D287" s="18"/>
      <c r="E287" s="18"/>
      <c r="F287" s="18"/>
      <c r="G287" s="18"/>
      <c r="H287" s="18"/>
      <c r="I287" s="18"/>
      <c r="J287" s="18"/>
      <c r="K287" s="18"/>
    </row>
    <row r="288" spans="1:11" ht="15.75" customHeight="1">
      <c r="A288" s="18"/>
      <c r="B288" s="18"/>
      <c r="C288" s="19"/>
      <c r="D288" s="18"/>
      <c r="E288" s="18"/>
      <c r="F288" s="18"/>
      <c r="G288" s="18"/>
      <c r="H288" s="18"/>
      <c r="I288" s="18"/>
      <c r="J288" s="18"/>
      <c r="K288" s="18"/>
    </row>
    <row r="289" spans="1:11" ht="15.75" customHeight="1">
      <c r="A289" s="18"/>
      <c r="B289" s="18"/>
      <c r="C289" s="19"/>
      <c r="D289" s="18"/>
      <c r="E289" s="18"/>
      <c r="F289" s="18"/>
      <c r="G289" s="18"/>
      <c r="H289" s="18"/>
      <c r="I289" s="18"/>
      <c r="J289" s="18"/>
      <c r="K289" s="18"/>
    </row>
    <row r="290" spans="1:11" ht="15.75" customHeight="1">
      <c r="A290" s="18"/>
      <c r="B290" s="18"/>
      <c r="C290" s="19"/>
      <c r="D290" s="18"/>
      <c r="E290" s="18"/>
      <c r="F290" s="18"/>
      <c r="G290" s="18"/>
      <c r="H290" s="18"/>
      <c r="I290" s="18"/>
      <c r="J290" s="18"/>
      <c r="K290" s="18"/>
    </row>
    <row r="291" spans="1:11" ht="15.75" customHeight="1">
      <c r="A291" s="18"/>
      <c r="B291" s="18"/>
      <c r="C291" s="19"/>
      <c r="D291" s="18"/>
      <c r="E291" s="18"/>
      <c r="F291" s="18"/>
      <c r="G291" s="18"/>
      <c r="H291" s="18"/>
      <c r="I291" s="18"/>
      <c r="J291" s="18"/>
      <c r="K291" s="18"/>
    </row>
    <row r="292" spans="1:11" ht="15.75" customHeight="1">
      <c r="A292" s="18"/>
      <c r="B292" s="18"/>
      <c r="C292" s="19"/>
      <c r="D292" s="18"/>
      <c r="E292" s="18"/>
      <c r="F292" s="18"/>
      <c r="G292" s="18"/>
      <c r="H292" s="18"/>
      <c r="I292" s="18"/>
      <c r="J292" s="18"/>
      <c r="K292" s="18"/>
    </row>
    <row r="293" spans="1:11" ht="15.75" customHeight="1">
      <c r="A293" s="18"/>
      <c r="B293" s="18"/>
      <c r="C293" s="19"/>
      <c r="D293" s="18"/>
      <c r="E293" s="18"/>
      <c r="F293" s="18"/>
      <c r="G293" s="18"/>
      <c r="H293" s="18"/>
      <c r="I293" s="18"/>
      <c r="J293" s="18"/>
      <c r="K293" s="18"/>
    </row>
    <row r="294" spans="1:11" ht="15.75" customHeight="1">
      <c r="A294" s="18"/>
      <c r="B294" s="18"/>
      <c r="C294" s="19"/>
      <c r="D294" s="18"/>
      <c r="E294" s="18"/>
      <c r="F294" s="18"/>
      <c r="G294" s="18"/>
      <c r="H294" s="18"/>
      <c r="I294" s="18"/>
      <c r="J294" s="18"/>
      <c r="K294" s="18"/>
    </row>
    <row r="295" spans="1:11" ht="15.75" customHeight="1">
      <c r="A295" s="18"/>
      <c r="B295" s="18"/>
      <c r="C295" s="19"/>
      <c r="D295" s="18"/>
      <c r="E295" s="18"/>
      <c r="F295" s="18"/>
      <c r="G295" s="18"/>
      <c r="H295" s="18"/>
      <c r="I295" s="18"/>
      <c r="J295" s="18"/>
      <c r="K295" s="18"/>
    </row>
    <row r="296" spans="1:11" ht="15.75" customHeight="1">
      <c r="A296" s="18"/>
      <c r="B296" s="18"/>
      <c r="C296" s="19"/>
      <c r="D296" s="18"/>
      <c r="E296" s="18"/>
      <c r="F296" s="18"/>
      <c r="G296" s="18"/>
      <c r="H296" s="18"/>
      <c r="I296" s="18"/>
      <c r="J296" s="18"/>
      <c r="K296" s="18"/>
    </row>
    <row r="297" spans="1:11" ht="15.75" customHeight="1">
      <c r="A297" s="18"/>
      <c r="B297" s="18"/>
      <c r="C297" s="19"/>
      <c r="D297" s="18"/>
      <c r="E297" s="18"/>
      <c r="F297" s="18"/>
      <c r="G297" s="18"/>
      <c r="H297" s="18"/>
      <c r="I297" s="18"/>
      <c r="J297" s="18"/>
      <c r="K297" s="18"/>
    </row>
    <row r="298" spans="1:11" ht="15.75" customHeight="1">
      <c r="A298" s="18"/>
      <c r="B298" s="18"/>
      <c r="C298" s="19"/>
      <c r="D298" s="18"/>
      <c r="E298" s="18"/>
      <c r="F298" s="18"/>
      <c r="G298" s="18"/>
      <c r="H298" s="18"/>
      <c r="I298" s="18"/>
      <c r="J298" s="18"/>
      <c r="K298" s="18"/>
    </row>
    <row r="299" spans="1:11" ht="15.75" customHeight="1">
      <c r="A299" s="18"/>
      <c r="B299" s="18"/>
      <c r="C299" s="19"/>
      <c r="D299" s="18"/>
      <c r="E299" s="18"/>
      <c r="F299" s="18"/>
      <c r="G299" s="18"/>
      <c r="H299" s="18"/>
      <c r="I299" s="18"/>
      <c r="J299" s="18"/>
      <c r="K299" s="18"/>
    </row>
    <row r="300" spans="1:11" ht="15.75" customHeight="1">
      <c r="A300" s="18"/>
      <c r="B300" s="18"/>
      <c r="C300" s="19"/>
      <c r="D300" s="18"/>
      <c r="E300" s="18"/>
      <c r="F300" s="18"/>
      <c r="G300" s="18"/>
      <c r="H300" s="18"/>
      <c r="I300" s="18"/>
      <c r="J300" s="18"/>
      <c r="K300" s="18"/>
    </row>
    <row r="301" spans="1:11" ht="15.75" customHeight="1">
      <c r="A301" s="18"/>
      <c r="B301" s="18"/>
      <c r="C301" s="19"/>
      <c r="D301" s="18"/>
      <c r="E301" s="18"/>
      <c r="F301" s="18"/>
      <c r="G301" s="18"/>
      <c r="H301" s="18"/>
      <c r="I301" s="18"/>
      <c r="J301" s="18"/>
      <c r="K301" s="18"/>
    </row>
    <row r="302" spans="1:11" ht="15.75" customHeight="1">
      <c r="A302" s="18"/>
      <c r="B302" s="18"/>
      <c r="C302" s="19"/>
      <c r="D302" s="18"/>
      <c r="E302" s="18"/>
      <c r="F302" s="18"/>
      <c r="G302" s="18"/>
      <c r="H302" s="18"/>
      <c r="I302" s="18"/>
      <c r="J302" s="18"/>
      <c r="K302" s="18"/>
    </row>
    <row r="303" spans="1:11" ht="15.75" customHeight="1">
      <c r="A303" s="18"/>
      <c r="B303" s="18"/>
      <c r="C303" s="19"/>
      <c r="D303" s="18"/>
      <c r="E303" s="18"/>
      <c r="F303" s="18"/>
      <c r="G303" s="18"/>
      <c r="H303" s="18"/>
      <c r="I303" s="18"/>
      <c r="J303" s="18"/>
      <c r="K303" s="18"/>
    </row>
    <row r="304" spans="1:11" ht="15.75" customHeight="1">
      <c r="A304" s="18"/>
      <c r="B304" s="18"/>
      <c r="C304" s="19"/>
      <c r="D304" s="18"/>
      <c r="E304" s="18"/>
      <c r="F304" s="18"/>
      <c r="G304" s="18"/>
      <c r="H304" s="18"/>
      <c r="I304" s="18"/>
      <c r="J304" s="18"/>
      <c r="K304" s="18"/>
    </row>
    <row r="305" spans="1:11" ht="15.75" customHeight="1">
      <c r="A305" s="18"/>
      <c r="B305" s="18"/>
      <c r="C305" s="19"/>
      <c r="D305" s="18"/>
      <c r="E305" s="18"/>
      <c r="F305" s="18"/>
      <c r="G305" s="18"/>
      <c r="H305" s="18"/>
      <c r="I305" s="18"/>
      <c r="J305" s="18"/>
      <c r="K305" s="18"/>
    </row>
    <row r="306" spans="1:11" ht="15.75" customHeight="1">
      <c r="A306" s="18"/>
      <c r="B306" s="18"/>
      <c r="C306" s="19"/>
      <c r="D306" s="18"/>
      <c r="E306" s="18"/>
      <c r="F306" s="18"/>
      <c r="G306" s="18"/>
      <c r="H306" s="18"/>
      <c r="I306" s="18"/>
      <c r="J306" s="18"/>
      <c r="K306" s="18"/>
    </row>
    <row r="307" spans="1:11" ht="15.75" customHeight="1">
      <c r="A307" s="18"/>
      <c r="B307" s="18"/>
      <c r="C307" s="19"/>
      <c r="D307" s="18"/>
      <c r="E307" s="18"/>
      <c r="F307" s="18"/>
      <c r="G307" s="18"/>
      <c r="H307" s="18"/>
      <c r="I307" s="18"/>
      <c r="J307" s="18"/>
      <c r="K307" s="18"/>
    </row>
    <row r="308" spans="1:11" ht="15.75" customHeight="1">
      <c r="A308" s="18"/>
      <c r="B308" s="18"/>
      <c r="C308" s="19"/>
      <c r="D308" s="18"/>
      <c r="E308" s="18"/>
      <c r="F308" s="18"/>
      <c r="G308" s="18"/>
      <c r="H308" s="18"/>
      <c r="I308" s="18"/>
      <c r="J308" s="18"/>
      <c r="K308" s="18"/>
    </row>
    <row r="309" spans="1:11" ht="15.75" customHeight="1">
      <c r="A309" s="18"/>
      <c r="B309" s="18"/>
      <c r="C309" s="19"/>
      <c r="D309" s="18"/>
      <c r="E309" s="18"/>
      <c r="F309" s="18"/>
      <c r="G309" s="18"/>
      <c r="H309" s="18"/>
      <c r="I309" s="18"/>
      <c r="J309" s="18"/>
      <c r="K309" s="18"/>
    </row>
    <row r="310" spans="1:11" ht="15.75" customHeight="1">
      <c r="A310" s="18"/>
      <c r="B310" s="18"/>
      <c r="C310" s="19"/>
      <c r="D310" s="18"/>
      <c r="E310" s="18"/>
      <c r="F310" s="18"/>
      <c r="G310" s="18"/>
      <c r="H310" s="18"/>
      <c r="I310" s="18"/>
      <c r="J310" s="18"/>
      <c r="K310" s="18"/>
    </row>
    <row r="311" spans="1:11" ht="15.75" customHeight="1">
      <c r="A311" s="18"/>
      <c r="B311" s="18"/>
      <c r="C311" s="19"/>
      <c r="D311" s="18"/>
      <c r="E311" s="18"/>
      <c r="F311" s="18"/>
      <c r="G311" s="18"/>
      <c r="H311" s="18"/>
      <c r="I311" s="18"/>
      <c r="J311" s="18"/>
      <c r="K311" s="18"/>
    </row>
    <row r="312" spans="1:11" ht="15.75" customHeight="1">
      <c r="A312" s="18"/>
      <c r="B312" s="18"/>
      <c r="C312" s="19"/>
      <c r="D312" s="18"/>
      <c r="E312" s="18"/>
      <c r="F312" s="18"/>
      <c r="G312" s="18"/>
      <c r="H312" s="18"/>
      <c r="I312" s="18"/>
      <c r="J312" s="18"/>
      <c r="K312" s="18"/>
    </row>
    <row r="313" spans="1:11" ht="15.75" customHeight="1">
      <c r="A313" s="18"/>
      <c r="B313" s="18"/>
      <c r="C313" s="19"/>
      <c r="D313" s="18"/>
      <c r="E313" s="18"/>
      <c r="F313" s="18"/>
      <c r="G313" s="18"/>
      <c r="H313" s="18"/>
      <c r="I313" s="18"/>
      <c r="J313" s="18"/>
      <c r="K313" s="18"/>
    </row>
    <row r="314" spans="1:11" ht="15.75" customHeight="1">
      <c r="A314" s="18"/>
      <c r="B314" s="18"/>
      <c r="C314" s="19"/>
      <c r="D314" s="18"/>
      <c r="E314" s="18"/>
      <c r="F314" s="18"/>
      <c r="G314" s="18"/>
      <c r="H314" s="18"/>
      <c r="I314" s="18"/>
      <c r="J314" s="18"/>
      <c r="K314" s="18"/>
    </row>
    <row r="315" spans="1:11" ht="15.75" customHeight="1">
      <c r="A315" s="18"/>
      <c r="B315" s="18"/>
      <c r="C315" s="19"/>
      <c r="D315" s="18"/>
      <c r="E315" s="18"/>
      <c r="F315" s="18"/>
      <c r="G315" s="18"/>
      <c r="H315" s="18"/>
      <c r="I315" s="18"/>
      <c r="J315" s="18"/>
      <c r="K315" s="18"/>
    </row>
    <row r="316" spans="1:11" ht="15.75" customHeight="1">
      <c r="A316" s="18"/>
      <c r="B316" s="18"/>
      <c r="C316" s="19"/>
      <c r="D316" s="18"/>
      <c r="E316" s="18"/>
      <c r="F316" s="18"/>
      <c r="G316" s="18"/>
      <c r="H316" s="18"/>
      <c r="I316" s="18"/>
      <c r="J316" s="18"/>
      <c r="K316" s="18"/>
    </row>
    <row r="317" spans="1:11" ht="15.75" customHeight="1">
      <c r="A317" s="18"/>
      <c r="B317" s="18"/>
      <c r="C317" s="19"/>
      <c r="D317" s="18"/>
      <c r="E317" s="18"/>
      <c r="F317" s="18"/>
      <c r="G317" s="18"/>
      <c r="H317" s="18"/>
      <c r="I317" s="18"/>
      <c r="J317" s="18"/>
      <c r="K317" s="18"/>
    </row>
    <row r="318" spans="1:11" ht="15.75" customHeight="1">
      <c r="A318" s="18"/>
      <c r="B318" s="18"/>
      <c r="C318" s="19"/>
      <c r="D318" s="18"/>
      <c r="E318" s="18"/>
      <c r="F318" s="18"/>
      <c r="G318" s="18"/>
      <c r="H318" s="18"/>
      <c r="I318" s="18"/>
      <c r="J318" s="18"/>
      <c r="K318" s="18"/>
    </row>
    <row r="319" spans="1:11" ht="15.75" customHeight="1">
      <c r="A319" s="18"/>
      <c r="B319" s="18"/>
      <c r="C319" s="19"/>
      <c r="D319" s="18"/>
      <c r="E319" s="18"/>
      <c r="F319" s="18"/>
      <c r="G319" s="18"/>
      <c r="H319" s="18"/>
      <c r="I319" s="18"/>
      <c r="J319" s="18"/>
      <c r="K319" s="18"/>
    </row>
    <row r="320" spans="1:11" ht="15.75" customHeight="1">
      <c r="A320" s="18"/>
      <c r="B320" s="18"/>
      <c r="C320" s="19"/>
      <c r="D320" s="18"/>
      <c r="E320" s="18"/>
      <c r="F320" s="18"/>
      <c r="G320" s="18"/>
      <c r="H320" s="18"/>
      <c r="I320" s="18"/>
      <c r="J320" s="18"/>
      <c r="K320" s="18"/>
    </row>
    <row r="321" spans="1:11" ht="15.75" customHeight="1">
      <c r="A321" s="18"/>
      <c r="B321" s="18"/>
      <c r="C321" s="19"/>
      <c r="D321" s="18"/>
      <c r="E321" s="18"/>
      <c r="F321" s="18"/>
      <c r="G321" s="18"/>
      <c r="H321" s="18"/>
      <c r="I321" s="18"/>
      <c r="J321" s="18"/>
      <c r="K321" s="18"/>
    </row>
    <row r="322" spans="1:11" ht="15.75" customHeight="1">
      <c r="A322" s="18"/>
      <c r="B322" s="18"/>
      <c r="C322" s="19"/>
      <c r="D322" s="18"/>
      <c r="E322" s="18"/>
      <c r="F322" s="18"/>
      <c r="G322" s="18"/>
      <c r="H322" s="18"/>
      <c r="I322" s="18"/>
      <c r="J322" s="18"/>
      <c r="K322" s="18"/>
    </row>
    <row r="323" spans="1:11" ht="15.75" customHeight="1">
      <c r="A323" s="18"/>
      <c r="B323" s="18"/>
      <c r="C323" s="19"/>
      <c r="D323" s="18"/>
      <c r="E323" s="18"/>
      <c r="F323" s="18"/>
      <c r="G323" s="18"/>
      <c r="H323" s="18"/>
      <c r="I323" s="18"/>
      <c r="J323" s="18"/>
      <c r="K323" s="18"/>
    </row>
    <row r="324" spans="1:11" ht="15.75" customHeight="1">
      <c r="A324" s="18"/>
      <c r="B324" s="18"/>
      <c r="C324" s="19"/>
      <c r="D324" s="18"/>
      <c r="E324" s="18"/>
      <c r="F324" s="18"/>
      <c r="G324" s="18"/>
      <c r="H324" s="18"/>
      <c r="I324" s="18"/>
      <c r="J324" s="18"/>
      <c r="K324" s="18"/>
    </row>
    <row r="325" spans="1:11" ht="15.75" customHeight="1">
      <c r="A325" s="18"/>
      <c r="B325" s="18"/>
      <c r="C325" s="19"/>
      <c r="D325" s="18"/>
      <c r="E325" s="18"/>
      <c r="F325" s="18"/>
      <c r="G325" s="18"/>
      <c r="H325" s="18"/>
      <c r="I325" s="18"/>
      <c r="J325" s="18"/>
      <c r="K325" s="18"/>
    </row>
    <row r="326" spans="1:11" ht="15.75" customHeight="1">
      <c r="A326" s="18"/>
      <c r="B326" s="18"/>
      <c r="C326" s="19"/>
      <c r="D326" s="18"/>
      <c r="E326" s="18"/>
      <c r="F326" s="18"/>
      <c r="G326" s="18"/>
      <c r="H326" s="18"/>
      <c r="I326" s="18"/>
      <c r="J326" s="18"/>
      <c r="K326" s="18"/>
    </row>
    <row r="327" spans="1:11" ht="15.75" customHeight="1">
      <c r="A327" s="18"/>
      <c r="B327" s="18"/>
      <c r="C327" s="19"/>
      <c r="D327" s="18"/>
      <c r="E327" s="18"/>
      <c r="F327" s="18"/>
      <c r="G327" s="18"/>
      <c r="H327" s="18"/>
      <c r="I327" s="18"/>
      <c r="J327" s="18"/>
      <c r="K327" s="18"/>
    </row>
    <row r="328" spans="1:11" ht="15.75" customHeight="1">
      <c r="A328" s="18"/>
      <c r="B328" s="18"/>
      <c r="C328" s="19"/>
      <c r="D328" s="18"/>
      <c r="E328" s="18"/>
      <c r="F328" s="18"/>
      <c r="G328" s="18"/>
      <c r="H328" s="18"/>
      <c r="I328" s="18"/>
      <c r="J328" s="18"/>
      <c r="K328" s="18"/>
    </row>
    <row r="329" spans="1:11" ht="15.75" customHeight="1">
      <c r="A329" s="18"/>
      <c r="B329" s="18"/>
      <c r="C329" s="19"/>
      <c r="D329" s="18"/>
      <c r="E329" s="18"/>
      <c r="F329" s="18"/>
      <c r="G329" s="18"/>
      <c r="H329" s="18"/>
      <c r="I329" s="18"/>
      <c r="J329" s="18"/>
      <c r="K329" s="18"/>
    </row>
    <row r="330" spans="1:11" ht="15.75" customHeight="1">
      <c r="A330" s="18"/>
      <c r="B330" s="18"/>
      <c r="C330" s="19"/>
      <c r="D330" s="18"/>
      <c r="E330" s="18"/>
      <c r="F330" s="18"/>
      <c r="G330" s="18"/>
      <c r="H330" s="18"/>
      <c r="I330" s="18"/>
      <c r="J330" s="18"/>
      <c r="K330" s="18"/>
    </row>
    <row r="331" spans="1:11" ht="15.75" customHeight="1">
      <c r="A331" s="18"/>
      <c r="B331" s="18"/>
      <c r="C331" s="19"/>
      <c r="D331" s="18"/>
      <c r="E331" s="18"/>
      <c r="F331" s="18"/>
      <c r="G331" s="18"/>
      <c r="H331" s="18"/>
      <c r="I331" s="18"/>
      <c r="J331" s="18"/>
      <c r="K331" s="18"/>
    </row>
    <row r="332" spans="1:11" ht="15.75" customHeight="1">
      <c r="A332" s="18"/>
      <c r="B332" s="18"/>
      <c r="C332" s="19"/>
      <c r="D332" s="18"/>
      <c r="E332" s="18"/>
      <c r="F332" s="18"/>
      <c r="G332" s="18"/>
      <c r="H332" s="18"/>
      <c r="I332" s="18"/>
      <c r="J332" s="18"/>
      <c r="K332" s="18"/>
    </row>
    <row r="333" spans="1:11" ht="15.75" customHeight="1">
      <c r="A333" s="18"/>
      <c r="B333" s="18"/>
      <c r="C333" s="19"/>
      <c r="D333" s="18"/>
      <c r="E333" s="18"/>
      <c r="F333" s="18"/>
      <c r="G333" s="18"/>
      <c r="H333" s="18"/>
      <c r="I333" s="18"/>
      <c r="J333" s="18"/>
      <c r="K333" s="18"/>
    </row>
    <row r="334" spans="1:11" ht="15.75" customHeight="1">
      <c r="A334" s="18"/>
      <c r="B334" s="18"/>
      <c r="C334" s="19"/>
      <c r="D334" s="18"/>
      <c r="E334" s="18"/>
      <c r="F334" s="18"/>
      <c r="G334" s="18"/>
      <c r="H334" s="18"/>
      <c r="I334" s="18"/>
      <c r="J334" s="18"/>
      <c r="K334" s="18"/>
    </row>
    <row r="335" spans="1:11" ht="15.75" customHeight="1">
      <c r="A335" s="18"/>
      <c r="B335" s="18"/>
      <c r="C335" s="19"/>
      <c r="D335" s="18"/>
      <c r="E335" s="18"/>
      <c r="F335" s="18"/>
      <c r="G335" s="18"/>
      <c r="H335" s="18"/>
      <c r="I335" s="18"/>
      <c r="J335" s="18"/>
      <c r="K335" s="18"/>
    </row>
    <row r="336" spans="1:11" ht="15.75" customHeight="1">
      <c r="A336" s="18"/>
      <c r="B336" s="18"/>
      <c r="C336" s="19"/>
      <c r="D336" s="18"/>
      <c r="E336" s="18"/>
      <c r="F336" s="18"/>
      <c r="G336" s="18"/>
      <c r="H336" s="18"/>
      <c r="I336" s="18"/>
      <c r="J336" s="18"/>
      <c r="K336" s="18"/>
    </row>
    <row r="337" spans="1:11" ht="15.75" customHeight="1">
      <c r="A337" s="18"/>
      <c r="B337" s="18"/>
      <c r="C337" s="19"/>
      <c r="D337" s="18"/>
      <c r="E337" s="18"/>
      <c r="F337" s="18"/>
      <c r="G337" s="18"/>
      <c r="H337" s="18"/>
      <c r="I337" s="18"/>
      <c r="J337" s="18"/>
      <c r="K337" s="18"/>
    </row>
    <row r="338" spans="1:11" ht="15.75" customHeight="1">
      <c r="A338" s="18"/>
      <c r="B338" s="18"/>
      <c r="C338" s="19"/>
      <c r="D338" s="18"/>
      <c r="E338" s="18"/>
      <c r="F338" s="18"/>
      <c r="G338" s="18"/>
      <c r="H338" s="18"/>
      <c r="I338" s="18"/>
      <c r="J338" s="18"/>
      <c r="K338" s="18"/>
    </row>
    <row r="339" spans="1:11" ht="15.75" customHeight="1">
      <c r="A339" s="18"/>
      <c r="B339" s="18"/>
      <c r="C339" s="19"/>
      <c r="D339" s="18"/>
      <c r="E339" s="18"/>
      <c r="F339" s="18"/>
      <c r="G339" s="18"/>
      <c r="H339" s="18"/>
      <c r="I339" s="18"/>
      <c r="J339" s="18"/>
      <c r="K339" s="18"/>
    </row>
    <row r="340" spans="1:11" ht="15.75" customHeight="1">
      <c r="A340" s="18"/>
      <c r="B340" s="18"/>
      <c r="C340" s="19"/>
      <c r="D340" s="18"/>
      <c r="E340" s="18"/>
      <c r="F340" s="18"/>
      <c r="G340" s="18"/>
      <c r="H340" s="18"/>
      <c r="I340" s="18"/>
      <c r="J340" s="18"/>
      <c r="K340" s="18"/>
    </row>
    <row r="341" spans="1:11" ht="15.75" customHeight="1">
      <c r="A341" s="18"/>
      <c r="B341" s="18"/>
      <c r="C341" s="19"/>
      <c r="D341" s="18"/>
      <c r="E341" s="18"/>
      <c r="F341" s="18"/>
      <c r="G341" s="18"/>
      <c r="H341" s="18"/>
      <c r="I341" s="18"/>
      <c r="J341" s="18"/>
      <c r="K341" s="18"/>
    </row>
    <row r="342" spans="1:11" ht="15.75" customHeight="1">
      <c r="A342" s="18"/>
      <c r="B342" s="18"/>
      <c r="C342" s="19"/>
      <c r="D342" s="18"/>
      <c r="E342" s="18"/>
      <c r="F342" s="18"/>
      <c r="G342" s="18"/>
      <c r="H342" s="18"/>
      <c r="I342" s="18"/>
      <c r="J342" s="18"/>
      <c r="K342" s="18"/>
    </row>
    <row r="343" spans="1:11" ht="15.75" customHeight="1">
      <c r="A343" s="18"/>
      <c r="B343" s="18"/>
      <c r="C343" s="19"/>
      <c r="D343" s="18"/>
      <c r="E343" s="18"/>
      <c r="F343" s="18"/>
      <c r="G343" s="18"/>
      <c r="H343" s="18"/>
      <c r="I343" s="18"/>
      <c r="J343" s="18"/>
      <c r="K343" s="18"/>
    </row>
    <row r="344" spans="1:11" ht="15.75" customHeight="1">
      <c r="A344" s="18"/>
      <c r="B344" s="18"/>
      <c r="C344" s="19"/>
      <c r="D344" s="18"/>
      <c r="E344" s="18"/>
      <c r="F344" s="18"/>
      <c r="G344" s="18"/>
      <c r="H344" s="18"/>
      <c r="I344" s="18"/>
      <c r="J344" s="18"/>
      <c r="K344" s="18"/>
    </row>
    <row r="345" spans="1:11" ht="15.75" customHeight="1">
      <c r="A345" s="18"/>
      <c r="B345" s="18"/>
      <c r="C345" s="19"/>
      <c r="D345" s="18"/>
      <c r="E345" s="18"/>
      <c r="F345" s="18"/>
      <c r="G345" s="18"/>
      <c r="H345" s="18"/>
      <c r="I345" s="18"/>
      <c r="J345" s="18"/>
      <c r="K345" s="18"/>
    </row>
    <row r="346" spans="1:11" ht="15.75" customHeight="1">
      <c r="A346" s="18"/>
      <c r="B346" s="18"/>
      <c r="C346" s="19"/>
      <c r="D346" s="18"/>
      <c r="E346" s="18"/>
      <c r="F346" s="18"/>
      <c r="G346" s="18"/>
      <c r="H346" s="18"/>
      <c r="I346" s="18"/>
      <c r="J346" s="18"/>
      <c r="K346" s="18"/>
    </row>
    <row r="347" spans="1:11" ht="15.75" customHeight="1">
      <c r="A347" s="18"/>
      <c r="B347" s="18"/>
      <c r="C347" s="19"/>
      <c r="D347" s="18"/>
      <c r="E347" s="18"/>
      <c r="F347" s="18"/>
      <c r="G347" s="18"/>
      <c r="H347" s="18"/>
      <c r="I347" s="18"/>
      <c r="J347" s="18"/>
      <c r="K347" s="18"/>
    </row>
    <row r="348" spans="1:11" ht="15.75" customHeight="1">
      <c r="A348" s="18"/>
      <c r="B348" s="18"/>
      <c r="C348" s="19"/>
      <c r="D348" s="18"/>
      <c r="E348" s="18"/>
      <c r="F348" s="18"/>
      <c r="G348" s="18"/>
      <c r="H348" s="18"/>
      <c r="I348" s="18"/>
      <c r="J348" s="18"/>
      <c r="K348" s="18"/>
    </row>
    <row r="349" spans="1:11" ht="15.75" customHeight="1">
      <c r="A349" s="18"/>
      <c r="B349" s="18"/>
      <c r="C349" s="19"/>
      <c r="D349" s="18"/>
      <c r="E349" s="18"/>
      <c r="F349" s="18"/>
      <c r="G349" s="18"/>
      <c r="H349" s="18"/>
      <c r="I349" s="18"/>
      <c r="J349" s="18"/>
      <c r="K349" s="18"/>
    </row>
    <row r="350" spans="1:11" ht="15.75" customHeight="1">
      <c r="A350" s="18"/>
      <c r="B350" s="18"/>
      <c r="C350" s="19"/>
      <c r="D350" s="18"/>
      <c r="E350" s="18"/>
      <c r="F350" s="18"/>
      <c r="G350" s="18"/>
      <c r="H350" s="18"/>
      <c r="I350" s="18"/>
      <c r="J350" s="18"/>
      <c r="K350" s="18"/>
    </row>
    <row r="351" spans="1:11" ht="15.75" customHeight="1">
      <c r="A351" s="18"/>
      <c r="B351" s="18"/>
      <c r="C351" s="19"/>
      <c r="D351" s="18"/>
      <c r="E351" s="18"/>
      <c r="F351" s="18"/>
      <c r="G351" s="18"/>
      <c r="H351" s="18"/>
      <c r="I351" s="18"/>
      <c r="J351" s="18"/>
      <c r="K351" s="18"/>
    </row>
    <row r="352" spans="1:11" ht="15.75" customHeight="1">
      <c r="A352" s="18"/>
      <c r="B352" s="18"/>
      <c r="C352" s="19"/>
      <c r="D352" s="18"/>
      <c r="E352" s="18"/>
      <c r="F352" s="18"/>
      <c r="G352" s="18"/>
      <c r="H352" s="18"/>
      <c r="I352" s="18"/>
      <c r="J352" s="18"/>
      <c r="K352" s="18"/>
    </row>
    <row r="353" spans="1:11" ht="15.75" customHeight="1">
      <c r="A353" s="18"/>
      <c r="B353" s="18"/>
      <c r="C353" s="19"/>
      <c r="D353" s="18"/>
      <c r="E353" s="18"/>
      <c r="F353" s="18"/>
      <c r="G353" s="18"/>
      <c r="H353" s="18"/>
      <c r="I353" s="18"/>
      <c r="J353" s="18"/>
      <c r="K353" s="18"/>
    </row>
    <row r="354" spans="1:11" ht="15.75" customHeight="1">
      <c r="A354" s="18"/>
      <c r="B354" s="18"/>
      <c r="C354" s="19"/>
      <c r="D354" s="18"/>
      <c r="E354" s="18"/>
      <c r="F354" s="18"/>
      <c r="G354" s="18"/>
      <c r="H354" s="18"/>
      <c r="I354" s="18"/>
      <c r="J354" s="18"/>
      <c r="K354" s="18"/>
    </row>
    <row r="355" spans="1:11" ht="15.75" customHeight="1">
      <c r="A355" s="18"/>
      <c r="B355" s="18"/>
      <c r="C355" s="19"/>
      <c r="D355" s="18"/>
      <c r="E355" s="18"/>
      <c r="F355" s="18"/>
      <c r="G355" s="18"/>
      <c r="H355" s="18"/>
      <c r="I355" s="18"/>
      <c r="J355" s="18"/>
      <c r="K355" s="18"/>
    </row>
    <row r="356" spans="1:11" ht="15.75" customHeight="1">
      <c r="A356" s="18"/>
      <c r="B356" s="18"/>
      <c r="C356" s="19"/>
      <c r="D356" s="18"/>
      <c r="E356" s="18"/>
      <c r="F356" s="18"/>
      <c r="G356" s="18"/>
      <c r="H356" s="18"/>
      <c r="I356" s="18"/>
      <c r="J356" s="18"/>
      <c r="K356" s="18"/>
    </row>
    <row r="357" spans="1:11" ht="15.75" customHeight="1">
      <c r="A357" s="18"/>
      <c r="B357" s="18"/>
      <c r="C357" s="19"/>
      <c r="D357" s="18"/>
      <c r="E357" s="18"/>
      <c r="F357" s="18"/>
      <c r="G357" s="18"/>
      <c r="H357" s="18"/>
      <c r="I357" s="18"/>
      <c r="J357" s="18"/>
      <c r="K357" s="18"/>
    </row>
    <row r="358" spans="1:11" ht="15.75" customHeight="1">
      <c r="A358" s="18"/>
      <c r="B358" s="18"/>
      <c r="C358" s="19"/>
      <c r="D358" s="18"/>
      <c r="E358" s="18"/>
      <c r="F358" s="18"/>
      <c r="G358" s="18"/>
      <c r="H358" s="18"/>
      <c r="I358" s="18"/>
      <c r="J358" s="18"/>
      <c r="K358" s="18"/>
    </row>
    <row r="359" spans="1:11" ht="15.75" customHeight="1">
      <c r="A359" s="18"/>
      <c r="B359" s="18"/>
      <c r="C359" s="19"/>
      <c r="D359" s="18"/>
      <c r="E359" s="18"/>
      <c r="F359" s="18"/>
      <c r="G359" s="18"/>
      <c r="H359" s="18"/>
      <c r="I359" s="18"/>
      <c r="J359" s="18"/>
      <c r="K359" s="18"/>
    </row>
    <row r="360" spans="1:11" ht="15.75" customHeight="1">
      <c r="A360" s="18"/>
      <c r="B360" s="18"/>
      <c r="C360" s="19"/>
      <c r="D360" s="18"/>
      <c r="E360" s="18"/>
      <c r="F360" s="18"/>
      <c r="G360" s="18"/>
      <c r="H360" s="18"/>
      <c r="I360" s="18"/>
      <c r="J360" s="18"/>
      <c r="K360" s="18"/>
    </row>
    <row r="361" spans="1:11" ht="15.75" customHeight="1">
      <c r="A361" s="18"/>
      <c r="B361" s="18"/>
      <c r="C361" s="19"/>
      <c r="D361" s="18"/>
      <c r="E361" s="18"/>
      <c r="F361" s="18"/>
      <c r="G361" s="18"/>
      <c r="H361" s="18"/>
      <c r="I361" s="18"/>
      <c r="J361" s="18"/>
      <c r="K361" s="18"/>
    </row>
    <row r="362" spans="1:11" ht="15.75" customHeight="1">
      <c r="A362" s="18"/>
      <c r="B362" s="18"/>
      <c r="C362" s="19"/>
      <c r="D362" s="18"/>
      <c r="E362" s="18"/>
      <c r="F362" s="18"/>
      <c r="G362" s="18"/>
      <c r="H362" s="18"/>
      <c r="I362" s="18"/>
      <c r="J362" s="18"/>
      <c r="K362" s="18"/>
    </row>
    <row r="363" spans="1:11" ht="15.75" customHeight="1">
      <c r="A363" s="18"/>
      <c r="B363" s="18"/>
      <c r="C363" s="19"/>
      <c r="D363" s="18"/>
      <c r="E363" s="18"/>
      <c r="F363" s="18"/>
      <c r="G363" s="18"/>
      <c r="H363" s="18"/>
      <c r="I363" s="18"/>
      <c r="J363" s="18"/>
      <c r="K363" s="18"/>
    </row>
    <row r="364" spans="1:11" ht="15.75" customHeight="1">
      <c r="A364" s="18"/>
      <c r="B364" s="18"/>
      <c r="C364" s="19"/>
      <c r="D364" s="18"/>
      <c r="E364" s="18"/>
      <c r="F364" s="18"/>
      <c r="G364" s="18"/>
      <c r="H364" s="18"/>
      <c r="I364" s="18"/>
      <c r="J364" s="18"/>
      <c r="K364" s="18"/>
    </row>
    <row r="365" spans="1:11" ht="15.75" customHeight="1">
      <c r="A365" s="18"/>
      <c r="B365" s="18"/>
      <c r="C365" s="19"/>
      <c r="D365" s="18"/>
      <c r="E365" s="18"/>
      <c r="F365" s="18"/>
      <c r="G365" s="18"/>
      <c r="H365" s="18"/>
      <c r="I365" s="18"/>
      <c r="J365" s="18"/>
      <c r="K365" s="18"/>
    </row>
    <row r="366" spans="1:11" ht="15.75" customHeight="1">
      <c r="A366" s="18"/>
      <c r="B366" s="18"/>
      <c r="C366" s="19"/>
      <c r="D366" s="18"/>
      <c r="E366" s="18"/>
      <c r="F366" s="18"/>
      <c r="G366" s="18"/>
      <c r="H366" s="18"/>
      <c r="I366" s="18"/>
      <c r="J366" s="18"/>
      <c r="K366" s="18"/>
    </row>
    <row r="367" spans="1:11" ht="15.75" customHeight="1">
      <c r="A367" s="18"/>
      <c r="B367" s="18"/>
      <c r="C367" s="19"/>
      <c r="D367" s="18"/>
      <c r="E367" s="18"/>
      <c r="F367" s="18"/>
      <c r="G367" s="18"/>
      <c r="H367" s="18"/>
      <c r="I367" s="18"/>
      <c r="J367" s="18"/>
      <c r="K367" s="18"/>
    </row>
    <row r="368" spans="1:11" ht="15.75" customHeight="1">
      <c r="A368" s="18"/>
      <c r="B368" s="18"/>
      <c r="C368" s="19"/>
      <c r="D368" s="18"/>
      <c r="E368" s="18"/>
      <c r="F368" s="18"/>
      <c r="G368" s="18"/>
      <c r="H368" s="18"/>
      <c r="I368" s="18"/>
      <c r="J368" s="18"/>
      <c r="K368" s="18"/>
    </row>
    <row r="369" spans="1:11" ht="15.75" customHeight="1">
      <c r="A369" s="18"/>
      <c r="B369" s="18"/>
      <c r="C369" s="19"/>
      <c r="D369" s="18"/>
      <c r="E369" s="18"/>
      <c r="F369" s="18"/>
      <c r="G369" s="18"/>
      <c r="H369" s="18"/>
      <c r="I369" s="18"/>
      <c r="J369" s="18"/>
      <c r="K369" s="18"/>
    </row>
    <row r="370" spans="1:11" ht="15.75" customHeight="1">
      <c r="A370" s="18"/>
      <c r="B370" s="18"/>
      <c r="C370" s="19"/>
      <c r="D370" s="18"/>
      <c r="E370" s="18"/>
      <c r="F370" s="18"/>
      <c r="G370" s="18"/>
      <c r="H370" s="18"/>
      <c r="I370" s="18"/>
      <c r="J370" s="18"/>
      <c r="K370" s="18"/>
    </row>
    <row r="371" spans="1:11" ht="15.75" customHeight="1">
      <c r="A371" s="18"/>
      <c r="B371" s="18"/>
      <c r="C371" s="19"/>
      <c r="D371" s="18"/>
      <c r="E371" s="18"/>
      <c r="F371" s="18"/>
      <c r="G371" s="18"/>
      <c r="H371" s="18"/>
      <c r="I371" s="18"/>
      <c r="J371" s="18"/>
      <c r="K371" s="18"/>
    </row>
    <row r="372" spans="1:11" ht="15.75" customHeight="1">
      <c r="A372" s="18"/>
      <c r="B372" s="18"/>
      <c r="C372" s="19"/>
      <c r="D372" s="18"/>
      <c r="E372" s="18"/>
      <c r="F372" s="18"/>
      <c r="G372" s="18"/>
      <c r="H372" s="18"/>
      <c r="I372" s="18"/>
      <c r="J372" s="18"/>
      <c r="K372" s="18"/>
    </row>
    <row r="373" spans="1:11" ht="15.75" customHeight="1">
      <c r="A373" s="18"/>
      <c r="B373" s="18"/>
      <c r="C373" s="19"/>
      <c r="D373" s="18"/>
      <c r="E373" s="18"/>
      <c r="F373" s="18"/>
      <c r="G373" s="18"/>
      <c r="H373" s="18"/>
      <c r="I373" s="18"/>
      <c r="J373" s="18"/>
      <c r="K373" s="18"/>
    </row>
    <row r="374" spans="1:11" ht="15.75" customHeight="1">
      <c r="A374" s="18"/>
      <c r="B374" s="18"/>
      <c r="C374" s="19"/>
      <c r="D374" s="18"/>
      <c r="E374" s="18"/>
      <c r="F374" s="18"/>
      <c r="G374" s="18"/>
      <c r="H374" s="18"/>
      <c r="I374" s="18"/>
      <c r="J374" s="18"/>
      <c r="K374" s="18"/>
    </row>
    <row r="375" spans="1:11" ht="15.75" customHeight="1">
      <c r="A375" s="18"/>
      <c r="B375" s="18"/>
      <c r="C375" s="19"/>
      <c r="D375" s="18"/>
      <c r="E375" s="18"/>
      <c r="F375" s="18"/>
      <c r="G375" s="18"/>
      <c r="H375" s="18"/>
      <c r="I375" s="18"/>
      <c r="J375" s="18"/>
      <c r="K375" s="18"/>
    </row>
    <row r="376" spans="1:11" ht="15.75" customHeight="1">
      <c r="A376" s="18"/>
      <c r="B376" s="18"/>
      <c r="C376" s="19"/>
      <c r="D376" s="18"/>
      <c r="E376" s="18"/>
      <c r="F376" s="18"/>
      <c r="G376" s="18"/>
      <c r="H376" s="18"/>
      <c r="I376" s="18"/>
      <c r="J376" s="18"/>
      <c r="K376" s="18"/>
    </row>
    <row r="377" spans="1:11" ht="15.75" customHeight="1">
      <c r="A377" s="18"/>
      <c r="B377" s="18"/>
      <c r="C377" s="19"/>
      <c r="D377" s="18"/>
      <c r="E377" s="18"/>
      <c r="F377" s="18"/>
      <c r="G377" s="18"/>
      <c r="H377" s="18"/>
      <c r="I377" s="18"/>
      <c r="J377" s="18"/>
      <c r="K377" s="18"/>
    </row>
    <row r="378" spans="1:11" ht="15.75" customHeight="1">
      <c r="A378" s="18"/>
      <c r="B378" s="18"/>
      <c r="C378" s="19"/>
      <c r="D378" s="18"/>
      <c r="E378" s="18"/>
      <c r="F378" s="18"/>
      <c r="G378" s="18"/>
      <c r="H378" s="18"/>
      <c r="I378" s="18"/>
      <c r="J378" s="18"/>
      <c r="K378" s="18"/>
    </row>
    <row r="379" spans="1:11" ht="15.75" customHeight="1">
      <c r="A379" s="18"/>
      <c r="B379" s="18"/>
      <c r="C379" s="19"/>
      <c r="D379" s="18"/>
      <c r="E379" s="18"/>
      <c r="F379" s="18"/>
      <c r="G379" s="18"/>
      <c r="H379" s="18"/>
      <c r="I379" s="18"/>
      <c r="J379" s="18"/>
      <c r="K379" s="18"/>
    </row>
    <row r="380" spans="1:11" ht="15.75" customHeight="1">
      <c r="A380" s="18"/>
      <c r="B380" s="18"/>
      <c r="C380" s="19"/>
      <c r="D380" s="18"/>
      <c r="E380" s="18"/>
      <c r="F380" s="18"/>
      <c r="G380" s="18"/>
      <c r="H380" s="18"/>
      <c r="I380" s="18"/>
      <c r="J380" s="18"/>
      <c r="K380" s="18"/>
    </row>
    <row r="381" spans="1:11" ht="15.75" customHeight="1">
      <c r="A381" s="18"/>
      <c r="B381" s="18"/>
      <c r="C381" s="19"/>
      <c r="D381" s="18"/>
      <c r="E381" s="18"/>
      <c r="F381" s="18"/>
      <c r="G381" s="18"/>
      <c r="H381" s="18"/>
      <c r="I381" s="18"/>
      <c r="J381" s="18"/>
      <c r="K381" s="18"/>
    </row>
    <row r="382" spans="1:11" ht="15.75" customHeight="1">
      <c r="A382" s="18"/>
      <c r="B382" s="18"/>
      <c r="C382" s="19"/>
      <c r="D382" s="18"/>
      <c r="E382" s="18"/>
      <c r="F382" s="18"/>
      <c r="G382" s="18"/>
      <c r="H382" s="18"/>
      <c r="I382" s="18"/>
      <c r="J382" s="18"/>
      <c r="K382" s="18"/>
    </row>
    <row r="383" spans="1:11" ht="15.75" customHeight="1">
      <c r="A383" s="18"/>
      <c r="B383" s="18"/>
      <c r="C383" s="19"/>
      <c r="D383" s="18"/>
      <c r="E383" s="18"/>
      <c r="F383" s="18"/>
      <c r="G383" s="18"/>
      <c r="H383" s="18"/>
      <c r="I383" s="18"/>
      <c r="J383" s="18"/>
      <c r="K383" s="18"/>
    </row>
    <row r="384" spans="1:11" ht="15.75" customHeight="1">
      <c r="A384" s="18"/>
      <c r="B384" s="18"/>
      <c r="C384" s="19"/>
      <c r="D384" s="18"/>
      <c r="E384" s="18"/>
      <c r="F384" s="18"/>
      <c r="G384" s="18"/>
      <c r="H384" s="18"/>
      <c r="I384" s="18"/>
      <c r="J384" s="18"/>
      <c r="K384" s="18"/>
    </row>
    <row r="385" spans="1:11" ht="15.75" customHeight="1">
      <c r="A385" s="18"/>
      <c r="B385" s="18"/>
      <c r="C385" s="19"/>
      <c r="D385" s="18"/>
      <c r="E385" s="18"/>
      <c r="F385" s="18"/>
      <c r="G385" s="18"/>
      <c r="H385" s="18"/>
      <c r="I385" s="18"/>
      <c r="J385" s="18"/>
      <c r="K385" s="18"/>
    </row>
    <row r="386" spans="1:11" ht="15.75" customHeight="1">
      <c r="A386" s="18"/>
      <c r="B386" s="18"/>
      <c r="C386" s="19"/>
      <c r="D386" s="18"/>
      <c r="E386" s="18"/>
      <c r="F386" s="18"/>
      <c r="G386" s="18"/>
      <c r="H386" s="18"/>
      <c r="I386" s="18"/>
      <c r="J386" s="18"/>
      <c r="K386" s="18"/>
    </row>
    <row r="387" spans="1:11" ht="15.75" customHeight="1">
      <c r="A387" s="18"/>
      <c r="B387" s="18"/>
      <c r="C387" s="19"/>
      <c r="D387" s="18"/>
      <c r="E387" s="18"/>
      <c r="F387" s="18"/>
      <c r="G387" s="18"/>
      <c r="H387" s="18"/>
      <c r="I387" s="18"/>
      <c r="J387" s="18"/>
      <c r="K387" s="18"/>
    </row>
    <row r="388" spans="1:11" ht="15.75" customHeight="1">
      <c r="A388" s="18"/>
      <c r="B388" s="18"/>
      <c r="C388" s="19"/>
      <c r="D388" s="18"/>
      <c r="E388" s="18"/>
      <c r="F388" s="18"/>
      <c r="G388" s="18"/>
      <c r="H388" s="18"/>
      <c r="I388" s="18"/>
      <c r="J388" s="18"/>
      <c r="K388" s="18"/>
    </row>
    <row r="389" spans="1:11" ht="15.75" customHeight="1">
      <c r="A389" s="18"/>
      <c r="B389" s="18"/>
      <c r="C389" s="19"/>
      <c r="D389" s="18"/>
      <c r="E389" s="18"/>
      <c r="F389" s="18"/>
      <c r="G389" s="18"/>
      <c r="H389" s="18"/>
      <c r="I389" s="18"/>
      <c r="J389" s="18"/>
      <c r="K389" s="18"/>
    </row>
    <row r="390" spans="1:11" ht="15.75" customHeight="1">
      <c r="A390" s="18"/>
      <c r="B390" s="18"/>
      <c r="C390" s="19"/>
      <c r="D390" s="18"/>
      <c r="E390" s="18"/>
      <c r="F390" s="18"/>
      <c r="G390" s="18"/>
      <c r="H390" s="18"/>
      <c r="I390" s="18"/>
      <c r="J390" s="18"/>
      <c r="K390" s="18"/>
    </row>
    <row r="391" spans="1:11" ht="15.75" customHeight="1">
      <c r="A391" s="18"/>
      <c r="B391" s="18"/>
      <c r="C391" s="19"/>
      <c r="D391" s="18"/>
      <c r="E391" s="18"/>
      <c r="F391" s="18"/>
      <c r="G391" s="18"/>
      <c r="H391" s="18"/>
      <c r="I391" s="18"/>
      <c r="J391" s="18"/>
      <c r="K391" s="18"/>
    </row>
    <row r="392" spans="1:11" ht="15.75" customHeight="1">
      <c r="A392" s="18"/>
      <c r="B392" s="18"/>
      <c r="C392" s="19"/>
      <c r="D392" s="18"/>
      <c r="E392" s="18"/>
      <c r="F392" s="18"/>
      <c r="G392" s="18"/>
      <c r="H392" s="18"/>
      <c r="I392" s="18"/>
      <c r="J392" s="18"/>
      <c r="K392" s="18"/>
    </row>
    <row r="393" spans="1:11" ht="15.75" customHeight="1">
      <c r="A393" s="18"/>
      <c r="B393" s="18"/>
      <c r="C393" s="19"/>
      <c r="D393" s="18"/>
      <c r="E393" s="18"/>
      <c r="F393" s="18"/>
      <c r="G393" s="18"/>
      <c r="H393" s="18"/>
      <c r="I393" s="18"/>
      <c r="J393" s="18"/>
      <c r="K393" s="18"/>
    </row>
    <row r="394" spans="1:11" ht="15.75" customHeight="1">
      <c r="A394" s="18"/>
      <c r="B394" s="18"/>
      <c r="C394" s="19"/>
      <c r="D394" s="18"/>
      <c r="E394" s="18"/>
      <c r="F394" s="18"/>
      <c r="G394" s="18"/>
      <c r="H394" s="18"/>
      <c r="I394" s="18"/>
      <c r="J394" s="18"/>
      <c r="K394" s="18"/>
    </row>
    <row r="395" spans="1:11" ht="15.75" customHeight="1">
      <c r="A395" s="18"/>
      <c r="B395" s="18"/>
      <c r="C395" s="19"/>
      <c r="D395" s="18"/>
      <c r="E395" s="18"/>
      <c r="F395" s="18"/>
      <c r="G395" s="18"/>
      <c r="H395" s="18"/>
      <c r="I395" s="18"/>
      <c r="J395" s="18"/>
      <c r="K395" s="18"/>
    </row>
    <row r="396" spans="1:11" ht="15.75" customHeight="1">
      <c r="A396" s="18"/>
      <c r="B396" s="18"/>
      <c r="C396" s="19"/>
      <c r="D396" s="18"/>
      <c r="E396" s="18"/>
      <c r="F396" s="18"/>
      <c r="G396" s="18"/>
      <c r="H396" s="18"/>
      <c r="I396" s="18"/>
      <c r="J396" s="18"/>
      <c r="K396" s="18"/>
    </row>
    <row r="397" spans="1:11" ht="15.75" customHeight="1">
      <c r="A397" s="18"/>
      <c r="B397" s="18"/>
      <c r="C397" s="19"/>
      <c r="D397" s="18"/>
      <c r="E397" s="18"/>
      <c r="F397" s="18"/>
      <c r="G397" s="18"/>
      <c r="H397" s="18"/>
      <c r="I397" s="18"/>
      <c r="J397" s="18"/>
      <c r="K397" s="18"/>
    </row>
    <row r="398" spans="1:11" ht="15.75" customHeight="1">
      <c r="A398" s="18"/>
      <c r="B398" s="18"/>
      <c r="C398" s="19"/>
      <c r="D398" s="18"/>
      <c r="E398" s="18"/>
      <c r="F398" s="18"/>
      <c r="G398" s="18"/>
      <c r="H398" s="18"/>
      <c r="I398" s="18"/>
      <c r="J398" s="18"/>
      <c r="K398" s="18"/>
    </row>
    <row r="399" spans="1:11" ht="15.75" customHeight="1">
      <c r="A399" s="18"/>
      <c r="B399" s="18"/>
      <c r="C399" s="19"/>
      <c r="D399" s="18"/>
      <c r="E399" s="18"/>
      <c r="F399" s="18"/>
      <c r="G399" s="18"/>
      <c r="H399" s="18"/>
      <c r="I399" s="18"/>
      <c r="J399" s="18"/>
      <c r="K399" s="18"/>
    </row>
    <row r="400" spans="1:11" ht="15.75" customHeight="1">
      <c r="A400" s="18"/>
      <c r="B400" s="18"/>
      <c r="C400" s="19"/>
      <c r="D400" s="18"/>
      <c r="E400" s="18"/>
      <c r="F400" s="18"/>
      <c r="G400" s="18"/>
      <c r="H400" s="18"/>
      <c r="I400" s="18"/>
      <c r="J400" s="18"/>
      <c r="K400" s="18"/>
    </row>
    <row r="401" spans="1:11" ht="15.75" customHeight="1">
      <c r="A401" s="18"/>
      <c r="B401" s="18"/>
      <c r="C401" s="19"/>
      <c r="D401" s="18"/>
      <c r="E401" s="18"/>
      <c r="F401" s="18"/>
      <c r="G401" s="18"/>
      <c r="H401" s="18"/>
      <c r="I401" s="18"/>
      <c r="J401" s="18"/>
      <c r="K401" s="18"/>
    </row>
    <row r="402" spans="1:11" ht="15.75" customHeight="1">
      <c r="A402" s="18"/>
      <c r="B402" s="18"/>
      <c r="C402" s="19"/>
      <c r="D402" s="18"/>
      <c r="E402" s="18"/>
      <c r="F402" s="18"/>
      <c r="G402" s="18"/>
      <c r="H402" s="18"/>
      <c r="I402" s="18"/>
      <c r="J402" s="18"/>
      <c r="K402" s="18"/>
    </row>
    <row r="403" spans="1:11" ht="15.75" customHeight="1">
      <c r="A403" s="18"/>
      <c r="B403" s="18"/>
      <c r="C403" s="19"/>
      <c r="D403" s="18"/>
      <c r="E403" s="18"/>
      <c r="F403" s="18"/>
      <c r="G403" s="18"/>
      <c r="H403" s="18"/>
      <c r="I403" s="18"/>
      <c r="J403" s="18"/>
      <c r="K403" s="18"/>
    </row>
    <row r="404" spans="1:11" ht="15.75" customHeight="1">
      <c r="A404" s="18"/>
      <c r="B404" s="18"/>
      <c r="C404" s="19"/>
      <c r="D404" s="18"/>
      <c r="E404" s="18"/>
      <c r="F404" s="18"/>
      <c r="G404" s="18"/>
      <c r="H404" s="18"/>
      <c r="I404" s="18"/>
      <c r="J404" s="18"/>
      <c r="K404" s="18"/>
    </row>
    <row r="405" spans="1:11" ht="15.75" customHeight="1">
      <c r="A405" s="18"/>
      <c r="B405" s="18"/>
      <c r="C405" s="19"/>
      <c r="D405" s="18"/>
      <c r="E405" s="18"/>
      <c r="F405" s="18"/>
      <c r="G405" s="18"/>
      <c r="H405" s="18"/>
      <c r="I405" s="18"/>
      <c r="J405" s="18"/>
      <c r="K405" s="18"/>
    </row>
    <row r="406" spans="1:11" ht="15.75" customHeight="1">
      <c r="A406" s="18"/>
      <c r="B406" s="18"/>
      <c r="C406" s="19"/>
      <c r="D406" s="18"/>
      <c r="E406" s="18"/>
      <c r="F406" s="18"/>
      <c r="G406" s="18"/>
      <c r="H406" s="18"/>
      <c r="I406" s="18"/>
      <c r="J406" s="18"/>
      <c r="K406" s="18"/>
    </row>
    <row r="407" spans="1:11" ht="15.75" customHeight="1">
      <c r="A407" s="18"/>
      <c r="B407" s="18"/>
      <c r="C407" s="19"/>
      <c r="D407" s="18"/>
      <c r="E407" s="18"/>
      <c r="F407" s="18"/>
      <c r="G407" s="18"/>
      <c r="H407" s="18"/>
      <c r="I407" s="18"/>
      <c r="J407" s="18"/>
      <c r="K407" s="18"/>
    </row>
    <row r="408" spans="1:11" ht="15.75" customHeight="1">
      <c r="A408" s="18"/>
      <c r="B408" s="18"/>
      <c r="C408" s="19"/>
      <c r="D408" s="18"/>
      <c r="E408" s="18"/>
      <c r="F408" s="18"/>
      <c r="G408" s="18"/>
      <c r="H408" s="18"/>
      <c r="I408" s="18"/>
      <c r="J408" s="18"/>
      <c r="K408" s="18"/>
    </row>
    <row r="409" spans="1:11" ht="15.75" customHeight="1">
      <c r="A409" s="18"/>
      <c r="B409" s="18"/>
      <c r="C409" s="19"/>
      <c r="D409" s="18"/>
      <c r="E409" s="18"/>
      <c r="F409" s="18"/>
      <c r="G409" s="18"/>
      <c r="H409" s="18"/>
      <c r="I409" s="18"/>
      <c r="J409" s="18"/>
      <c r="K409" s="18"/>
    </row>
    <row r="410" spans="1:11" ht="15.75" customHeight="1">
      <c r="A410" s="18"/>
      <c r="B410" s="18"/>
      <c r="C410" s="19"/>
      <c r="D410" s="18"/>
      <c r="E410" s="18"/>
      <c r="F410" s="18"/>
      <c r="G410" s="18"/>
      <c r="H410" s="18"/>
      <c r="I410" s="18"/>
      <c r="J410" s="18"/>
      <c r="K410" s="18"/>
    </row>
    <row r="411" spans="1:11" ht="15.75" customHeight="1">
      <c r="A411" s="18"/>
      <c r="B411" s="18"/>
      <c r="C411" s="19"/>
      <c r="D411" s="18"/>
      <c r="E411" s="18"/>
      <c r="F411" s="18"/>
      <c r="G411" s="18"/>
      <c r="H411" s="18"/>
      <c r="I411" s="18"/>
      <c r="J411" s="18"/>
      <c r="K411" s="18"/>
    </row>
    <row r="412" spans="1:11" ht="15.75" customHeight="1">
      <c r="A412" s="18"/>
      <c r="B412" s="18"/>
      <c r="C412" s="19"/>
      <c r="D412" s="18"/>
      <c r="E412" s="18"/>
      <c r="F412" s="18"/>
      <c r="G412" s="18"/>
      <c r="H412" s="18"/>
      <c r="I412" s="18"/>
      <c r="J412" s="18"/>
      <c r="K412" s="18"/>
    </row>
    <row r="413" spans="1:11" ht="15.75" customHeight="1">
      <c r="A413" s="18"/>
      <c r="B413" s="18"/>
      <c r="C413" s="19"/>
      <c r="D413" s="18"/>
      <c r="E413" s="18"/>
      <c r="F413" s="18"/>
      <c r="G413" s="18"/>
      <c r="H413" s="18"/>
      <c r="I413" s="18"/>
      <c r="J413" s="18"/>
      <c r="K413" s="18"/>
    </row>
    <row r="414" spans="1:11" ht="15.75" customHeight="1">
      <c r="A414" s="18"/>
      <c r="B414" s="18"/>
      <c r="C414" s="19"/>
      <c r="D414" s="18"/>
      <c r="E414" s="18"/>
      <c r="F414" s="18"/>
      <c r="G414" s="18"/>
      <c r="H414" s="18"/>
      <c r="I414" s="18"/>
      <c r="J414" s="18"/>
      <c r="K414" s="18"/>
    </row>
    <row r="415" spans="1:11" ht="15.75" customHeight="1">
      <c r="A415" s="18"/>
      <c r="B415" s="18"/>
      <c r="C415" s="19"/>
      <c r="D415" s="18"/>
      <c r="E415" s="18"/>
      <c r="F415" s="18"/>
      <c r="G415" s="18"/>
      <c r="H415" s="18"/>
      <c r="I415" s="18"/>
      <c r="J415" s="18"/>
      <c r="K415" s="18"/>
    </row>
    <row r="416" spans="1:11" ht="15.75" customHeight="1">
      <c r="A416" s="18"/>
      <c r="B416" s="18"/>
      <c r="C416" s="19"/>
      <c r="D416" s="18"/>
      <c r="E416" s="18"/>
      <c r="F416" s="18"/>
      <c r="G416" s="18"/>
      <c r="H416" s="18"/>
      <c r="I416" s="18"/>
      <c r="J416" s="18"/>
      <c r="K416" s="18"/>
    </row>
    <row r="417" spans="1:11" ht="15.75" customHeight="1">
      <c r="A417" s="18"/>
      <c r="B417" s="18"/>
      <c r="C417" s="19"/>
      <c r="D417" s="18"/>
      <c r="E417" s="18"/>
      <c r="F417" s="18"/>
      <c r="G417" s="18"/>
      <c r="H417" s="18"/>
      <c r="I417" s="18"/>
      <c r="J417" s="18"/>
      <c r="K417" s="18"/>
    </row>
    <row r="418" spans="1:11" ht="15.75" customHeight="1">
      <c r="A418" s="18"/>
      <c r="B418" s="18"/>
      <c r="C418" s="19"/>
      <c r="D418" s="18"/>
      <c r="E418" s="18"/>
      <c r="F418" s="18"/>
      <c r="G418" s="18"/>
      <c r="H418" s="18"/>
      <c r="I418" s="18"/>
      <c r="J418" s="18"/>
      <c r="K418" s="18"/>
    </row>
    <row r="419" spans="1:11" ht="15.75" customHeight="1">
      <c r="A419" s="18"/>
      <c r="B419" s="18"/>
      <c r="C419" s="19"/>
      <c r="D419" s="18"/>
      <c r="E419" s="18"/>
      <c r="F419" s="18"/>
      <c r="G419" s="18"/>
      <c r="H419" s="18"/>
      <c r="I419" s="18"/>
      <c r="J419" s="18"/>
      <c r="K419" s="18"/>
    </row>
    <row r="420" spans="1:11" ht="15.75" customHeight="1">
      <c r="A420" s="18"/>
      <c r="B420" s="18"/>
      <c r="C420" s="19"/>
      <c r="D420" s="18"/>
      <c r="E420" s="18"/>
      <c r="F420" s="18"/>
      <c r="G420" s="18"/>
      <c r="H420" s="18"/>
      <c r="I420" s="18"/>
      <c r="J420" s="18"/>
      <c r="K420" s="18"/>
    </row>
    <row r="421" spans="1:11" ht="15.75" customHeight="1">
      <c r="A421" s="18"/>
      <c r="B421" s="18"/>
      <c r="C421" s="19"/>
      <c r="D421" s="18"/>
      <c r="E421" s="18"/>
      <c r="F421" s="18"/>
      <c r="G421" s="18"/>
      <c r="H421" s="18"/>
      <c r="I421" s="18"/>
      <c r="J421" s="18"/>
      <c r="K421" s="18"/>
    </row>
    <row r="422" spans="1:11" ht="15.75" customHeight="1">
      <c r="A422" s="18"/>
      <c r="B422" s="18"/>
      <c r="C422" s="19"/>
      <c r="D422" s="18"/>
      <c r="E422" s="18"/>
      <c r="F422" s="18"/>
      <c r="G422" s="18"/>
      <c r="H422" s="18"/>
      <c r="I422" s="18"/>
      <c r="J422" s="18"/>
      <c r="K422" s="18"/>
    </row>
    <row r="423" spans="1:11" ht="15.75" customHeight="1">
      <c r="A423" s="18"/>
      <c r="B423" s="18"/>
      <c r="C423" s="19"/>
      <c r="D423" s="18"/>
      <c r="E423" s="18"/>
      <c r="F423" s="18"/>
      <c r="G423" s="18"/>
      <c r="H423" s="18"/>
      <c r="I423" s="18"/>
      <c r="J423" s="18"/>
      <c r="K423" s="18"/>
    </row>
    <row r="424" spans="1:11" ht="15.75" customHeight="1">
      <c r="A424" s="18"/>
      <c r="B424" s="18"/>
      <c r="C424" s="19"/>
      <c r="D424" s="18"/>
      <c r="E424" s="18"/>
      <c r="F424" s="18"/>
      <c r="G424" s="18"/>
      <c r="H424" s="18"/>
      <c r="I424" s="18"/>
      <c r="J424" s="18"/>
      <c r="K424" s="18"/>
    </row>
    <row r="425" spans="1:11" ht="15.75" customHeight="1">
      <c r="A425" s="18"/>
      <c r="B425" s="18"/>
      <c r="C425" s="19"/>
      <c r="D425" s="18"/>
      <c r="E425" s="18"/>
      <c r="F425" s="18"/>
      <c r="G425" s="18"/>
      <c r="H425" s="18"/>
      <c r="I425" s="18"/>
      <c r="J425" s="18"/>
      <c r="K425" s="18"/>
    </row>
    <row r="426" spans="1:11" ht="15.75" customHeight="1">
      <c r="A426" s="18"/>
      <c r="B426" s="18"/>
      <c r="C426" s="19"/>
      <c r="D426" s="18"/>
      <c r="E426" s="18"/>
      <c r="F426" s="18"/>
      <c r="G426" s="18"/>
      <c r="H426" s="18"/>
      <c r="I426" s="18"/>
      <c r="J426" s="18"/>
      <c r="K426" s="18"/>
    </row>
    <row r="427" spans="1:11" ht="15.75" customHeight="1">
      <c r="A427" s="18"/>
      <c r="B427" s="18"/>
      <c r="C427" s="19"/>
      <c r="D427" s="18"/>
      <c r="E427" s="18"/>
      <c r="F427" s="18"/>
      <c r="G427" s="18"/>
      <c r="H427" s="18"/>
      <c r="I427" s="18"/>
      <c r="J427" s="18"/>
      <c r="K427" s="18"/>
    </row>
    <row r="428" spans="1:11" ht="15.75" customHeight="1">
      <c r="A428" s="18"/>
      <c r="B428" s="18"/>
      <c r="C428" s="19"/>
      <c r="D428" s="18"/>
      <c r="E428" s="18"/>
      <c r="F428" s="18"/>
      <c r="G428" s="18"/>
      <c r="H428" s="18"/>
      <c r="I428" s="18"/>
      <c r="J428" s="18"/>
      <c r="K428" s="18"/>
    </row>
    <row r="429" spans="1:11" ht="15.75" customHeight="1">
      <c r="A429" s="18"/>
      <c r="B429" s="18"/>
      <c r="C429" s="19"/>
      <c r="D429" s="18"/>
      <c r="E429" s="18"/>
      <c r="F429" s="18"/>
      <c r="G429" s="18"/>
      <c r="H429" s="18"/>
      <c r="I429" s="18"/>
      <c r="J429" s="18"/>
      <c r="K429" s="18"/>
    </row>
    <row r="430" spans="1:11" ht="15.75" customHeight="1">
      <c r="A430" s="18"/>
      <c r="B430" s="18"/>
      <c r="C430" s="19"/>
      <c r="D430" s="18"/>
      <c r="E430" s="18"/>
      <c r="F430" s="18"/>
      <c r="G430" s="18"/>
      <c r="H430" s="18"/>
      <c r="I430" s="18"/>
      <c r="J430" s="18"/>
      <c r="K430" s="18"/>
    </row>
    <row r="431" spans="1:11" ht="15.75" customHeight="1">
      <c r="A431" s="18"/>
      <c r="B431" s="18"/>
      <c r="C431" s="19"/>
      <c r="D431" s="18"/>
      <c r="E431" s="18"/>
      <c r="F431" s="18"/>
      <c r="G431" s="18"/>
      <c r="H431" s="18"/>
      <c r="I431" s="18"/>
      <c r="J431" s="18"/>
      <c r="K431" s="18"/>
    </row>
    <row r="432" spans="1:11" ht="15.75" customHeight="1">
      <c r="A432" s="18"/>
      <c r="B432" s="18"/>
      <c r="C432" s="19"/>
      <c r="D432" s="18"/>
      <c r="E432" s="18"/>
      <c r="F432" s="18"/>
      <c r="G432" s="18"/>
      <c r="H432" s="18"/>
      <c r="I432" s="18"/>
      <c r="J432" s="18"/>
      <c r="K432" s="18"/>
    </row>
    <row r="433" spans="1:11" ht="15.75" customHeight="1">
      <c r="A433" s="18"/>
      <c r="B433" s="18"/>
      <c r="C433" s="19"/>
      <c r="D433" s="18"/>
      <c r="E433" s="18"/>
      <c r="F433" s="18"/>
      <c r="G433" s="18"/>
      <c r="H433" s="18"/>
      <c r="I433" s="18"/>
      <c r="J433" s="18"/>
      <c r="K433" s="18"/>
    </row>
    <row r="434" spans="1:11" ht="15.75" customHeight="1">
      <c r="A434" s="18"/>
      <c r="B434" s="18"/>
      <c r="C434" s="19"/>
      <c r="D434" s="18"/>
      <c r="E434" s="18"/>
      <c r="F434" s="18"/>
      <c r="G434" s="18"/>
      <c r="H434" s="18"/>
      <c r="I434" s="18"/>
      <c r="J434" s="18"/>
      <c r="K434" s="18"/>
    </row>
    <row r="435" spans="1:11" ht="15.75" customHeight="1">
      <c r="A435" s="18"/>
      <c r="B435" s="18"/>
      <c r="C435" s="19"/>
      <c r="D435" s="18"/>
      <c r="E435" s="18"/>
      <c r="F435" s="18"/>
      <c r="G435" s="18"/>
      <c r="H435" s="18"/>
      <c r="I435" s="18"/>
      <c r="J435" s="18"/>
      <c r="K435" s="18"/>
    </row>
    <row r="436" spans="1:11" ht="15.75" customHeight="1">
      <c r="A436" s="18"/>
      <c r="B436" s="18"/>
      <c r="C436" s="19"/>
      <c r="D436" s="18"/>
      <c r="E436" s="18"/>
      <c r="F436" s="18"/>
      <c r="G436" s="18"/>
      <c r="H436" s="18"/>
      <c r="I436" s="18"/>
      <c r="J436" s="18"/>
      <c r="K436" s="18"/>
    </row>
    <row r="437" spans="1:11" ht="15.75" customHeight="1">
      <c r="A437" s="18"/>
      <c r="B437" s="18"/>
      <c r="C437" s="19"/>
      <c r="D437" s="18"/>
      <c r="E437" s="18"/>
      <c r="F437" s="18"/>
      <c r="G437" s="18"/>
      <c r="H437" s="18"/>
      <c r="I437" s="18"/>
      <c r="J437" s="18"/>
      <c r="K437" s="18"/>
    </row>
    <row r="438" spans="1:11" ht="15.75" customHeight="1">
      <c r="A438" s="18"/>
      <c r="B438" s="18"/>
      <c r="C438" s="19"/>
      <c r="D438" s="18"/>
      <c r="E438" s="18"/>
      <c r="F438" s="18"/>
      <c r="G438" s="18"/>
      <c r="H438" s="18"/>
      <c r="I438" s="18"/>
      <c r="J438" s="18"/>
      <c r="K438" s="18"/>
    </row>
    <row r="439" spans="1:11" ht="15.75" customHeight="1">
      <c r="A439" s="18"/>
      <c r="B439" s="18"/>
      <c r="C439" s="19"/>
      <c r="D439" s="18"/>
      <c r="E439" s="18"/>
      <c r="F439" s="18"/>
      <c r="G439" s="18"/>
      <c r="H439" s="18"/>
      <c r="I439" s="18"/>
      <c r="J439" s="18"/>
      <c r="K439" s="18"/>
    </row>
    <row r="440" spans="1:11" ht="15.75" customHeight="1">
      <c r="A440" s="18"/>
      <c r="B440" s="18"/>
      <c r="C440" s="19"/>
      <c r="D440" s="18"/>
      <c r="E440" s="18"/>
      <c r="F440" s="18"/>
      <c r="G440" s="18"/>
      <c r="H440" s="18"/>
      <c r="I440" s="18"/>
      <c r="J440" s="18"/>
      <c r="K440" s="18"/>
    </row>
    <row r="441" spans="1:11" ht="15.75" customHeight="1">
      <c r="A441" s="18"/>
      <c r="B441" s="18"/>
      <c r="C441" s="19"/>
      <c r="D441" s="18"/>
      <c r="E441" s="18"/>
      <c r="F441" s="18"/>
      <c r="G441" s="18"/>
      <c r="H441" s="18"/>
      <c r="I441" s="18"/>
      <c r="J441" s="18"/>
      <c r="K441" s="18"/>
    </row>
    <row r="442" spans="1:11" ht="15.75" customHeight="1">
      <c r="A442" s="18"/>
      <c r="B442" s="18"/>
      <c r="C442" s="19"/>
      <c r="D442" s="18"/>
      <c r="E442" s="18"/>
      <c r="F442" s="18"/>
      <c r="G442" s="18"/>
      <c r="H442" s="18"/>
      <c r="I442" s="18"/>
      <c r="J442" s="18"/>
      <c r="K442" s="18"/>
    </row>
    <row r="443" spans="1:11" ht="15.75" customHeight="1">
      <c r="A443" s="18"/>
      <c r="B443" s="18"/>
      <c r="C443" s="19"/>
      <c r="D443" s="18"/>
      <c r="E443" s="18"/>
      <c r="F443" s="18"/>
      <c r="G443" s="18"/>
      <c r="H443" s="18"/>
      <c r="I443" s="18"/>
      <c r="J443" s="18"/>
      <c r="K443" s="18"/>
    </row>
    <row r="444" spans="1:11" ht="15.75" customHeight="1">
      <c r="A444" s="18"/>
      <c r="B444" s="18"/>
      <c r="C444" s="19"/>
      <c r="D444" s="18"/>
      <c r="E444" s="18"/>
      <c r="F444" s="18"/>
      <c r="G444" s="18"/>
      <c r="H444" s="18"/>
      <c r="I444" s="18"/>
      <c r="J444" s="18"/>
      <c r="K444" s="18"/>
    </row>
    <row r="445" spans="1:11" ht="15.75" customHeight="1">
      <c r="A445" s="18"/>
      <c r="B445" s="18"/>
      <c r="C445" s="19"/>
      <c r="D445" s="18"/>
      <c r="E445" s="18"/>
      <c r="F445" s="18"/>
      <c r="G445" s="18"/>
      <c r="H445" s="18"/>
      <c r="I445" s="18"/>
      <c r="J445" s="18"/>
      <c r="K445" s="18"/>
    </row>
    <row r="446" spans="1:11" ht="15.75" customHeight="1">
      <c r="A446" s="18"/>
      <c r="B446" s="18"/>
      <c r="C446" s="19"/>
      <c r="D446" s="18"/>
      <c r="E446" s="18"/>
      <c r="F446" s="18"/>
      <c r="G446" s="18"/>
      <c r="H446" s="18"/>
      <c r="I446" s="18"/>
      <c r="J446" s="18"/>
      <c r="K446" s="18"/>
    </row>
    <row r="447" spans="1:11" ht="15.75" customHeight="1">
      <c r="A447" s="18"/>
      <c r="B447" s="18"/>
      <c r="C447" s="19"/>
      <c r="D447" s="18"/>
      <c r="E447" s="18"/>
      <c r="F447" s="18"/>
      <c r="G447" s="18"/>
      <c r="H447" s="18"/>
      <c r="I447" s="18"/>
      <c r="J447" s="18"/>
      <c r="K447" s="18"/>
    </row>
    <row r="448" spans="1:11" ht="15.75" customHeight="1">
      <c r="A448" s="18"/>
      <c r="B448" s="18"/>
      <c r="C448" s="19"/>
      <c r="D448" s="18"/>
      <c r="E448" s="18"/>
      <c r="F448" s="18"/>
      <c r="G448" s="18"/>
      <c r="H448" s="18"/>
      <c r="I448" s="18"/>
      <c r="J448" s="18"/>
      <c r="K448" s="18"/>
    </row>
    <row r="449" spans="1:11" ht="15.75" customHeight="1">
      <c r="A449" s="18"/>
      <c r="B449" s="18"/>
      <c r="C449" s="19"/>
      <c r="D449" s="18"/>
      <c r="E449" s="18"/>
      <c r="F449" s="18"/>
      <c r="G449" s="18"/>
      <c r="H449" s="18"/>
      <c r="I449" s="18"/>
      <c r="J449" s="18"/>
      <c r="K449" s="18"/>
    </row>
    <row r="450" spans="1:11" ht="15.75" customHeight="1">
      <c r="A450" s="18"/>
      <c r="B450" s="18"/>
      <c r="C450" s="19"/>
      <c r="D450" s="18"/>
      <c r="E450" s="18"/>
      <c r="F450" s="18"/>
      <c r="G450" s="18"/>
      <c r="H450" s="18"/>
      <c r="I450" s="18"/>
      <c r="J450" s="18"/>
      <c r="K450" s="18"/>
    </row>
    <row r="451" spans="1:11" ht="15.75" customHeight="1">
      <c r="A451" s="18"/>
      <c r="B451" s="18"/>
      <c r="C451" s="19"/>
      <c r="D451" s="18"/>
      <c r="E451" s="18"/>
      <c r="F451" s="18"/>
      <c r="G451" s="18"/>
      <c r="H451" s="18"/>
      <c r="I451" s="18"/>
      <c r="J451" s="18"/>
      <c r="K451" s="18"/>
    </row>
    <row r="452" spans="1:11" ht="15.75" customHeight="1">
      <c r="A452" s="18"/>
      <c r="B452" s="18"/>
      <c r="C452" s="19"/>
      <c r="D452" s="18"/>
      <c r="E452" s="18"/>
      <c r="F452" s="18"/>
      <c r="G452" s="18"/>
      <c r="H452" s="18"/>
      <c r="I452" s="18"/>
      <c r="J452" s="18"/>
      <c r="K452" s="18"/>
    </row>
    <row r="453" spans="1:11" ht="15.75" customHeight="1">
      <c r="A453" s="18"/>
      <c r="B453" s="18"/>
      <c r="C453" s="19"/>
      <c r="D453" s="18"/>
      <c r="E453" s="18"/>
      <c r="F453" s="18"/>
      <c r="G453" s="18"/>
      <c r="H453" s="18"/>
      <c r="I453" s="18"/>
      <c r="J453" s="18"/>
      <c r="K453" s="18"/>
    </row>
    <row r="454" spans="1:11" ht="15.75" customHeight="1">
      <c r="A454" s="18"/>
      <c r="B454" s="18"/>
      <c r="C454" s="19"/>
      <c r="D454" s="18"/>
      <c r="E454" s="18"/>
      <c r="F454" s="18"/>
      <c r="G454" s="18"/>
      <c r="H454" s="18"/>
      <c r="I454" s="18"/>
      <c r="J454" s="18"/>
      <c r="K454" s="18"/>
    </row>
    <row r="455" spans="1:11" ht="15.75" customHeight="1">
      <c r="A455" s="18"/>
      <c r="B455" s="18"/>
      <c r="C455" s="19"/>
      <c r="D455" s="18"/>
      <c r="E455" s="18"/>
      <c r="F455" s="18"/>
      <c r="G455" s="18"/>
      <c r="H455" s="18"/>
      <c r="I455" s="18"/>
      <c r="J455" s="18"/>
      <c r="K455" s="18"/>
    </row>
    <row r="456" spans="1:11" ht="15.75" customHeight="1">
      <c r="A456" s="18"/>
      <c r="B456" s="18"/>
      <c r="C456" s="19"/>
      <c r="D456" s="18"/>
      <c r="E456" s="18"/>
      <c r="F456" s="18"/>
      <c r="G456" s="18"/>
      <c r="H456" s="18"/>
      <c r="I456" s="18"/>
      <c r="J456" s="18"/>
      <c r="K456" s="18"/>
    </row>
    <row r="457" spans="1:11" ht="15.75" customHeight="1">
      <c r="A457" s="18"/>
      <c r="B457" s="18"/>
      <c r="C457" s="19"/>
      <c r="D457" s="18"/>
      <c r="E457" s="18"/>
      <c r="F457" s="18"/>
      <c r="G457" s="18"/>
      <c r="H457" s="18"/>
      <c r="I457" s="18"/>
      <c r="J457" s="18"/>
      <c r="K457" s="18"/>
    </row>
    <row r="458" spans="1:11" ht="15.75" customHeight="1">
      <c r="A458" s="18"/>
      <c r="B458" s="18"/>
      <c r="C458" s="19"/>
      <c r="D458" s="18"/>
      <c r="E458" s="18"/>
      <c r="F458" s="18"/>
      <c r="G458" s="18"/>
      <c r="H458" s="18"/>
      <c r="I458" s="18"/>
      <c r="J458" s="18"/>
      <c r="K458" s="18"/>
    </row>
    <row r="459" spans="1:11" ht="15.75" customHeight="1">
      <c r="A459" s="18"/>
      <c r="B459" s="18"/>
      <c r="C459" s="19"/>
      <c r="D459" s="18"/>
      <c r="E459" s="18"/>
      <c r="F459" s="18"/>
      <c r="G459" s="18"/>
      <c r="H459" s="18"/>
      <c r="I459" s="18"/>
      <c r="J459" s="18"/>
      <c r="K459" s="18"/>
    </row>
    <row r="460" spans="1:11" ht="15.75" customHeight="1">
      <c r="A460" s="18"/>
      <c r="B460" s="18"/>
      <c r="C460" s="19"/>
      <c r="D460" s="18"/>
      <c r="E460" s="18"/>
      <c r="F460" s="18"/>
      <c r="G460" s="18"/>
      <c r="H460" s="18"/>
      <c r="I460" s="18"/>
      <c r="J460" s="18"/>
      <c r="K460" s="18"/>
    </row>
    <row r="461" spans="1:11" ht="15.75" customHeight="1">
      <c r="A461" s="18"/>
      <c r="B461" s="18"/>
      <c r="C461" s="19"/>
      <c r="D461" s="18"/>
      <c r="E461" s="18"/>
      <c r="F461" s="18"/>
      <c r="G461" s="18"/>
      <c r="H461" s="18"/>
      <c r="I461" s="18"/>
      <c r="J461" s="18"/>
      <c r="K461" s="18"/>
    </row>
    <row r="462" spans="1:11" ht="15.75" customHeight="1">
      <c r="A462" s="18"/>
      <c r="B462" s="18"/>
      <c r="C462" s="19"/>
      <c r="D462" s="18"/>
      <c r="E462" s="18"/>
      <c r="F462" s="18"/>
      <c r="G462" s="18"/>
      <c r="H462" s="18"/>
      <c r="I462" s="18"/>
      <c r="J462" s="18"/>
      <c r="K462" s="18"/>
    </row>
    <row r="463" spans="1:11" ht="15.75" customHeight="1">
      <c r="A463" s="18"/>
      <c r="B463" s="18"/>
      <c r="C463" s="19"/>
      <c r="D463" s="18"/>
      <c r="E463" s="18"/>
      <c r="F463" s="18"/>
      <c r="G463" s="18"/>
      <c r="H463" s="18"/>
      <c r="I463" s="18"/>
      <c r="J463" s="18"/>
      <c r="K463" s="18"/>
    </row>
    <row r="464" spans="1:11" ht="15.75" customHeight="1">
      <c r="A464" s="18"/>
      <c r="B464" s="18"/>
      <c r="C464" s="19"/>
      <c r="D464" s="18"/>
      <c r="E464" s="18"/>
      <c r="F464" s="18"/>
      <c r="G464" s="18"/>
      <c r="H464" s="18"/>
      <c r="I464" s="18"/>
      <c r="J464" s="18"/>
      <c r="K464" s="18"/>
    </row>
    <row r="465" spans="1:11" ht="15.75" customHeight="1">
      <c r="A465" s="18"/>
      <c r="B465" s="18"/>
      <c r="C465" s="19"/>
      <c r="D465" s="18"/>
      <c r="E465" s="18"/>
      <c r="F465" s="18"/>
      <c r="G465" s="18"/>
      <c r="H465" s="18"/>
      <c r="I465" s="18"/>
      <c r="J465" s="18"/>
      <c r="K465" s="18"/>
    </row>
    <row r="466" spans="1:11" ht="15.75" customHeight="1">
      <c r="A466" s="18"/>
      <c r="B466" s="18"/>
      <c r="C466" s="19"/>
      <c r="D466" s="18"/>
      <c r="E466" s="18"/>
      <c r="F466" s="18"/>
      <c r="G466" s="18"/>
      <c r="H466" s="18"/>
      <c r="I466" s="18"/>
      <c r="J466" s="18"/>
      <c r="K466" s="18"/>
    </row>
    <row r="467" spans="1:11" ht="15.75" customHeight="1">
      <c r="A467" s="18"/>
      <c r="B467" s="18"/>
      <c r="C467" s="19"/>
      <c r="D467" s="18"/>
      <c r="E467" s="18"/>
      <c r="F467" s="18"/>
      <c r="G467" s="18"/>
      <c r="H467" s="18"/>
      <c r="I467" s="18"/>
      <c r="J467" s="18"/>
      <c r="K467" s="18"/>
    </row>
    <row r="468" spans="1:11" ht="15.75" customHeight="1">
      <c r="A468" s="18"/>
      <c r="B468" s="18"/>
      <c r="C468" s="19"/>
      <c r="D468" s="18"/>
      <c r="E468" s="18"/>
      <c r="F468" s="18"/>
      <c r="G468" s="18"/>
      <c r="H468" s="18"/>
      <c r="I468" s="18"/>
      <c r="J468" s="18"/>
      <c r="K468" s="18"/>
    </row>
    <row r="469" spans="1:11" ht="15.75" customHeight="1">
      <c r="A469" s="18"/>
      <c r="B469" s="18"/>
      <c r="C469" s="19"/>
      <c r="D469" s="18"/>
      <c r="E469" s="18"/>
      <c r="F469" s="18"/>
      <c r="G469" s="18"/>
      <c r="H469" s="18"/>
      <c r="I469" s="18"/>
      <c r="J469" s="18"/>
      <c r="K469" s="18"/>
    </row>
    <row r="470" spans="1:11" ht="15.75" customHeight="1">
      <c r="A470" s="18"/>
      <c r="B470" s="18"/>
      <c r="C470" s="19"/>
      <c r="D470" s="18"/>
      <c r="E470" s="18"/>
      <c r="F470" s="18"/>
      <c r="G470" s="18"/>
      <c r="H470" s="18"/>
      <c r="I470" s="18"/>
      <c r="J470" s="18"/>
      <c r="K470" s="18"/>
    </row>
    <row r="471" spans="1:11" ht="15.75" customHeight="1">
      <c r="A471" s="18"/>
      <c r="B471" s="18"/>
      <c r="C471" s="19"/>
      <c r="D471" s="18"/>
      <c r="E471" s="18"/>
      <c r="F471" s="18"/>
      <c r="G471" s="18"/>
      <c r="H471" s="18"/>
      <c r="I471" s="18"/>
      <c r="J471" s="18"/>
      <c r="K471" s="18"/>
    </row>
    <row r="472" spans="1:11" ht="15.75" customHeight="1">
      <c r="A472" s="18"/>
      <c r="B472" s="18"/>
      <c r="C472" s="19"/>
      <c r="D472" s="18"/>
      <c r="E472" s="18"/>
      <c r="F472" s="18"/>
      <c r="G472" s="18"/>
      <c r="H472" s="18"/>
      <c r="I472" s="18"/>
      <c r="J472" s="18"/>
      <c r="K472" s="18"/>
    </row>
    <row r="473" spans="1:11" ht="15.75" customHeight="1">
      <c r="A473" s="18"/>
      <c r="B473" s="18"/>
      <c r="C473" s="19"/>
      <c r="D473" s="18"/>
      <c r="E473" s="18"/>
      <c r="F473" s="18"/>
      <c r="G473" s="18"/>
      <c r="H473" s="18"/>
      <c r="I473" s="18"/>
      <c r="J473" s="18"/>
      <c r="K473" s="18"/>
    </row>
    <row r="474" spans="1:11" ht="15.75" customHeight="1">
      <c r="A474" s="18"/>
      <c r="B474" s="18"/>
      <c r="C474" s="19"/>
      <c r="D474" s="18"/>
      <c r="E474" s="18"/>
      <c r="F474" s="18"/>
      <c r="G474" s="18"/>
      <c r="H474" s="18"/>
      <c r="I474" s="18"/>
      <c r="J474" s="18"/>
      <c r="K474" s="18"/>
    </row>
    <row r="475" spans="1:11" ht="15.75" customHeight="1">
      <c r="A475" s="18"/>
      <c r="B475" s="18"/>
      <c r="C475" s="19"/>
      <c r="D475" s="18"/>
      <c r="E475" s="18"/>
      <c r="F475" s="18"/>
      <c r="G475" s="18"/>
      <c r="H475" s="18"/>
      <c r="I475" s="18"/>
      <c r="J475" s="18"/>
      <c r="K475" s="18"/>
    </row>
    <row r="476" spans="1:11" ht="15.75" customHeight="1">
      <c r="A476" s="18"/>
      <c r="B476" s="18"/>
      <c r="C476" s="19"/>
      <c r="D476" s="18"/>
      <c r="E476" s="18"/>
      <c r="F476" s="18"/>
      <c r="G476" s="18"/>
      <c r="H476" s="18"/>
      <c r="I476" s="18"/>
      <c r="J476" s="18"/>
      <c r="K476" s="18"/>
    </row>
    <row r="477" spans="1:11" ht="15.75" customHeight="1">
      <c r="A477" s="18"/>
      <c r="B477" s="18"/>
      <c r="C477" s="19"/>
      <c r="D477" s="18"/>
      <c r="E477" s="18"/>
      <c r="F477" s="18"/>
      <c r="G477" s="18"/>
      <c r="H477" s="18"/>
      <c r="I477" s="18"/>
      <c r="J477" s="18"/>
      <c r="K477" s="18"/>
    </row>
    <row r="478" spans="1:11" ht="15.75" customHeight="1">
      <c r="A478" s="18"/>
      <c r="B478" s="18"/>
      <c r="C478" s="19"/>
      <c r="D478" s="18"/>
      <c r="E478" s="18"/>
      <c r="F478" s="18"/>
      <c r="G478" s="18"/>
      <c r="H478" s="18"/>
      <c r="I478" s="18"/>
      <c r="J478" s="18"/>
      <c r="K478" s="18"/>
    </row>
    <row r="479" spans="1:11" ht="15.75" customHeight="1">
      <c r="A479" s="18"/>
      <c r="B479" s="18"/>
      <c r="C479" s="19"/>
      <c r="D479" s="18"/>
      <c r="E479" s="18"/>
      <c r="F479" s="18"/>
      <c r="G479" s="18"/>
      <c r="H479" s="18"/>
      <c r="I479" s="18"/>
      <c r="J479" s="18"/>
      <c r="K479" s="18"/>
    </row>
    <row r="480" spans="1:11" ht="15.75" customHeight="1">
      <c r="A480" s="18"/>
      <c r="B480" s="18"/>
      <c r="C480" s="19"/>
      <c r="D480" s="18"/>
      <c r="E480" s="18"/>
      <c r="F480" s="18"/>
      <c r="G480" s="18"/>
      <c r="H480" s="18"/>
      <c r="I480" s="18"/>
      <c r="J480" s="18"/>
      <c r="K480" s="18"/>
    </row>
    <row r="481" spans="1:11" ht="15.75" customHeight="1">
      <c r="A481" s="18"/>
      <c r="B481" s="18"/>
      <c r="C481" s="19"/>
      <c r="D481" s="18"/>
      <c r="E481" s="18"/>
      <c r="F481" s="18"/>
      <c r="G481" s="18"/>
      <c r="H481" s="18"/>
      <c r="I481" s="18"/>
      <c r="J481" s="18"/>
      <c r="K481" s="18"/>
    </row>
    <row r="482" spans="1:11" ht="15.75" customHeight="1">
      <c r="A482" s="18"/>
      <c r="B482" s="18"/>
      <c r="C482" s="19"/>
      <c r="D482" s="18"/>
      <c r="E482" s="18"/>
      <c r="F482" s="18"/>
      <c r="G482" s="18"/>
      <c r="H482" s="18"/>
      <c r="I482" s="18"/>
      <c r="J482" s="18"/>
      <c r="K482" s="18"/>
    </row>
    <row r="483" spans="1:11" ht="15.75" customHeight="1">
      <c r="A483" s="18"/>
      <c r="B483" s="18"/>
      <c r="C483" s="19"/>
      <c r="D483" s="18"/>
      <c r="E483" s="18"/>
      <c r="F483" s="18"/>
      <c r="G483" s="18"/>
      <c r="H483" s="18"/>
      <c r="I483" s="18"/>
      <c r="J483" s="18"/>
      <c r="K483" s="18"/>
    </row>
    <row r="484" spans="1:11" ht="15.75" customHeight="1">
      <c r="A484" s="18"/>
      <c r="B484" s="18"/>
      <c r="C484" s="19"/>
      <c r="D484" s="18"/>
      <c r="E484" s="18"/>
      <c r="F484" s="18"/>
      <c r="G484" s="18"/>
      <c r="H484" s="18"/>
      <c r="I484" s="18"/>
      <c r="J484" s="18"/>
      <c r="K484" s="18"/>
    </row>
    <row r="485" spans="1:11" ht="15.75" customHeight="1">
      <c r="A485" s="18"/>
      <c r="B485" s="18"/>
      <c r="C485" s="19"/>
      <c r="D485" s="18"/>
      <c r="E485" s="18"/>
      <c r="F485" s="18"/>
      <c r="G485" s="18"/>
      <c r="H485" s="18"/>
      <c r="I485" s="18"/>
      <c r="J485" s="18"/>
      <c r="K485" s="18"/>
    </row>
    <row r="486" spans="1:11" ht="15.75" customHeight="1">
      <c r="A486" s="18"/>
      <c r="B486" s="18"/>
      <c r="C486" s="19"/>
      <c r="D486" s="18"/>
      <c r="E486" s="18"/>
      <c r="F486" s="18"/>
      <c r="G486" s="18"/>
      <c r="H486" s="18"/>
      <c r="I486" s="18"/>
      <c r="J486" s="18"/>
      <c r="K486" s="18"/>
    </row>
    <row r="487" spans="1:11" ht="15.75" customHeight="1">
      <c r="A487" s="18"/>
      <c r="B487" s="18"/>
      <c r="C487" s="19"/>
      <c r="D487" s="18"/>
      <c r="E487" s="18"/>
      <c r="F487" s="18"/>
      <c r="G487" s="18"/>
      <c r="H487" s="18"/>
      <c r="I487" s="18"/>
      <c r="J487" s="18"/>
      <c r="K487" s="18"/>
    </row>
    <row r="488" spans="1:11" ht="15.75" customHeight="1">
      <c r="A488" s="18"/>
      <c r="B488" s="18"/>
      <c r="C488" s="19"/>
      <c r="D488" s="18"/>
      <c r="E488" s="18"/>
      <c r="F488" s="18"/>
      <c r="G488" s="18"/>
      <c r="H488" s="18"/>
      <c r="I488" s="18"/>
      <c r="J488" s="18"/>
      <c r="K488" s="18"/>
    </row>
    <row r="489" spans="1:11" ht="15.75" customHeight="1">
      <c r="A489" s="18"/>
      <c r="B489" s="18"/>
      <c r="C489" s="19"/>
      <c r="D489" s="18"/>
      <c r="E489" s="18"/>
      <c r="F489" s="18"/>
      <c r="G489" s="18"/>
      <c r="H489" s="18"/>
      <c r="I489" s="18"/>
      <c r="J489" s="18"/>
      <c r="K489" s="18"/>
    </row>
    <row r="490" spans="1:11" ht="15.75" customHeight="1">
      <c r="A490" s="18"/>
      <c r="B490" s="18"/>
      <c r="C490" s="19"/>
      <c r="D490" s="18"/>
      <c r="E490" s="18"/>
      <c r="F490" s="18"/>
      <c r="G490" s="18"/>
      <c r="H490" s="18"/>
      <c r="I490" s="18"/>
      <c r="J490" s="18"/>
      <c r="K490" s="18"/>
    </row>
    <row r="491" spans="1:11" ht="15.75" customHeight="1">
      <c r="A491" s="18"/>
      <c r="B491" s="18"/>
      <c r="C491" s="19"/>
      <c r="D491" s="18"/>
      <c r="E491" s="18"/>
      <c r="F491" s="18"/>
      <c r="G491" s="18"/>
      <c r="H491" s="18"/>
      <c r="I491" s="18"/>
      <c r="J491" s="18"/>
      <c r="K491" s="18"/>
    </row>
    <row r="492" spans="1:11" ht="15.75" customHeight="1">
      <c r="A492" s="18"/>
      <c r="B492" s="18"/>
      <c r="C492" s="19"/>
      <c r="D492" s="18"/>
      <c r="E492" s="18"/>
      <c r="F492" s="18"/>
      <c r="G492" s="18"/>
      <c r="H492" s="18"/>
      <c r="I492" s="18"/>
      <c r="J492" s="18"/>
      <c r="K492" s="18"/>
    </row>
    <row r="493" spans="1:11" ht="15.75" customHeight="1">
      <c r="A493" s="18"/>
      <c r="B493" s="18"/>
      <c r="C493" s="19"/>
      <c r="D493" s="18"/>
      <c r="E493" s="18"/>
      <c r="F493" s="18"/>
      <c r="G493" s="18"/>
      <c r="H493" s="18"/>
      <c r="I493" s="18"/>
      <c r="J493" s="18"/>
      <c r="K493" s="18"/>
    </row>
    <row r="494" spans="1:11" ht="15.75" customHeight="1">
      <c r="A494" s="18"/>
      <c r="B494" s="18"/>
      <c r="C494" s="19"/>
      <c r="D494" s="18"/>
      <c r="E494" s="18"/>
      <c r="F494" s="18"/>
      <c r="G494" s="18"/>
      <c r="H494" s="18"/>
      <c r="I494" s="18"/>
      <c r="J494" s="18"/>
      <c r="K494" s="18"/>
    </row>
    <row r="495" spans="1:11" ht="15.75" customHeight="1">
      <c r="A495" s="18"/>
      <c r="B495" s="18"/>
      <c r="C495" s="19"/>
      <c r="D495" s="18"/>
      <c r="E495" s="18"/>
      <c r="F495" s="18"/>
      <c r="G495" s="18"/>
      <c r="H495" s="18"/>
      <c r="I495" s="18"/>
      <c r="J495" s="18"/>
      <c r="K495" s="18"/>
    </row>
    <row r="496" spans="1:11" ht="15.75" customHeight="1">
      <c r="A496" s="18"/>
      <c r="B496" s="18"/>
      <c r="C496" s="19"/>
      <c r="D496" s="18"/>
      <c r="E496" s="18"/>
      <c r="F496" s="18"/>
      <c r="G496" s="18"/>
      <c r="H496" s="18"/>
      <c r="I496" s="18"/>
      <c r="J496" s="18"/>
      <c r="K496" s="18"/>
    </row>
    <row r="497" spans="1:11" ht="15.75" customHeight="1">
      <c r="A497" s="18"/>
      <c r="B497" s="18"/>
      <c r="C497" s="19"/>
      <c r="D497" s="18"/>
      <c r="E497" s="18"/>
      <c r="F497" s="18"/>
      <c r="G497" s="18"/>
      <c r="H497" s="18"/>
      <c r="I497" s="18"/>
      <c r="J497" s="18"/>
      <c r="K497" s="18"/>
    </row>
    <row r="498" spans="1:11" ht="15.75" customHeight="1">
      <c r="A498" s="18"/>
      <c r="B498" s="18"/>
      <c r="C498" s="19"/>
      <c r="D498" s="18"/>
      <c r="E498" s="18"/>
      <c r="F498" s="18"/>
      <c r="G498" s="18"/>
      <c r="H498" s="18"/>
      <c r="I498" s="18"/>
      <c r="J498" s="18"/>
      <c r="K498" s="18"/>
    </row>
    <row r="499" spans="1:11" ht="15.75" customHeight="1">
      <c r="A499" s="18"/>
      <c r="B499" s="18"/>
      <c r="C499" s="19"/>
      <c r="D499" s="18"/>
      <c r="E499" s="18"/>
      <c r="F499" s="18"/>
      <c r="G499" s="18"/>
      <c r="H499" s="18"/>
      <c r="I499" s="18"/>
      <c r="J499" s="18"/>
      <c r="K499" s="18"/>
    </row>
    <row r="500" spans="1:11" ht="15.75" customHeight="1">
      <c r="A500" s="18"/>
      <c r="B500" s="18"/>
      <c r="C500" s="19"/>
      <c r="D500" s="18"/>
      <c r="E500" s="18"/>
      <c r="F500" s="18"/>
      <c r="G500" s="18"/>
      <c r="H500" s="18"/>
      <c r="I500" s="18"/>
      <c r="J500" s="18"/>
      <c r="K500" s="18"/>
    </row>
    <row r="501" spans="1:11" ht="15.75" customHeight="1">
      <c r="A501" s="18"/>
      <c r="B501" s="18"/>
      <c r="C501" s="19"/>
      <c r="D501" s="18"/>
      <c r="E501" s="18"/>
      <c r="F501" s="18"/>
      <c r="G501" s="18"/>
      <c r="H501" s="18"/>
      <c r="I501" s="18"/>
      <c r="J501" s="18"/>
      <c r="K501" s="18"/>
    </row>
    <row r="502" spans="1:11" ht="15.75" customHeight="1">
      <c r="A502" s="18"/>
      <c r="B502" s="18"/>
      <c r="C502" s="19"/>
      <c r="D502" s="18"/>
      <c r="E502" s="18"/>
      <c r="F502" s="18"/>
      <c r="G502" s="18"/>
      <c r="H502" s="18"/>
      <c r="I502" s="18"/>
      <c r="J502" s="18"/>
      <c r="K502" s="18"/>
    </row>
    <row r="503" spans="1:11" ht="15.75" customHeight="1">
      <c r="A503" s="18"/>
      <c r="B503" s="18"/>
      <c r="C503" s="19"/>
      <c r="D503" s="18"/>
      <c r="E503" s="18"/>
      <c r="F503" s="18"/>
      <c r="G503" s="18"/>
      <c r="H503" s="18"/>
      <c r="I503" s="18"/>
      <c r="J503" s="18"/>
      <c r="K503" s="18"/>
    </row>
    <row r="504" spans="1:11" ht="15.75" customHeight="1">
      <c r="A504" s="18"/>
      <c r="B504" s="18"/>
      <c r="C504" s="19"/>
      <c r="D504" s="18"/>
      <c r="E504" s="18"/>
      <c r="F504" s="18"/>
      <c r="G504" s="18"/>
      <c r="H504" s="18"/>
      <c r="I504" s="18"/>
      <c r="J504" s="18"/>
      <c r="K504" s="18"/>
    </row>
    <row r="505" spans="1:11" ht="15.75" customHeight="1">
      <c r="A505" s="18"/>
      <c r="B505" s="18"/>
      <c r="C505" s="19"/>
      <c r="D505" s="18"/>
      <c r="E505" s="18"/>
      <c r="F505" s="18"/>
      <c r="G505" s="18"/>
      <c r="H505" s="18"/>
      <c r="I505" s="18"/>
      <c r="J505" s="18"/>
      <c r="K505" s="18"/>
    </row>
    <row r="506" spans="1:11" ht="15.75" customHeight="1">
      <c r="A506" s="18"/>
      <c r="B506" s="18"/>
      <c r="C506" s="19"/>
      <c r="D506" s="18"/>
      <c r="E506" s="18"/>
      <c r="F506" s="18"/>
      <c r="G506" s="18"/>
      <c r="H506" s="18"/>
      <c r="I506" s="18"/>
      <c r="J506" s="18"/>
      <c r="K506" s="18"/>
    </row>
    <row r="507" spans="1:11" ht="15.75" customHeight="1">
      <c r="A507" s="18"/>
      <c r="B507" s="18"/>
      <c r="C507" s="19"/>
      <c r="D507" s="18"/>
      <c r="E507" s="18"/>
      <c r="F507" s="18"/>
      <c r="G507" s="18"/>
      <c r="H507" s="18"/>
      <c r="I507" s="18"/>
      <c r="J507" s="18"/>
      <c r="K507" s="18"/>
    </row>
    <row r="508" spans="1:11" ht="15.75" customHeight="1">
      <c r="A508" s="18"/>
      <c r="B508" s="18"/>
      <c r="C508" s="19"/>
      <c r="D508" s="18"/>
      <c r="E508" s="18"/>
      <c r="F508" s="18"/>
      <c r="G508" s="18"/>
      <c r="H508" s="18"/>
      <c r="I508" s="18"/>
      <c r="J508" s="18"/>
      <c r="K508" s="18"/>
    </row>
    <row r="509" spans="1:11" ht="15.75" customHeight="1">
      <c r="A509" s="18"/>
      <c r="B509" s="18"/>
      <c r="C509" s="19"/>
      <c r="D509" s="18"/>
      <c r="E509" s="18"/>
      <c r="F509" s="18"/>
      <c r="G509" s="18"/>
      <c r="H509" s="18"/>
      <c r="I509" s="18"/>
      <c r="J509" s="18"/>
      <c r="K509" s="18"/>
    </row>
    <row r="510" spans="1:11" ht="15.75" customHeight="1">
      <c r="A510" s="18"/>
      <c r="B510" s="18"/>
      <c r="C510" s="19"/>
      <c r="D510" s="18"/>
      <c r="E510" s="18"/>
      <c r="F510" s="18"/>
      <c r="G510" s="18"/>
      <c r="H510" s="18"/>
      <c r="I510" s="18"/>
      <c r="J510" s="18"/>
      <c r="K510" s="18"/>
    </row>
    <row r="511" spans="1:11" ht="15.75" customHeight="1">
      <c r="A511" s="18"/>
      <c r="B511" s="18"/>
      <c r="C511" s="19"/>
      <c r="D511" s="18"/>
      <c r="E511" s="18"/>
      <c r="F511" s="18"/>
      <c r="G511" s="18"/>
      <c r="H511" s="18"/>
      <c r="I511" s="18"/>
      <c r="J511" s="18"/>
      <c r="K511" s="18"/>
    </row>
    <row r="512" spans="1:11" ht="15.75" customHeight="1">
      <c r="A512" s="18"/>
      <c r="B512" s="18"/>
      <c r="C512" s="19"/>
      <c r="D512" s="18"/>
      <c r="E512" s="18"/>
      <c r="F512" s="18"/>
      <c r="G512" s="18"/>
      <c r="H512" s="18"/>
      <c r="I512" s="18"/>
      <c r="J512" s="18"/>
      <c r="K512" s="18"/>
    </row>
    <row r="513" spans="1:11" ht="15.75" customHeight="1">
      <c r="A513" s="18"/>
      <c r="B513" s="18"/>
      <c r="C513" s="19"/>
      <c r="D513" s="18"/>
      <c r="E513" s="18"/>
      <c r="F513" s="18"/>
      <c r="G513" s="18"/>
      <c r="H513" s="18"/>
      <c r="I513" s="18"/>
      <c r="J513" s="18"/>
      <c r="K513" s="18"/>
    </row>
    <row r="514" spans="1:11" ht="15.75" customHeight="1">
      <c r="A514" s="18"/>
      <c r="B514" s="18"/>
      <c r="C514" s="19"/>
      <c r="D514" s="18"/>
      <c r="E514" s="18"/>
      <c r="F514" s="18"/>
      <c r="G514" s="18"/>
      <c r="H514" s="18"/>
      <c r="I514" s="18"/>
      <c r="J514" s="18"/>
      <c r="K514" s="18"/>
    </row>
    <row r="515" spans="1:11" ht="15.75" customHeight="1">
      <c r="A515" s="18"/>
      <c r="B515" s="18"/>
      <c r="C515" s="19"/>
      <c r="D515" s="18"/>
      <c r="E515" s="18"/>
      <c r="F515" s="18"/>
      <c r="G515" s="18"/>
      <c r="H515" s="18"/>
      <c r="I515" s="18"/>
      <c r="J515" s="18"/>
      <c r="K515" s="18"/>
    </row>
    <row r="516" spans="1:11" ht="15.75" customHeight="1">
      <c r="A516" s="18"/>
      <c r="B516" s="18"/>
      <c r="C516" s="19"/>
      <c r="D516" s="18"/>
      <c r="E516" s="18"/>
      <c r="F516" s="18"/>
      <c r="G516" s="18"/>
      <c r="H516" s="18"/>
      <c r="I516" s="18"/>
      <c r="J516" s="18"/>
      <c r="K516" s="18"/>
    </row>
    <row r="517" spans="1:11" ht="15.75" customHeight="1">
      <c r="A517" s="18"/>
      <c r="B517" s="18"/>
      <c r="C517" s="19"/>
      <c r="D517" s="18"/>
      <c r="E517" s="18"/>
      <c r="F517" s="18"/>
      <c r="G517" s="18"/>
      <c r="H517" s="18"/>
      <c r="I517" s="18"/>
      <c r="J517" s="18"/>
      <c r="K517" s="18"/>
    </row>
    <row r="518" spans="1:11" ht="15.75" customHeight="1">
      <c r="A518" s="18"/>
      <c r="B518" s="18"/>
      <c r="C518" s="19"/>
      <c r="D518" s="18"/>
      <c r="E518" s="18"/>
      <c r="F518" s="18"/>
      <c r="G518" s="18"/>
      <c r="H518" s="18"/>
      <c r="I518" s="18"/>
      <c r="J518" s="18"/>
      <c r="K518" s="18"/>
    </row>
    <row r="519" spans="1:11" ht="15.75" customHeight="1">
      <c r="A519" s="18"/>
      <c r="B519" s="18"/>
      <c r="C519" s="19"/>
      <c r="D519" s="18"/>
      <c r="E519" s="18"/>
      <c r="F519" s="18"/>
      <c r="G519" s="18"/>
      <c r="H519" s="18"/>
      <c r="I519" s="18"/>
      <c r="J519" s="18"/>
      <c r="K519" s="18"/>
    </row>
    <row r="520" spans="1:11" ht="15.75" customHeight="1">
      <c r="A520" s="18"/>
      <c r="B520" s="18"/>
      <c r="C520" s="19"/>
      <c r="D520" s="18"/>
      <c r="E520" s="18"/>
      <c r="F520" s="18"/>
      <c r="G520" s="18"/>
      <c r="H520" s="18"/>
      <c r="I520" s="18"/>
      <c r="J520" s="18"/>
      <c r="K520" s="18"/>
    </row>
    <row r="521" spans="1:11" ht="15.75" customHeight="1">
      <c r="A521" s="18"/>
      <c r="B521" s="18"/>
      <c r="C521" s="19"/>
      <c r="D521" s="18"/>
      <c r="E521" s="18"/>
      <c r="F521" s="18"/>
      <c r="G521" s="18"/>
      <c r="H521" s="18"/>
      <c r="I521" s="18"/>
      <c r="J521" s="18"/>
      <c r="K521" s="18"/>
    </row>
    <row r="522" spans="1:11" ht="15.75" customHeight="1">
      <c r="A522" s="18"/>
      <c r="B522" s="18"/>
      <c r="C522" s="19"/>
      <c r="D522" s="18"/>
      <c r="E522" s="18"/>
      <c r="F522" s="18"/>
      <c r="G522" s="18"/>
      <c r="H522" s="18"/>
      <c r="I522" s="18"/>
      <c r="J522" s="18"/>
      <c r="K522" s="18"/>
    </row>
    <row r="523" spans="1:11" ht="15.75" customHeight="1">
      <c r="A523" s="18"/>
      <c r="B523" s="18"/>
      <c r="C523" s="19"/>
      <c r="D523" s="18"/>
      <c r="E523" s="18"/>
      <c r="F523" s="18"/>
      <c r="G523" s="18"/>
      <c r="H523" s="18"/>
      <c r="I523" s="18"/>
      <c r="J523" s="18"/>
      <c r="K523" s="18"/>
    </row>
    <row r="524" spans="1:11" ht="15.75" customHeight="1">
      <c r="A524" s="18"/>
      <c r="B524" s="18"/>
      <c r="C524" s="19"/>
      <c r="D524" s="18"/>
      <c r="E524" s="18"/>
      <c r="F524" s="18"/>
      <c r="G524" s="18"/>
      <c r="H524" s="18"/>
      <c r="I524" s="18"/>
      <c r="J524" s="18"/>
      <c r="K524" s="18"/>
    </row>
    <row r="525" spans="1:11" ht="15.75" customHeight="1">
      <c r="A525" s="18"/>
      <c r="B525" s="18"/>
      <c r="C525" s="19"/>
      <c r="D525" s="18"/>
      <c r="E525" s="18"/>
      <c r="F525" s="18"/>
      <c r="G525" s="18"/>
      <c r="H525" s="18"/>
      <c r="I525" s="18"/>
      <c r="J525" s="18"/>
      <c r="K525" s="18"/>
    </row>
    <row r="526" spans="1:11" ht="15.75" customHeight="1">
      <c r="A526" s="18"/>
      <c r="B526" s="18"/>
      <c r="C526" s="19"/>
      <c r="D526" s="18"/>
      <c r="E526" s="18"/>
      <c r="F526" s="18"/>
      <c r="G526" s="18"/>
      <c r="H526" s="18"/>
      <c r="I526" s="18"/>
      <c r="J526" s="18"/>
      <c r="K526" s="18"/>
    </row>
    <row r="527" spans="1:11" ht="15.75" customHeight="1">
      <c r="A527" s="18"/>
      <c r="B527" s="18"/>
      <c r="C527" s="19"/>
      <c r="D527" s="18"/>
      <c r="E527" s="18"/>
      <c r="F527" s="18"/>
      <c r="G527" s="18"/>
      <c r="H527" s="18"/>
      <c r="I527" s="18"/>
      <c r="J527" s="18"/>
      <c r="K527" s="18"/>
    </row>
    <row r="528" spans="1:11" ht="15.75" customHeight="1">
      <c r="A528" s="18"/>
      <c r="B528" s="18"/>
      <c r="C528" s="19"/>
      <c r="D528" s="18"/>
      <c r="E528" s="18"/>
      <c r="F528" s="18"/>
      <c r="G528" s="18"/>
      <c r="H528" s="18"/>
      <c r="I528" s="18"/>
      <c r="J528" s="18"/>
      <c r="K528" s="18"/>
    </row>
    <row r="529" spans="1:11" ht="15.75" customHeight="1">
      <c r="A529" s="18"/>
      <c r="B529" s="18"/>
      <c r="C529" s="19"/>
      <c r="D529" s="18"/>
      <c r="E529" s="18"/>
      <c r="F529" s="18"/>
      <c r="G529" s="18"/>
      <c r="H529" s="18"/>
      <c r="I529" s="18"/>
      <c r="J529" s="18"/>
      <c r="K529" s="18"/>
    </row>
    <row r="530" spans="1:11" ht="15.75" customHeight="1">
      <c r="A530" s="18"/>
      <c r="B530" s="18"/>
      <c r="C530" s="19"/>
      <c r="D530" s="18"/>
      <c r="E530" s="18"/>
      <c r="F530" s="18"/>
      <c r="G530" s="18"/>
      <c r="H530" s="18"/>
      <c r="I530" s="18"/>
      <c r="J530" s="18"/>
      <c r="K530" s="18"/>
    </row>
    <row r="531" spans="1:11" ht="15.75" customHeight="1">
      <c r="A531" s="18"/>
      <c r="B531" s="18"/>
      <c r="C531" s="19"/>
      <c r="D531" s="18"/>
      <c r="E531" s="18"/>
      <c r="F531" s="18"/>
      <c r="G531" s="18"/>
      <c r="H531" s="18"/>
      <c r="I531" s="18"/>
      <c r="J531" s="18"/>
      <c r="K531" s="18"/>
    </row>
    <row r="532" spans="1:11" ht="15.75" customHeight="1">
      <c r="A532" s="18"/>
      <c r="B532" s="18"/>
      <c r="C532" s="19"/>
      <c r="D532" s="18"/>
      <c r="E532" s="18"/>
      <c r="F532" s="18"/>
      <c r="G532" s="18"/>
      <c r="H532" s="18"/>
      <c r="I532" s="18"/>
      <c r="J532" s="18"/>
      <c r="K532" s="18"/>
    </row>
    <row r="533" spans="1:11" ht="15.75" customHeight="1">
      <c r="A533" s="18"/>
      <c r="B533" s="18"/>
      <c r="C533" s="19"/>
      <c r="D533" s="18"/>
      <c r="E533" s="18"/>
      <c r="F533" s="18"/>
      <c r="G533" s="18"/>
      <c r="H533" s="18"/>
      <c r="I533" s="18"/>
      <c r="J533" s="18"/>
      <c r="K533" s="18"/>
    </row>
    <row r="534" spans="1:11" ht="15.75" customHeight="1">
      <c r="A534" s="18"/>
      <c r="B534" s="18"/>
      <c r="C534" s="19"/>
      <c r="D534" s="18"/>
      <c r="E534" s="18"/>
      <c r="F534" s="18"/>
      <c r="G534" s="18"/>
      <c r="H534" s="18"/>
      <c r="I534" s="18"/>
      <c r="J534" s="18"/>
      <c r="K534" s="18"/>
    </row>
    <row r="535" spans="1:11" ht="15.75" customHeight="1">
      <c r="A535" s="18"/>
      <c r="B535" s="18"/>
      <c r="C535" s="19"/>
      <c r="D535" s="18"/>
      <c r="E535" s="18"/>
      <c r="F535" s="18"/>
      <c r="G535" s="18"/>
      <c r="H535" s="18"/>
      <c r="I535" s="18"/>
      <c r="J535" s="18"/>
      <c r="K535" s="18"/>
    </row>
    <row r="536" spans="1:11" ht="15.75" customHeight="1">
      <c r="A536" s="18"/>
      <c r="B536" s="18"/>
      <c r="C536" s="19"/>
      <c r="D536" s="18"/>
      <c r="E536" s="18"/>
      <c r="F536" s="18"/>
      <c r="G536" s="18"/>
      <c r="H536" s="18"/>
      <c r="I536" s="18"/>
      <c r="J536" s="18"/>
      <c r="K536" s="18"/>
    </row>
    <row r="537" spans="1:11" ht="15.75" customHeight="1">
      <c r="A537" s="18"/>
      <c r="B537" s="18"/>
      <c r="C537" s="19"/>
      <c r="D537" s="18"/>
      <c r="E537" s="18"/>
      <c r="F537" s="18"/>
      <c r="G537" s="18"/>
      <c r="H537" s="18"/>
      <c r="I537" s="18"/>
      <c r="J537" s="18"/>
      <c r="K537" s="18"/>
    </row>
    <row r="538" spans="1:11" ht="15.75" customHeight="1">
      <c r="A538" s="18"/>
      <c r="B538" s="18"/>
      <c r="C538" s="19"/>
      <c r="D538" s="18"/>
      <c r="E538" s="18"/>
      <c r="F538" s="18"/>
      <c r="G538" s="18"/>
      <c r="H538" s="18"/>
      <c r="I538" s="18"/>
      <c r="J538" s="18"/>
      <c r="K538" s="18"/>
    </row>
    <row r="539" spans="1:11" ht="15.75" customHeight="1">
      <c r="A539" s="18"/>
      <c r="B539" s="18"/>
      <c r="C539" s="19"/>
      <c r="D539" s="18"/>
      <c r="E539" s="18"/>
      <c r="F539" s="18"/>
      <c r="G539" s="18"/>
      <c r="H539" s="18"/>
      <c r="I539" s="18"/>
      <c r="J539" s="18"/>
      <c r="K539" s="18"/>
    </row>
    <row r="540" spans="1:11" ht="15.75" customHeight="1">
      <c r="A540" s="18"/>
      <c r="B540" s="18"/>
      <c r="C540" s="19"/>
      <c r="D540" s="18"/>
      <c r="E540" s="18"/>
      <c r="F540" s="18"/>
      <c r="G540" s="18"/>
      <c r="H540" s="18"/>
      <c r="I540" s="18"/>
      <c r="J540" s="18"/>
      <c r="K540" s="18"/>
    </row>
    <row r="541" spans="1:11" ht="15.75" customHeight="1">
      <c r="A541" s="18"/>
      <c r="B541" s="18"/>
      <c r="C541" s="19"/>
      <c r="D541" s="18"/>
      <c r="E541" s="18"/>
      <c r="F541" s="18"/>
      <c r="G541" s="18"/>
      <c r="H541" s="18"/>
      <c r="I541" s="18"/>
      <c r="J541" s="18"/>
      <c r="K541" s="18"/>
    </row>
    <row r="542" spans="1:11" ht="15.75" customHeight="1">
      <c r="A542" s="18"/>
      <c r="B542" s="18"/>
      <c r="C542" s="19"/>
      <c r="D542" s="18"/>
      <c r="E542" s="18"/>
      <c r="F542" s="18"/>
      <c r="G542" s="18"/>
      <c r="H542" s="18"/>
      <c r="I542" s="18"/>
      <c r="J542" s="18"/>
      <c r="K542" s="18"/>
    </row>
    <row r="543" spans="1:11" ht="15.75" customHeight="1">
      <c r="A543" s="18"/>
      <c r="B543" s="18"/>
      <c r="C543" s="19"/>
      <c r="D543" s="18"/>
      <c r="E543" s="18"/>
      <c r="F543" s="18"/>
      <c r="G543" s="18"/>
      <c r="H543" s="18"/>
      <c r="I543" s="18"/>
      <c r="J543" s="18"/>
      <c r="K543" s="18"/>
    </row>
    <row r="544" spans="1:11" ht="15.75" customHeight="1">
      <c r="A544" s="18"/>
      <c r="B544" s="18"/>
      <c r="C544" s="19"/>
      <c r="D544" s="18"/>
      <c r="E544" s="18"/>
      <c r="F544" s="18"/>
      <c r="G544" s="18"/>
      <c r="H544" s="18"/>
      <c r="I544" s="18"/>
      <c r="J544" s="18"/>
      <c r="K544" s="18"/>
    </row>
    <row r="545" spans="1:11" ht="15.75" customHeight="1">
      <c r="A545" s="18"/>
      <c r="B545" s="18"/>
      <c r="C545" s="19"/>
      <c r="D545" s="18"/>
      <c r="E545" s="18"/>
      <c r="F545" s="18"/>
      <c r="G545" s="18"/>
      <c r="H545" s="18"/>
      <c r="I545" s="18"/>
      <c r="J545" s="18"/>
      <c r="K545" s="18"/>
    </row>
    <row r="546" spans="1:11" ht="15.75" customHeight="1">
      <c r="A546" s="18"/>
      <c r="B546" s="18"/>
      <c r="C546" s="19"/>
      <c r="D546" s="18"/>
      <c r="E546" s="18"/>
      <c r="F546" s="18"/>
      <c r="G546" s="18"/>
      <c r="H546" s="18"/>
      <c r="I546" s="18"/>
      <c r="J546" s="18"/>
      <c r="K546" s="18"/>
    </row>
    <row r="547" spans="1:11" ht="15.75" customHeight="1">
      <c r="A547" s="18"/>
      <c r="B547" s="18"/>
      <c r="C547" s="19"/>
      <c r="D547" s="18"/>
      <c r="E547" s="18"/>
      <c r="F547" s="18"/>
      <c r="G547" s="18"/>
      <c r="H547" s="18"/>
      <c r="I547" s="18"/>
      <c r="J547" s="18"/>
      <c r="K547" s="18"/>
    </row>
    <row r="548" spans="1:11" ht="15.75" customHeight="1">
      <c r="A548" s="18"/>
      <c r="B548" s="18"/>
      <c r="C548" s="19"/>
      <c r="D548" s="18"/>
      <c r="E548" s="18"/>
      <c r="F548" s="18"/>
      <c r="G548" s="18"/>
      <c r="H548" s="18"/>
      <c r="I548" s="18"/>
      <c r="J548" s="18"/>
      <c r="K548" s="18"/>
    </row>
    <row r="549" spans="1:11" ht="15.75" customHeight="1">
      <c r="A549" s="18"/>
      <c r="B549" s="18"/>
      <c r="C549" s="19"/>
      <c r="D549" s="18"/>
      <c r="E549" s="18"/>
      <c r="F549" s="18"/>
      <c r="G549" s="18"/>
      <c r="H549" s="18"/>
      <c r="I549" s="18"/>
      <c r="J549" s="18"/>
      <c r="K549" s="18"/>
    </row>
    <row r="550" spans="1:11" ht="15.75" customHeight="1">
      <c r="A550" s="18"/>
      <c r="B550" s="18"/>
      <c r="C550" s="19"/>
      <c r="D550" s="18"/>
      <c r="E550" s="18"/>
      <c r="F550" s="18"/>
      <c r="G550" s="18"/>
      <c r="H550" s="18"/>
      <c r="I550" s="18"/>
      <c r="J550" s="18"/>
      <c r="K550" s="18"/>
    </row>
    <row r="551" spans="1:11" ht="15.75" customHeight="1">
      <c r="A551" s="18"/>
      <c r="B551" s="18"/>
      <c r="C551" s="19"/>
      <c r="D551" s="18"/>
      <c r="E551" s="18"/>
      <c r="F551" s="18"/>
      <c r="G551" s="18"/>
      <c r="H551" s="18"/>
      <c r="I551" s="18"/>
      <c r="J551" s="18"/>
      <c r="K551" s="18"/>
    </row>
    <row r="552" spans="1:11" ht="15.75" customHeight="1">
      <c r="A552" s="18"/>
      <c r="B552" s="18"/>
      <c r="C552" s="19"/>
      <c r="D552" s="18"/>
      <c r="E552" s="18"/>
      <c r="F552" s="18"/>
      <c r="G552" s="18"/>
      <c r="H552" s="18"/>
      <c r="I552" s="18"/>
      <c r="J552" s="18"/>
      <c r="K552" s="18"/>
    </row>
    <row r="553" spans="1:11" ht="15.75" customHeight="1">
      <c r="A553" s="18"/>
      <c r="B553" s="18"/>
      <c r="C553" s="19"/>
      <c r="D553" s="18"/>
      <c r="E553" s="18"/>
      <c r="F553" s="18"/>
      <c r="G553" s="18"/>
      <c r="H553" s="18"/>
      <c r="I553" s="18"/>
      <c r="J553" s="18"/>
      <c r="K553" s="18"/>
    </row>
    <row r="554" spans="1:11" ht="15.75" customHeight="1">
      <c r="A554" s="18"/>
      <c r="B554" s="18"/>
      <c r="C554" s="19"/>
      <c r="D554" s="18"/>
      <c r="E554" s="18"/>
      <c r="F554" s="18"/>
      <c r="G554" s="18"/>
      <c r="H554" s="18"/>
      <c r="I554" s="18"/>
      <c r="J554" s="18"/>
      <c r="K554" s="18"/>
    </row>
    <row r="555" spans="1:11" ht="15.75" customHeight="1">
      <c r="A555" s="18"/>
      <c r="B555" s="18"/>
      <c r="C555" s="19"/>
      <c r="D555" s="18"/>
      <c r="E555" s="18"/>
      <c r="F555" s="18"/>
      <c r="G555" s="18"/>
      <c r="H555" s="18"/>
      <c r="I555" s="18"/>
      <c r="J555" s="18"/>
      <c r="K555" s="18"/>
    </row>
    <row r="556" spans="1:11" ht="15.75" customHeight="1">
      <c r="A556" s="18"/>
      <c r="B556" s="18"/>
      <c r="C556" s="19"/>
      <c r="D556" s="18"/>
      <c r="E556" s="18"/>
      <c r="F556" s="18"/>
      <c r="G556" s="18"/>
      <c r="H556" s="18"/>
      <c r="I556" s="18"/>
      <c r="J556" s="18"/>
      <c r="K556" s="18"/>
    </row>
    <row r="557" spans="1:11" ht="15.75" customHeight="1">
      <c r="A557" s="18"/>
      <c r="B557" s="18"/>
      <c r="C557" s="19"/>
      <c r="D557" s="18"/>
      <c r="E557" s="18"/>
      <c r="F557" s="18"/>
      <c r="G557" s="18"/>
      <c r="H557" s="18"/>
      <c r="I557" s="18"/>
      <c r="J557" s="18"/>
      <c r="K557" s="18"/>
    </row>
    <row r="558" spans="1:11" ht="15.75" customHeight="1">
      <c r="A558" s="18"/>
      <c r="B558" s="18"/>
      <c r="C558" s="19"/>
      <c r="D558" s="18"/>
      <c r="E558" s="18"/>
      <c r="F558" s="18"/>
      <c r="G558" s="18"/>
      <c r="H558" s="18"/>
      <c r="I558" s="18"/>
      <c r="J558" s="18"/>
      <c r="K558" s="18"/>
    </row>
    <row r="559" spans="1:11" ht="15.75" customHeight="1">
      <c r="A559" s="18"/>
      <c r="B559" s="18"/>
      <c r="C559" s="19"/>
      <c r="D559" s="18"/>
      <c r="E559" s="18"/>
      <c r="F559" s="18"/>
      <c r="G559" s="18"/>
      <c r="H559" s="18"/>
      <c r="I559" s="18"/>
      <c r="J559" s="18"/>
      <c r="K559" s="18"/>
    </row>
    <row r="560" spans="1:11" ht="15.75" customHeight="1">
      <c r="A560" s="18"/>
      <c r="B560" s="18"/>
      <c r="C560" s="19"/>
      <c r="D560" s="18"/>
      <c r="E560" s="18"/>
      <c r="F560" s="18"/>
      <c r="G560" s="18"/>
      <c r="H560" s="18"/>
      <c r="I560" s="18"/>
      <c r="J560" s="18"/>
      <c r="K560" s="18"/>
    </row>
    <row r="561" spans="1:11" ht="15.75" customHeight="1">
      <c r="A561" s="18"/>
      <c r="B561" s="18"/>
      <c r="C561" s="19"/>
      <c r="D561" s="18"/>
      <c r="E561" s="18"/>
      <c r="F561" s="18"/>
      <c r="G561" s="18"/>
      <c r="H561" s="18"/>
      <c r="I561" s="18"/>
      <c r="J561" s="18"/>
      <c r="K561" s="18"/>
    </row>
    <row r="562" spans="1:11" ht="15.75" customHeight="1">
      <c r="A562" s="18"/>
      <c r="B562" s="18"/>
      <c r="C562" s="19"/>
      <c r="D562" s="18"/>
      <c r="E562" s="18"/>
      <c r="F562" s="18"/>
      <c r="G562" s="18"/>
      <c r="H562" s="18"/>
      <c r="I562" s="18"/>
      <c r="J562" s="18"/>
      <c r="K562" s="18"/>
    </row>
    <row r="563" spans="1:11" ht="15.75" customHeight="1">
      <c r="A563" s="18"/>
      <c r="B563" s="18"/>
      <c r="C563" s="19"/>
      <c r="D563" s="18"/>
      <c r="E563" s="18"/>
      <c r="F563" s="18"/>
      <c r="G563" s="18"/>
      <c r="H563" s="18"/>
      <c r="I563" s="18"/>
      <c r="J563" s="18"/>
      <c r="K563" s="18"/>
    </row>
    <row r="564" spans="1:11" ht="15.75" customHeight="1">
      <c r="A564" s="18"/>
      <c r="B564" s="18"/>
      <c r="C564" s="19"/>
      <c r="D564" s="18"/>
      <c r="E564" s="18"/>
      <c r="F564" s="18"/>
      <c r="G564" s="18"/>
      <c r="H564" s="18"/>
      <c r="I564" s="18"/>
      <c r="J564" s="18"/>
      <c r="K564" s="18"/>
    </row>
    <row r="565" spans="1:11" ht="15.75" customHeight="1">
      <c r="A565" s="18"/>
      <c r="B565" s="18"/>
      <c r="C565" s="19"/>
      <c r="D565" s="18"/>
      <c r="E565" s="18"/>
      <c r="F565" s="18"/>
      <c r="G565" s="18"/>
      <c r="H565" s="18"/>
      <c r="I565" s="18"/>
      <c r="J565" s="18"/>
      <c r="K565" s="18"/>
    </row>
    <row r="566" spans="1:11" ht="15.75" customHeight="1">
      <c r="A566" s="18"/>
      <c r="B566" s="18"/>
      <c r="C566" s="19"/>
      <c r="D566" s="18"/>
      <c r="E566" s="18"/>
      <c r="F566" s="18"/>
      <c r="G566" s="18"/>
      <c r="H566" s="18"/>
      <c r="I566" s="18"/>
      <c r="J566" s="18"/>
      <c r="K566" s="18"/>
    </row>
    <row r="567" spans="1:11" ht="15.75" customHeight="1">
      <c r="A567" s="18"/>
      <c r="B567" s="18"/>
      <c r="C567" s="19"/>
      <c r="D567" s="18"/>
      <c r="E567" s="18"/>
      <c r="F567" s="18"/>
      <c r="G567" s="18"/>
      <c r="H567" s="18"/>
      <c r="I567" s="18"/>
      <c r="J567" s="18"/>
      <c r="K567" s="18"/>
    </row>
    <row r="568" spans="1:11" ht="15.75" customHeight="1">
      <c r="A568" s="18"/>
      <c r="B568" s="18"/>
      <c r="C568" s="19"/>
      <c r="D568" s="18"/>
      <c r="E568" s="18"/>
      <c r="F568" s="18"/>
      <c r="G568" s="18"/>
      <c r="H568" s="18"/>
      <c r="I568" s="18"/>
      <c r="J568" s="18"/>
      <c r="K568" s="18"/>
    </row>
    <row r="569" spans="1:11" ht="15.75" customHeight="1">
      <c r="A569" s="18"/>
      <c r="B569" s="18"/>
      <c r="C569" s="19"/>
      <c r="D569" s="18"/>
      <c r="E569" s="18"/>
      <c r="F569" s="18"/>
      <c r="G569" s="18"/>
      <c r="H569" s="18"/>
      <c r="I569" s="18"/>
      <c r="J569" s="18"/>
      <c r="K569" s="18"/>
    </row>
    <row r="570" spans="1:11" ht="15.75" customHeight="1">
      <c r="A570" s="18"/>
      <c r="B570" s="18"/>
      <c r="C570" s="19"/>
      <c r="D570" s="18"/>
      <c r="E570" s="18"/>
      <c r="F570" s="18"/>
      <c r="G570" s="18"/>
      <c r="H570" s="18"/>
      <c r="I570" s="18"/>
      <c r="J570" s="18"/>
      <c r="K570" s="18"/>
    </row>
    <row r="571" spans="1:11" ht="15.75" customHeight="1">
      <c r="A571" s="18"/>
      <c r="B571" s="18"/>
      <c r="C571" s="19"/>
      <c r="D571" s="18"/>
      <c r="E571" s="18"/>
      <c r="F571" s="18"/>
      <c r="G571" s="18"/>
      <c r="H571" s="18"/>
      <c r="I571" s="18"/>
      <c r="J571" s="18"/>
      <c r="K571" s="18"/>
    </row>
    <row r="572" spans="1:11" ht="15.75" customHeight="1">
      <c r="A572" s="18"/>
      <c r="B572" s="18"/>
      <c r="C572" s="19"/>
      <c r="D572" s="18"/>
      <c r="E572" s="18"/>
      <c r="F572" s="18"/>
      <c r="G572" s="18"/>
      <c r="H572" s="18"/>
      <c r="I572" s="18"/>
      <c r="J572" s="18"/>
      <c r="K572" s="18"/>
    </row>
    <row r="573" spans="1:11" ht="15.75" customHeight="1">
      <c r="A573" s="18"/>
      <c r="B573" s="18"/>
      <c r="C573" s="19"/>
      <c r="D573" s="18"/>
      <c r="E573" s="18"/>
      <c r="F573" s="18"/>
      <c r="G573" s="18"/>
      <c r="H573" s="18"/>
      <c r="I573" s="18"/>
      <c r="J573" s="18"/>
      <c r="K573" s="18"/>
    </row>
    <row r="574" spans="1:11" ht="15.75" customHeight="1">
      <c r="A574" s="18"/>
      <c r="B574" s="18"/>
      <c r="C574" s="19"/>
      <c r="D574" s="18"/>
      <c r="E574" s="18"/>
      <c r="F574" s="18"/>
      <c r="G574" s="18"/>
      <c r="H574" s="18"/>
      <c r="I574" s="18"/>
      <c r="J574" s="18"/>
      <c r="K574" s="18"/>
    </row>
    <row r="575" spans="1:11" ht="15.75" customHeight="1">
      <c r="A575" s="18"/>
      <c r="B575" s="18"/>
      <c r="C575" s="19"/>
      <c r="D575" s="18"/>
      <c r="E575" s="18"/>
      <c r="F575" s="18"/>
      <c r="G575" s="18"/>
      <c r="H575" s="18"/>
      <c r="I575" s="18"/>
      <c r="J575" s="18"/>
      <c r="K575" s="18"/>
    </row>
    <row r="576" spans="1:11" ht="15.75" customHeight="1">
      <c r="A576" s="18"/>
      <c r="B576" s="18"/>
      <c r="C576" s="19"/>
      <c r="D576" s="18"/>
      <c r="E576" s="18"/>
      <c r="F576" s="18"/>
      <c r="G576" s="18"/>
      <c r="H576" s="18"/>
      <c r="I576" s="18"/>
      <c r="J576" s="18"/>
      <c r="K576" s="18"/>
    </row>
    <row r="577" spans="1:11" ht="15.75" customHeight="1">
      <c r="A577" s="18"/>
      <c r="B577" s="18"/>
      <c r="C577" s="19"/>
      <c r="D577" s="18"/>
      <c r="E577" s="18"/>
      <c r="F577" s="18"/>
      <c r="G577" s="18"/>
      <c r="H577" s="18"/>
      <c r="I577" s="18"/>
      <c r="J577" s="18"/>
      <c r="K577" s="18"/>
    </row>
    <row r="578" spans="1:11" ht="15.75" customHeight="1">
      <c r="A578" s="18"/>
      <c r="B578" s="18"/>
      <c r="C578" s="19"/>
      <c r="D578" s="18"/>
      <c r="E578" s="18"/>
      <c r="F578" s="18"/>
      <c r="G578" s="18"/>
      <c r="H578" s="18"/>
      <c r="I578" s="18"/>
      <c r="J578" s="18"/>
      <c r="K578" s="18"/>
    </row>
    <row r="579" spans="1:11" ht="15.75" customHeight="1">
      <c r="A579" s="18"/>
      <c r="B579" s="18"/>
      <c r="C579" s="19"/>
      <c r="D579" s="18"/>
      <c r="E579" s="18"/>
      <c r="F579" s="18"/>
      <c r="G579" s="18"/>
      <c r="H579" s="18"/>
      <c r="I579" s="18"/>
      <c r="J579" s="18"/>
      <c r="K579" s="18"/>
    </row>
    <row r="580" spans="1:11" ht="15.75" customHeight="1">
      <c r="A580" s="18"/>
      <c r="B580" s="18"/>
      <c r="C580" s="19"/>
      <c r="D580" s="18"/>
      <c r="E580" s="18"/>
      <c r="F580" s="18"/>
      <c r="G580" s="18"/>
      <c r="H580" s="18"/>
      <c r="I580" s="18"/>
      <c r="J580" s="18"/>
      <c r="K580" s="18"/>
    </row>
    <row r="581" spans="1:11" ht="15.75" customHeight="1">
      <c r="A581" s="18"/>
      <c r="B581" s="18"/>
      <c r="C581" s="19"/>
      <c r="D581" s="18"/>
      <c r="E581" s="18"/>
      <c r="F581" s="18"/>
      <c r="G581" s="18"/>
      <c r="H581" s="18"/>
      <c r="I581" s="18"/>
      <c r="J581" s="18"/>
      <c r="K581" s="18"/>
    </row>
    <row r="582" spans="1:11" ht="15.75" customHeight="1">
      <c r="A582" s="18"/>
      <c r="B582" s="18"/>
      <c r="C582" s="19"/>
      <c r="D582" s="18"/>
      <c r="E582" s="18"/>
      <c r="F582" s="18"/>
      <c r="G582" s="18"/>
      <c r="H582" s="18"/>
      <c r="I582" s="18"/>
      <c r="J582" s="18"/>
      <c r="K582" s="18"/>
    </row>
    <row r="583" spans="1:11" ht="15.75" customHeight="1">
      <c r="A583" s="18"/>
      <c r="B583" s="18"/>
      <c r="C583" s="19"/>
      <c r="D583" s="18"/>
      <c r="E583" s="18"/>
      <c r="F583" s="18"/>
      <c r="G583" s="18"/>
      <c r="H583" s="18"/>
      <c r="I583" s="18"/>
      <c r="J583" s="18"/>
      <c r="K583" s="18"/>
    </row>
    <row r="584" spans="1:11" ht="15.75" customHeight="1">
      <c r="A584" s="18"/>
      <c r="B584" s="18"/>
      <c r="C584" s="19"/>
      <c r="D584" s="18"/>
      <c r="E584" s="18"/>
      <c r="F584" s="18"/>
      <c r="G584" s="18"/>
      <c r="H584" s="18"/>
      <c r="I584" s="18"/>
      <c r="J584" s="18"/>
      <c r="K584" s="18"/>
    </row>
    <row r="585" spans="1:11" ht="15.75" customHeight="1">
      <c r="A585" s="18"/>
      <c r="B585" s="18"/>
      <c r="C585" s="19"/>
      <c r="D585" s="18"/>
      <c r="E585" s="18"/>
      <c r="F585" s="18"/>
      <c r="G585" s="18"/>
      <c r="H585" s="18"/>
      <c r="I585" s="18"/>
      <c r="J585" s="18"/>
      <c r="K585" s="18"/>
    </row>
    <row r="586" spans="1:11" ht="15.75" customHeight="1">
      <c r="A586" s="18"/>
      <c r="B586" s="18"/>
      <c r="C586" s="19"/>
      <c r="D586" s="18"/>
      <c r="E586" s="18"/>
      <c r="F586" s="18"/>
      <c r="G586" s="18"/>
      <c r="H586" s="18"/>
      <c r="I586" s="18"/>
      <c r="J586" s="18"/>
      <c r="K586" s="18"/>
    </row>
    <row r="587" spans="1:11" ht="15.75" customHeight="1">
      <c r="A587" s="18"/>
      <c r="B587" s="18"/>
      <c r="C587" s="19"/>
      <c r="D587" s="18"/>
      <c r="E587" s="18"/>
      <c r="F587" s="18"/>
      <c r="G587" s="18"/>
      <c r="H587" s="18"/>
      <c r="I587" s="18"/>
      <c r="J587" s="18"/>
      <c r="K587" s="18"/>
    </row>
    <row r="588" spans="1:11" ht="15.75" customHeight="1">
      <c r="A588" s="18"/>
      <c r="B588" s="18"/>
      <c r="C588" s="19"/>
      <c r="D588" s="18"/>
      <c r="E588" s="18"/>
      <c r="F588" s="18"/>
      <c r="G588" s="18"/>
      <c r="H588" s="18"/>
      <c r="I588" s="18"/>
      <c r="J588" s="18"/>
      <c r="K588" s="18"/>
    </row>
    <row r="589" spans="1:11" ht="15.75" customHeight="1">
      <c r="A589" s="18"/>
      <c r="B589" s="18"/>
      <c r="C589" s="19"/>
      <c r="D589" s="18"/>
      <c r="E589" s="18"/>
      <c r="F589" s="18"/>
      <c r="G589" s="18"/>
      <c r="H589" s="18"/>
      <c r="I589" s="18"/>
      <c r="J589" s="18"/>
      <c r="K589" s="18"/>
    </row>
    <row r="590" spans="1:11" ht="15.75" customHeight="1">
      <c r="A590" s="18"/>
      <c r="B590" s="18"/>
      <c r="C590" s="19"/>
      <c r="D590" s="18"/>
      <c r="E590" s="18"/>
      <c r="F590" s="18"/>
      <c r="G590" s="18"/>
      <c r="H590" s="18"/>
      <c r="I590" s="18"/>
      <c r="J590" s="18"/>
      <c r="K590" s="18"/>
    </row>
    <row r="591" spans="1:11" ht="15.75" customHeight="1">
      <c r="A591" s="18"/>
      <c r="B591" s="18"/>
      <c r="C591" s="19"/>
      <c r="D591" s="18"/>
      <c r="E591" s="18"/>
      <c r="F591" s="18"/>
      <c r="G591" s="18"/>
      <c r="H591" s="18"/>
      <c r="I591" s="18"/>
      <c r="J591" s="18"/>
      <c r="K591" s="18"/>
    </row>
    <row r="592" spans="1:11" ht="15.75" customHeight="1">
      <c r="A592" s="18"/>
      <c r="B592" s="18"/>
      <c r="C592" s="19"/>
      <c r="D592" s="18"/>
      <c r="E592" s="18"/>
      <c r="F592" s="18"/>
      <c r="G592" s="18"/>
      <c r="H592" s="18"/>
      <c r="I592" s="18"/>
      <c r="J592" s="18"/>
      <c r="K592" s="18"/>
    </row>
    <row r="593" spans="1:11" ht="15.75" customHeight="1">
      <c r="A593" s="18"/>
      <c r="B593" s="18"/>
      <c r="C593" s="19"/>
      <c r="D593" s="18"/>
      <c r="E593" s="18"/>
      <c r="F593" s="18"/>
      <c r="G593" s="18"/>
      <c r="H593" s="18"/>
      <c r="I593" s="18"/>
      <c r="J593" s="18"/>
      <c r="K593" s="18"/>
    </row>
    <row r="594" spans="1:11" ht="15.75" customHeight="1">
      <c r="A594" s="18"/>
      <c r="B594" s="18"/>
      <c r="C594" s="19"/>
      <c r="D594" s="18"/>
      <c r="E594" s="18"/>
      <c r="F594" s="18"/>
      <c r="G594" s="18"/>
      <c r="H594" s="18"/>
      <c r="I594" s="18"/>
      <c r="J594" s="18"/>
      <c r="K594" s="18"/>
    </row>
    <row r="595" spans="1:11" ht="15.75" customHeight="1">
      <c r="A595" s="18"/>
      <c r="B595" s="18"/>
      <c r="C595" s="19"/>
      <c r="D595" s="18"/>
      <c r="E595" s="18"/>
      <c r="F595" s="18"/>
      <c r="G595" s="18"/>
      <c r="H595" s="18"/>
      <c r="I595" s="18"/>
      <c r="J595" s="18"/>
      <c r="K595" s="18"/>
    </row>
    <row r="596" spans="1:11" ht="15.75" customHeight="1">
      <c r="A596" s="18"/>
      <c r="B596" s="18"/>
      <c r="C596" s="19"/>
      <c r="D596" s="18"/>
      <c r="E596" s="18"/>
      <c r="F596" s="18"/>
      <c r="G596" s="18"/>
      <c r="H596" s="18"/>
      <c r="I596" s="18"/>
      <c r="J596" s="18"/>
      <c r="K596" s="18"/>
    </row>
    <row r="597" spans="1:11" ht="15.75" customHeight="1">
      <c r="A597" s="18"/>
      <c r="B597" s="18"/>
      <c r="C597" s="19"/>
      <c r="D597" s="18"/>
      <c r="E597" s="18"/>
      <c r="F597" s="18"/>
      <c r="G597" s="18"/>
      <c r="H597" s="18"/>
      <c r="I597" s="18"/>
      <c r="J597" s="18"/>
      <c r="K597" s="18"/>
    </row>
    <row r="598" spans="1:11" ht="15.75" customHeight="1">
      <c r="A598" s="18"/>
      <c r="B598" s="18"/>
      <c r="C598" s="19"/>
      <c r="D598" s="18"/>
      <c r="E598" s="18"/>
      <c r="F598" s="18"/>
      <c r="G598" s="18"/>
      <c r="H598" s="18"/>
      <c r="I598" s="18"/>
      <c r="J598" s="18"/>
      <c r="K598" s="18"/>
    </row>
    <row r="599" spans="1:11" ht="15.75" customHeight="1">
      <c r="A599" s="18"/>
      <c r="B599" s="18"/>
      <c r="C599" s="19"/>
      <c r="D599" s="18"/>
      <c r="E599" s="18"/>
      <c r="F599" s="18"/>
      <c r="G599" s="18"/>
      <c r="H599" s="18"/>
      <c r="I599" s="18"/>
      <c r="J599" s="18"/>
      <c r="K599" s="18"/>
    </row>
    <row r="600" spans="1:11" ht="15.75" customHeight="1">
      <c r="A600" s="18"/>
      <c r="B600" s="18"/>
      <c r="C600" s="19"/>
      <c r="D600" s="18"/>
      <c r="E600" s="18"/>
      <c r="F600" s="18"/>
      <c r="G600" s="18"/>
      <c r="H600" s="18"/>
      <c r="I600" s="18"/>
      <c r="J600" s="18"/>
      <c r="K600" s="18"/>
    </row>
    <row r="601" spans="1:11" ht="15.75" customHeight="1">
      <c r="A601" s="18"/>
      <c r="B601" s="18"/>
      <c r="C601" s="19"/>
      <c r="D601" s="18"/>
      <c r="E601" s="18"/>
      <c r="F601" s="18"/>
      <c r="G601" s="18"/>
      <c r="H601" s="18"/>
      <c r="I601" s="18"/>
      <c r="J601" s="18"/>
      <c r="K601" s="18"/>
    </row>
    <row r="602" spans="1:11" ht="15.75" customHeight="1">
      <c r="A602" s="18"/>
      <c r="B602" s="18"/>
      <c r="C602" s="19"/>
      <c r="D602" s="18"/>
      <c r="E602" s="18"/>
      <c r="F602" s="18"/>
      <c r="G602" s="18"/>
      <c r="H602" s="18"/>
      <c r="I602" s="18"/>
      <c r="J602" s="18"/>
      <c r="K602" s="18"/>
    </row>
    <row r="603" spans="1:11" ht="15.75" customHeight="1">
      <c r="A603" s="18"/>
      <c r="B603" s="18"/>
      <c r="C603" s="19"/>
      <c r="D603" s="18"/>
      <c r="E603" s="18"/>
      <c r="F603" s="18"/>
      <c r="G603" s="18"/>
      <c r="H603" s="18"/>
      <c r="I603" s="18"/>
      <c r="J603" s="18"/>
      <c r="K603" s="18"/>
    </row>
    <row r="604" spans="1:11" ht="15.75" customHeight="1">
      <c r="A604" s="18"/>
      <c r="B604" s="18"/>
      <c r="C604" s="19"/>
      <c r="D604" s="18"/>
      <c r="E604" s="18"/>
      <c r="F604" s="18"/>
      <c r="G604" s="18"/>
      <c r="H604" s="18"/>
      <c r="I604" s="18"/>
      <c r="J604" s="18"/>
      <c r="K604" s="18"/>
    </row>
    <row r="605" spans="1:11" ht="15.75" customHeight="1">
      <c r="A605" s="18"/>
      <c r="B605" s="18"/>
      <c r="C605" s="19"/>
      <c r="D605" s="18"/>
      <c r="E605" s="18"/>
      <c r="F605" s="18"/>
      <c r="G605" s="18"/>
      <c r="H605" s="18"/>
      <c r="I605" s="18"/>
      <c r="J605" s="18"/>
      <c r="K605" s="18"/>
    </row>
    <row r="606" spans="1:11" ht="15.75" customHeight="1">
      <c r="A606" s="18"/>
      <c r="B606" s="18"/>
      <c r="C606" s="19"/>
      <c r="D606" s="18"/>
      <c r="E606" s="18"/>
      <c r="F606" s="18"/>
      <c r="G606" s="18"/>
      <c r="H606" s="18"/>
      <c r="I606" s="18"/>
      <c r="J606" s="18"/>
      <c r="K606" s="18"/>
    </row>
    <row r="607" spans="1:11" ht="15.75" customHeight="1">
      <c r="A607" s="18"/>
      <c r="B607" s="18"/>
      <c r="C607" s="19"/>
      <c r="D607" s="18"/>
      <c r="E607" s="18"/>
      <c r="F607" s="18"/>
      <c r="G607" s="18"/>
      <c r="H607" s="18"/>
      <c r="I607" s="18"/>
      <c r="J607" s="18"/>
      <c r="K607" s="18"/>
    </row>
    <row r="608" spans="1:11" ht="15.75" customHeight="1">
      <c r="A608" s="18"/>
      <c r="B608" s="18"/>
      <c r="C608" s="19"/>
      <c r="D608" s="18"/>
      <c r="E608" s="18"/>
      <c r="F608" s="18"/>
      <c r="G608" s="18"/>
      <c r="H608" s="18"/>
      <c r="I608" s="18"/>
      <c r="J608" s="18"/>
      <c r="K608" s="18"/>
    </row>
    <row r="609" spans="1:11" ht="15.75" customHeight="1">
      <c r="A609" s="18"/>
      <c r="B609" s="18"/>
      <c r="C609" s="19"/>
      <c r="D609" s="18"/>
      <c r="E609" s="18"/>
      <c r="F609" s="18"/>
      <c r="G609" s="18"/>
      <c r="H609" s="18"/>
      <c r="I609" s="18"/>
      <c r="J609" s="18"/>
      <c r="K609" s="18"/>
    </row>
    <row r="610" spans="1:11" ht="15.75" customHeight="1">
      <c r="A610" s="18"/>
      <c r="B610" s="18"/>
      <c r="C610" s="19"/>
      <c r="D610" s="18"/>
      <c r="E610" s="18"/>
      <c r="F610" s="18"/>
      <c r="G610" s="18"/>
      <c r="H610" s="18"/>
      <c r="I610" s="18"/>
      <c r="J610" s="18"/>
      <c r="K610" s="18"/>
    </row>
    <row r="611" spans="1:11" ht="15.75" customHeight="1">
      <c r="A611" s="18"/>
      <c r="B611" s="18"/>
      <c r="C611" s="19"/>
      <c r="D611" s="18"/>
      <c r="E611" s="18"/>
      <c r="F611" s="18"/>
      <c r="G611" s="18"/>
      <c r="H611" s="18"/>
      <c r="I611" s="18"/>
      <c r="J611" s="18"/>
      <c r="K611" s="18"/>
    </row>
    <row r="612" spans="1:11" ht="15.75" customHeight="1">
      <c r="A612" s="18"/>
      <c r="B612" s="18"/>
      <c r="C612" s="19"/>
      <c r="D612" s="18"/>
      <c r="E612" s="18"/>
      <c r="F612" s="18"/>
      <c r="G612" s="18"/>
      <c r="H612" s="18"/>
      <c r="I612" s="18"/>
      <c r="J612" s="18"/>
      <c r="K612" s="18"/>
    </row>
    <row r="613" spans="1:11" ht="15.75" customHeight="1">
      <c r="A613" s="18"/>
      <c r="B613" s="18"/>
      <c r="C613" s="19"/>
      <c r="D613" s="18"/>
      <c r="E613" s="18"/>
      <c r="F613" s="18"/>
      <c r="G613" s="18"/>
      <c r="H613" s="18"/>
      <c r="I613" s="18"/>
      <c r="J613" s="18"/>
      <c r="K613" s="18"/>
    </row>
    <row r="614" spans="1:11" ht="15.75" customHeight="1">
      <c r="A614" s="18"/>
      <c r="B614" s="18"/>
      <c r="C614" s="19"/>
      <c r="D614" s="18"/>
      <c r="E614" s="18"/>
      <c r="F614" s="18"/>
      <c r="G614" s="18"/>
      <c r="H614" s="18"/>
      <c r="I614" s="18"/>
      <c r="J614" s="18"/>
      <c r="K614" s="18"/>
    </row>
    <row r="615" spans="1:11" ht="15.75" customHeight="1">
      <c r="A615" s="18"/>
      <c r="B615" s="18"/>
      <c r="C615" s="19"/>
      <c r="D615" s="18"/>
      <c r="E615" s="18"/>
      <c r="F615" s="18"/>
      <c r="G615" s="18"/>
      <c r="H615" s="18"/>
      <c r="I615" s="18"/>
      <c r="J615" s="18"/>
      <c r="K615" s="18"/>
    </row>
    <row r="616" spans="1:11" ht="15.75" customHeight="1">
      <c r="A616" s="18"/>
      <c r="B616" s="18"/>
      <c r="C616" s="19"/>
      <c r="D616" s="18"/>
      <c r="E616" s="18"/>
      <c r="F616" s="18"/>
      <c r="G616" s="18"/>
      <c r="H616" s="18"/>
      <c r="I616" s="18"/>
      <c r="J616" s="18"/>
      <c r="K616" s="18"/>
    </row>
    <row r="617" spans="1:11" ht="15.75" customHeight="1">
      <c r="A617" s="18"/>
      <c r="B617" s="18"/>
      <c r="C617" s="19"/>
      <c r="D617" s="18"/>
      <c r="E617" s="18"/>
      <c r="F617" s="18"/>
      <c r="G617" s="18"/>
      <c r="H617" s="18"/>
      <c r="I617" s="18"/>
      <c r="J617" s="18"/>
      <c r="K617" s="18"/>
    </row>
    <row r="618" spans="1:11" ht="15.75" customHeight="1">
      <c r="A618" s="18"/>
      <c r="B618" s="18"/>
      <c r="C618" s="19"/>
      <c r="D618" s="18"/>
      <c r="E618" s="18"/>
      <c r="F618" s="18"/>
      <c r="G618" s="18"/>
      <c r="H618" s="18"/>
      <c r="I618" s="18"/>
      <c r="J618" s="18"/>
      <c r="K618" s="18"/>
    </row>
    <row r="619" spans="1:11" ht="15.75" customHeight="1">
      <c r="A619" s="18"/>
      <c r="B619" s="18"/>
      <c r="C619" s="19"/>
      <c r="D619" s="18"/>
      <c r="E619" s="18"/>
      <c r="F619" s="18"/>
      <c r="G619" s="18"/>
      <c r="H619" s="18"/>
      <c r="I619" s="18"/>
      <c r="J619" s="18"/>
      <c r="K619" s="18"/>
    </row>
    <row r="620" spans="1:11" ht="15.75" customHeight="1">
      <c r="A620" s="18"/>
      <c r="B620" s="18"/>
      <c r="C620" s="19"/>
      <c r="D620" s="18"/>
      <c r="E620" s="18"/>
      <c r="F620" s="18"/>
      <c r="G620" s="18"/>
      <c r="H620" s="18"/>
      <c r="I620" s="18"/>
      <c r="J620" s="18"/>
      <c r="K620" s="18"/>
    </row>
    <row r="621" spans="1:11" ht="15.75" customHeight="1">
      <c r="A621" s="18"/>
      <c r="B621" s="18"/>
      <c r="C621" s="19"/>
      <c r="D621" s="18"/>
      <c r="E621" s="18"/>
      <c r="F621" s="18"/>
      <c r="G621" s="18"/>
      <c r="H621" s="18"/>
      <c r="I621" s="18"/>
      <c r="J621" s="18"/>
      <c r="K621" s="18"/>
    </row>
    <row r="622" spans="1:11" ht="15.75" customHeight="1">
      <c r="A622" s="18"/>
      <c r="B622" s="18"/>
      <c r="C622" s="19"/>
      <c r="D622" s="18"/>
      <c r="E622" s="18"/>
      <c r="F622" s="18"/>
      <c r="G622" s="18"/>
      <c r="H622" s="18"/>
      <c r="I622" s="18"/>
      <c r="J622" s="18"/>
      <c r="K622" s="18"/>
    </row>
    <row r="623" spans="1:11" ht="15.75" customHeight="1">
      <c r="A623" s="18"/>
      <c r="B623" s="18"/>
      <c r="C623" s="19"/>
      <c r="D623" s="18"/>
      <c r="E623" s="18"/>
      <c r="F623" s="18"/>
      <c r="G623" s="18"/>
      <c r="H623" s="18"/>
      <c r="I623" s="18"/>
      <c r="J623" s="18"/>
      <c r="K623" s="18"/>
    </row>
    <row r="624" spans="1:11" ht="15.75" customHeight="1">
      <c r="A624" s="18"/>
      <c r="B624" s="18"/>
      <c r="C624" s="19"/>
      <c r="D624" s="18"/>
      <c r="E624" s="18"/>
      <c r="F624" s="18"/>
      <c r="G624" s="18"/>
      <c r="H624" s="18"/>
      <c r="I624" s="18"/>
      <c r="J624" s="18"/>
      <c r="K624" s="18"/>
    </row>
    <row r="625" spans="1:11" ht="15.75" customHeight="1">
      <c r="A625" s="18"/>
      <c r="B625" s="18"/>
      <c r="C625" s="19"/>
      <c r="D625" s="18"/>
      <c r="E625" s="18"/>
      <c r="F625" s="18"/>
      <c r="G625" s="18"/>
      <c r="H625" s="18"/>
      <c r="I625" s="18"/>
      <c r="J625" s="18"/>
      <c r="K625" s="18"/>
    </row>
    <row r="626" spans="1:11" ht="15.75" customHeight="1">
      <c r="A626" s="18"/>
      <c r="B626" s="18"/>
      <c r="C626" s="19"/>
      <c r="D626" s="18"/>
      <c r="E626" s="18"/>
      <c r="F626" s="18"/>
      <c r="G626" s="18"/>
      <c r="H626" s="18"/>
      <c r="I626" s="18"/>
      <c r="J626" s="18"/>
      <c r="K626" s="18"/>
    </row>
    <row r="627" spans="1:11" ht="15.75" customHeight="1">
      <c r="A627" s="18"/>
      <c r="B627" s="18"/>
      <c r="C627" s="19"/>
      <c r="D627" s="18"/>
      <c r="E627" s="18"/>
      <c r="F627" s="18"/>
      <c r="G627" s="18"/>
      <c r="H627" s="18"/>
      <c r="I627" s="18"/>
      <c r="J627" s="18"/>
      <c r="K627" s="18"/>
    </row>
    <row r="628" spans="1:11" ht="15.75" customHeight="1">
      <c r="A628" s="18"/>
      <c r="B628" s="18"/>
      <c r="C628" s="19"/>
      <c r="D628" s="18"/>
      <c r="E628" s="18"/>
      <c r="F628" s="18"/>
      <c r="G628" s="18"/>
      <c r="H628" s="18"/>
      <c r="I628" s="18"/>
      <c r="J628" s="18"/>
      <c r="K628" s="18"/>
    </row>
    <row r="629" spans="1:11" ht="15.75" customHeight="1">
      <c r="A629" s="18"/>
      <c r="B629" s="18"/>
      <c r="C629" s="19"/>
      <c r="D629" s="18"/>
      <c r="E629" s="18"/>
      <c r="F629" s="18"/>
      <c r="G629" s="18"/>
      <c r="H629" s="18"/>
      <c r="I629" s="18"/>
      <c r="J629" s="18"/>
      <c r="K629" s="18"/>
    </row>
    <row r="630" spans="1:11" ht="15.75" customHeight="1">
      <c r="A630" s="18"/>
      <c r="B630" s="18"/>
      <c r="C630" s="19"/>
      <c r="D630" s="18"/>
      <c r="E630" s="18"/>
      <c r="F630" s="18"/>
      <c r="G630" s="18"/>
      <c r="H630" s="18"/>
      <c r="I630" s="18"/>
      <c r="J630" s="18"/>
      <c r="K630" s="18"/>
    </row>
    <row r="631" spans="1:11" ht="15.75" customHeight="1">
      <c r="A631" s="18"/>
      <c r="B631" s="18"/>
      <c r="C631" s="19"/>
      <c r="D631" s="18"/>
      <c r="E631" s="18"/>
      <c r="F631" s="18"/>
      <c r="G631" s="18"/>
      <c r="H631" s="18"/>
      <c r="I631" s="18"/>
      <c r="J631" s="18"/>
      <c r="K631" s="18"/>
    </row>
    <row r="632" spans="1:11" ht="15.75" customHeight="1">
      <c r="A632" s="18"/>
      <c r="B632" s="18"/>
      <c r="C632" s="19"/>
      <c r="D632" s="18"/>
      <c r="E632" s="18"/>
      <c r="F632" s="18"/>
      <c r="G632" s="18"/>
      <c r="H632" s="18"/>
      <c r="I632" s="18"/>
      <c r="J632" s="18"/>
      <c r="K632" s="18"/>
    </row>
    <row r="633" spans="1:11" ht="15.75" customHeight="1">
      <c r="A633" s="18"/>
      <c r="B633" s="18"/>
      <c r="C633" s="19"/>
      <c r="D633" s="18"/>
      <c r="E633" s="18"/>
      <c r="F633" s="18"/>
      <c r="G633" s="18"/>
      <c r="H633" s="18"/>
      <c r="I633" s="18"/>
      <c r="J633" s="18"/>
      <c r="K633" s="18"/>
    </row>
    <row r="634" spans="1:11" ht="15.75" customHeight="1">
      <c r="A634" s="18"/>
      <c r="B634" s="18"/>
      <c r="C634" s="19"/>
      <c r="D634" s="18"/>
      <c r="E634" s="18"/>
      <c r="F634" s="18"/>
      <c r="G634" s="18"/>
      <c r="H634" s="18"/>
      <c r="I634" s="18"/>
      <c r="J634" s="18"/>
      <c r="K634" s="18"/>
    </row>
    <row r="635" spans="1:11" ht="15.75" customHeight="1">
      <c r="A635" s="18"/>
      <c r="B635" s="18"/>
      <c r="C635" s="19"/>
      <c r="D635" s="18"/>
      <c r="E635" s="18"/>
      <c r="F635" s="18"/>
      <c r="G635" s="18"/>
      <c r="H635" s="18"/>
      <c r="I635" s="18"/>
      <c r="J635" s="18"/>
      <c r="K635" s="18"/>
    </row>
    <row r="636" spans="1:11" ht="15.75" customHeight="1">
      <c r="A636" s="18"/>
      <c r="B636" s="18"/>
      <c r="C636" s="19"/>
      <c r="D636" s="18"/>
      <c r="E636" s="18"/>
      <c r="F636" s="18"/>
      <c r="G636" s="18"/>
      <c r="H636" s="18"/>
      <c r="I636" s="18"/>
      <c r="J636" s="18"/>
      <c r="K636" s="18"/>
    </row>
    <row r="637" spans="1:11" ht="15.75" customHeight="1">
      <c r="A637" s="18"/>
      <c r="B637" s="18"/>
      <c r="C637" s="19"/>
      <c r="D637" s="18"/>
      <c r="E637" s="18"/>
      <c r="F637" s="18"/>
      <c r="G637" s="18"/>
      <c r="H637" s="18"/>
      <c r="I637" s="18"/>
      <c r="J637" s="18"/>
      <c r="K637" s="18"/>
    </row>
    <row r="638" spans="1:11" ht="15.75" customHeight="1">
      <c r="A638" s="18"/>
      <c r="B638" s="18"/>
      <c r="C638" s="19"/>
      <c r="D638" s="18"/>
      <c r="E638" s="18"/>
      <c r="F638" s="18"/>
      <c r="G638" s="18"/>
      <c r="H638" s="18"/>
      <c r="I638" s="18"/>
      <c r="J638" s="18"/>
      <c r="K638" s="18"/>
    </row>
    <row r="639" spans="1:11" ht="15.75" customHeight="1">
      <c r="A639" s="18"/>
      <c r="B639" s="18"/>
      <c r="C639" s="19"/>
      <c r="D639" s="18"/>
      <c r="E639" s="18"/>
      <c r="F639" s="18"/>
      <c r="G639" s="18"/>
      <c r="H639" s="18"/>
      <c r="I639" s="18"/>
      <c r="J639" s="18"/>
      <c r="K639" s="18"/>
    </row>
    <row r="640" spans="1:11" ht="15.75" customHeight="1">
      <c r="A640" s="18"/>
      <c r="B640" s="18"/>
      <c r="C640" s="19"/>
      <c r="D640" s="18"/>
      <c r="E640" s="18"/>
      <c r="F640" s="18"/>
      <c r="G640" s="18"/>
      <c r="H640" s="18"/>
      <c r="I640" s="18"/>
      <c r="J640" s="18"/>
      <c r="K640" s="18"/>
    </row>
    <row r="641" spans="1:11" ht="15.75" customHeight="1">
      <c r="A641" s="18"/>
      <c r="B641" s="18"/>
      <c r="C641" s="19"/>
      <c r="D641" s="18"/>
      <c r="E641" s="18"/>
      <c r="F641" s="18"/>
      <c r="G641" s="18"/>
      <c r="H641" s="18"/>
      <c r="I641" s="18"/>
      <c r="J641" s="18"/>
      <c r="K641" s="18"/>
    </row>
    <row r="642" spans="1:11" ht="15.75" customHeight="1">
      <c r="A642" s="18"/>
      <c r="B642" s="18"/>
      <c r="C642" s="19"/>
      <c r="D642" s="18"/>
      <c r="E642" s="18"/>
      <c r="F642" s="18"/>
      <c r="G642" s="18"/>
      <c r="H642" s="18"/>
      <c r="I642" s="18"/>
      <c r="J642" s="18"/>
      <c r="K642" s="18"/>
    </row>
    <row r="643" spans="1:11" ht="15.75" customHeight="1">
      <c r="A643" s="18"/>
      <c r="B643" s="18"/>
      <c r="C643" s="19"/>
      <c r="D643" s="18"/>
      <c r="E643" s="18"/>
      <c r="F643" s="18"/>
      <c r="G643" s="18"/>
      <c r="H643" s="18"/>
      <c r="I643" s="18"/>
      <c r="J643" s="18"/>
      <c r="K643" s="18"/>
    </row>
    <row r="644" spans="1:11" ht="15.75" customHeight="1">
      <c r="A644" s="18"/>
      <c r="B644" s="18"/>
      <c r="C644" s="19"/>
      <c r="D644" s="18"/>
      <c r="E644" s="18"/>
      <c r="F644" s="18"/>
      <c r="G644" s="18"/>
      <c r="H644" s="18"/>
      <c r="I644" s="18"/>
      <c r="J644" s="18"/>
      <c r="K644" s="18"/>
    </row>
    <row r="645" spans="1:11" ht="15.75" customHeight="1">
      <c r="A645" s="18"/>
      <c r="B645" s="18"/>
      <c r="C645" s="19"/>
      <c r="D645" s="18"/>
      <c r="E645" s="18"/>
      <c r="F645" s="18"/>
      <c r="G645" s="18"/>
      <c r="H645" s="18"/>
      <c r="I645" s="18"/>
      <c r="J645" s="18"/>
      <c r="K645" s="18"/>
    </row>
    <row r="646" spans="1:11" ht="15.75" customHeight="1">
      <c r="A646" s="18"/>
      <c r="B646" s="18"/>
      <c r="C646" s="19"/>
      <c r="D646" s="18"/>
      <c r="E646" s="18"/>
      <c r="F646" s="18"/>
      <c r="G646" s="18"/>
      <c r="H646" s="18"/>
      <c r="I646" s="18"/>
      <c r="J646" s="18"/>
      <c r="K646" s="18"/>
    </row>
    <row r="647" spans="1:11" ht="15.75" customHeight="1">
      <c r="A647" s="18"/>
      <c r="B647" s="18"/>
      <c r="C647" s="19"/>
      <c r="D647" s="18"/>
      <c r="E647" s="18"/>
      <c r="F647" s="18"/>
      <c r="G647" s="18"/>
      <c r="H647" s="18"/>
      <c r="I647" s="18"/>
      <c r="J647" s="18"/>
      <c r="K647" s="18"/>
    </row>
    <row r="648" spans="1:11" ht="15.75" customHeight="1">
      <c r="A648" s="18"/>
      <c r="B648" s="18"/>
      <c r="C648" s="19"/>
      <c r="D648" s="18"/>
      <c r="E648" s="18"/>
      <c r="F648" s="18"/>
      <c r="G648" s="18"/>
      <c r="H648" s="18"/>
      <c r="I648" s="18"/>
      <c r="J648" s="18"/>
      <c r="K648" s="18"/>
    </row>
    <row r="649" spans="1:11" ht="15.75" customHeight="1">
      <c r="A649" s="18"/>
      <c r="B649" s="18"/>
      <c r="C649" s="19"/>
      <c r="D649" s="18"/>
      <c r="E649" s="18"/>
      <c r="F649" s="18"/>
      <c r="G649" s="18"/>
      <c r="H649" s="18"/>
      <c r="I649" s="18"/>
      <c r="J649" s="18"/>
      <c r="K649" s="18"/>
    </row>
    <row r="650" spans="1:11" ht="15.75" customHeight="1">
      <c r="A650" s="18"/>
      <c r="B650" s="18"/>
      <c r="C650" s="19"/>
      <c r="D650" s="18"/>
      <c r="E650" s="18"/>
      <c r="F650" s="18"/>
      <c r="G650" s="18"/>
      <c r="H650" s="18"/>
      <c r="I650" s="18"/>
      <c r="J650" s="18"/>
      <c r="K650" s="18"/>
    </row>
    <row r="651" spans="1:11" ht="15.75" customHeight="1">
      <c r="A651" s="18"/>
      <c r="B651" s="18"/>
      <c r="C651" s="19"/>
      <c r="D651" s="18"/>
      <c r="E651" s="18"/>
      <c r="F651" s="18"/>
      <c r="G651" s="18"/>
      <c r="H651" s="18"/>
      <c r="I651" s="18"/>
      <c r="J651" s="18"/>
      <c r="K651" s="18"/>
    </row>
    <row r="652" spans="1:11" ht="15.75" customHeight="1">
      <c r="A652" s="18"/>
      <c r="B652" s="18"/>
      <c r="C652" s="19"/>
      <c r="D652" s="18"/>
      <c r="E652" s="18"/>
      <c r="F652" s="18"/>
      <c r="G652" s="18"/>
      <c r="H652" s="18"/>
      <c r="I652" s="18"/>
      <c r="J652" s="18"/>
      <c r="K652" s="18"/>
    </row>
    <row r="653" spans="1:11" ht="15.75" customHeight="1">
      <c r="A653" s="18"/>
      <c r="B653" s="18"/>
      <c r="C653" s="19"/>
      <c r="D653" s="18"/>
      <c r="E653" s="18"/>
      <c r="F653" s="18"/>
      <c r="G653" s="18"/>
      <c r="H653" s="18"/>
      <c r="I653" s="18"/>
      <c r="J653" s="18"/>
      <c r="K653" s="18"/>
    </row>
    <row r="654" spans="1:11" ht="15.75" customHeight="1">
      <c r="A654" s="18"/>
      <c r="B654" s="18"/>
      <c r="C654" s="19"/>
      <c r="D654" s="18"/>
      <c r="E654" s="18"/>
      <c r="F654" s="18"/>
      <c r="G654" s="18"/>
      <c r="H654" s="18"/>
      <c r="I654" s="18"/>
      <c r="J654" s="18"/>
      <c r="K654" s="18"/>
    </row>
    <row r="655" spans="1:11" ht="15.75" customHeight="1">
      <c r="A655" s="18"/>
      <c r="B655" s="18"/>
      <c r="C655" s="19"/>
      <c r="D655" s="18"/>
      <c r="E655" s="18"/>
      <c r="F655" s="18"/>
      <c r="G655" s="18"/>
      <c r="H655" s="18"/>
      <c r="I655" s="18"/>
      <c r="J655" s="18"/>
      <c r="K655" s="18"/>
    </row>
    <row r="656" spans="1:11" ht="15.75" customHeight="1">
      <c r="A656" s="18"/>
      <c r="B656" s="18"/>
      <c r="C656" s="19"/>
      <c r="D656" s="18"/>
      <c r="E656" s="18"/>
      <c r="F656" s="18"/>
      <c r="G656" s="18"/>
      <c r="H656" s="18"/>
      <c r="I656" s="18"/>
      <c r="J656" s="18"/>
      <c r="K656" s="18"/>
    </row>
    <row r="657" spans="1:11" ht="15.75" customHeight="1">
      <c r="A657" s="18"/>
      <c r="B657" s="18"/>
      <c r="C657" s="19"/>
      <c r="D657" s="18"/>
      <c r="E657" s="18"/>
      <c r="F657" s="18"/>
      <c r="G657" s="18"/>
      <c r="H657" s="18"/>
      <c r="I657" s="18"/>
      <c r="J657" s="18"/>
      <c r="K657" s="18"/>
    </row>
    <row r="658" spans="1:11" ht="15.75" customHeight="1">
      <c r="A658" s="18"/>
      <c r="B658" s="18"/>
      <c r="C658" s="19"/>
      <c r="D658" s="18"/>
      <c r="E658" s="18"/>
      <c r="F658" s="18"/>
      <c r="G658" s="18"/>
      <c r="H658" s="18"/>
      <c r="I658" s="18"/>
      <c r="J658" s="18"/>
      <c r="K658" s="18"/>
    </row>
    <row r="659" spans="1:11" ht="15.75" customHeight="1">
      <c r="A659" s="18"/>
      <c r="B659" s="18"/>
      <c r="C659" s="19"/>
      <c r="D659" s="18"/>
      <c r="E659" s="18"/>
      <c r="F659" s="18"/>
      <c r="G659" s="18"/>
      <c r="H659" s="18"/>
      <c r="I659" s="18"/>
      <c r="J659" s="18"/>
      <c r="K659" s="18"/>
    </row>
    <row r="660" spans="1:11" ht="15.75" customHeight="1">
      <c r="A660" s="18"/>
      <c r="B660" s="18"/>
      <c r="C660" s="19"/>
      <c r="D660" s="18"/>
      <c r="E660" s="18"/>
      <c r="F660" s="18"/>
      <c r="G660" s="18"/>
      <c r="H660" s="18"/>
      <c r="I660" s="18"/>
      <c r="J660" s="18"/>
      <c r="K660" s="18"/>
    </row>
    <row r="661" spans="1:11" ht="15.75" customHeight="1">
      <c r="A661" s="18"/>
      <c r="B661" s="18"/>
      <c r="C661" s="19"/>
      <c r="D661" s="18"/>
      <c r="E661" s="18"/>
      <c r="F661" s="18"/>
      <c r="G661" s="18"/>
      <c r="H661" s="18"/>
      <c r="I661" s="18"/>
      <c r="J661" s="18"/>
      <c r="K661" s="18"/>
    </row>
    <row r="662" spans="1:11" ht="15.75" customHeight="1">
      <c r="A662" s="18"/>
      <c r="B662" s="18"/>
      <c r="C662" s="19"/>
      <c r="D662" s="18"/>
      <c r="E662" s="18"/>
      <c r="F662" s="18"/>
      <c r="G662" s="18"/>
      <c r="H662" s="18"/>
      <c r="I662" s="18"/>
      <c r="J662" s="18"/>
      <c r="K662" s="18"/>
    </row>
    <row r="663" spans="1:11" ht="15.75" customHeight="1">
      <c r="A663" s="18"/>
      <c r="B663" s="18"/>
      <c r="C663" s="19"/>
      <c r="D663" s="18"/>
      <c r="E663" s="18"/>
      <c r="F663" s="18"/>
      <c r="G663" s="18"/>
      <c r="H663" s="18"/>
      <c r="I663" s="18"/>
      <c r="J663" s="18"/>
      <c r="K663" s="18"/>
    </row>
    <row r="664" spans="1:11" ht="15.75" customHeight="1">
      <c r="A664" s="18"/>
      <c r="B664" s="18"/>
      <c r="C664" s="19"/>
      <c r="D664" s="18"/>
      <c r="E664" s="18"/>
      <c r="F664" s="18"/>
      <c r="G664" s="18"/>
      <c r="H664" s="18"/>
      <c r="I664" s="18"/>
      <c r="J664" s="18"/>
      <c r="K664" s="18"/>
    </row>
    <row r="665" spans="1:11" ht="15.75" customHeight="1">
      <c r="A665" s="18"/>
      <c r="B665" s="18"/>
      <c r="C665" s="19"/>
      <c r="D665" s="18"/>
      <c r="E665" s="18"/>
      <c r="F665" s="18"/>
      <c r="G665" s="18"/>
      <c r="H665" s="18"/>
      <c r="I665" s="18"/>
      <c r="J665" s="18"/>
      <c r="K665" s="18"/>
    </row>
    <row r="666" spans="1:11" ht="15.75" customHeight="1">
      <c r="A666" s="18"/>
      <c r="B666" s="18"/>
      <c r="C666" s="19"/>
      <c r="D666" s="18"/>
      <c r="E666" s="18"/>
      <c r="F666" s="18"/>
      <c r="G666" s="18"/>
      <c r="H666" s="18"/>
      <c r="I666" s="18"/>
      <c r="J666" s="18"/>
      <c r="K666" s="18"/>
    </row>
    <row r="667" spans="1:11" ht="15.75" customHeight="1">
      <c r="A667" s="18"/>
      <c r="B667" s="18"/>
      <c r="C667" s="19"/>
      <c r="D667" s="18"/>
      <c r="E667" s="18"/>
      <c r="F667" s="18"/>
      <c r="G667" s="18"/>
      <c r="H667" s="18"/>
      <c r="I667" s="18"/>
      <c r="J667" s="18"/>
      <c r="K667" s="18"/>
    </row>
    <row r="668" spans="1:11" ht="15.75" customHeight="1">
      <c r="A668" s="18"/>
      <c r="B668" s="18"/>
      <c r="C668" s="19"/>
      <c r="D668" s="18"/>
      <c r="E668" s="18"/>
      <c r="F668" s="18"/>
      <c r="G668" s="18"/>
      <c r="H668" s="18"/>
      <c r="I668" s="18"/>
      <c r="J668" s="18"/>
      <c r="K668" s="18"/>
    </row>
    <row r="669" spans="1:11" ht="15.75" customHeight="1">
      <c r="A669" s="18"/>
      <c r="B669" s="18"/>
      <c r="C669" s="19"/>
      <c r="D669" s="18"/>
      <c r="E669" s="18"/>
      <c r="F669" s="18"/>
      <c r="G669" s="18"/>
      <c r="H669" s="18"/>
      <c r="I669" s="18"/>
      <c r="J669" s="18"/>
      <c r="K669" s="18"/>
    </row>
    <row r="670" spans="1:11" ht="15.75" customHeight="1">
      <c r="A670" s="18"/>
      <c r="B670" s="18"/>
      <c r="C670" s="19"/>
      <c r="D670" s="18"/>
      <c r="E670" s="18"/>
      <c r="F670" s="18"/>
      <c r="G670" s="18"/>
      <c r="H670" s="18"/>
      <c r="I670" s="18"/>
      <c r="J670" s="18"/>
      <c r="K670" s="18"/>
    </row>
    <row r="671" spans="1:11" ht="15.75" customHeight="1">
      <c r="A671" s="18"/>
      <c r="B671" s="18"/>
      <c r="C671" s="19"/>
      <c r="D671" s="18"/>
      <c r="E671" s="18"/>
      <c r="F671" s="18"/>
      <c r="G671" s="18"/>
      <c r="H671" s="18"/>
      <c r="I671" s="18"/>
      <c r="J671" s="18"/>
      <c r="K671" s="18"/>
    </row>
    <row r="672" spans="1:11" ht="15.75" customHeight="1">
      <c r="A672" s="18"/>
      <c r="B672" s="18"/>
      <c r="C672" s="19"/>
      <c r="D672" s="18"/>
      <c r="E672" s="18"/>
      <c r="F672" s="18"/>
      <c r="G672" s="18"/>
      <c r="H672" s="18"/>
      <c r="I672" s="18"/>
      <c r="J672" s="18"/>
      <c r="K672" s="18"/>
    </row>
    <row r="673" spans="1:11" ht="15.75" customHeight="1">
      <c r="A673" s="18"/>
      <c r="B673" s="18"/>
      <c r="C673" s="19"/>
      <c r="D673" s="18"/>
      <c r="E673" s="18"/>
      <c r="F673" s="18"/>
      <c r="G673" s="18"/>
      <c r="H673" s="18"/>
      <c r="I673" s="18"/>
      <c r="J673" s="18"/>
      <c r="K673" s="18"/>
    </row>
    <row r="674" spans="1:11" ht="15.75" customHeight="1">
      <c r="A674" s="18"/>
      <c r="B674" s="18"/>
      <c r="C674" s="19"/>
      <c r="D674" s="18"/>
      <c r="E674" s="18"/>
      <c r="F674" s="18"/>
      <c r="G674" s="18"/>
      <c r="H674" s="18"/>
      <c r="I674" s="18"/>
      <c r="J674" s="18"/>
      <c r="K674" s="18"/>
    </row>
    <row r="675" spans="1:11" ht="15.75" customHeight="1">
      <c r="A675" s="18"/>
      <c r="B675" s="18"/>
      <c r="C675" s="19"/>
      <c r="D675" s="18"/>
      <c r="E675" s="18"/>
      <c r="F675" s="18"/>
      <c r="G675" s="18"/>
      <c r="H675" s="18"/>
      <c r="I675" s="18"/>
      <c r="J675" s="18"/>
      <c r="K675" s="18"/>
    </row>
    <row r="676" spans="1:11" ht="15.75" customHeight="1">
      <c r="A676" s="18"/>
      <c r="B676" s="18"/>
      <c r="C676" s="19"/>
      <c r="D676" s="18"/>
      <c r="E676" s="18"/>
      <c r="F676" s="18"/>
      <c r="G676" s="18"/>
      <c r="H676" s="18"/>
      <c r="I676" s="18"/>
      <c r="J676" s="18"/>
      <c r="K676" s="18"/>
    </row>
    <row r="677" spans="1:11" ht="15.75" customHeight="1">
      <c r="A677" s="18"/>
      <c r="B677" s="18"/>
      <c r="C677" s="19"/>
      <c r="D677" s="18"/>
      <c r="E677" s="18"/>
      <c r="F677" s="18"/>
      <c r="G677" s="18"/>
      <c r="H677" s="18"/>
      <c r="I677" s="18"/>
      <c r="J677" s="18"/>
      <c r="K677" s="18"/>
    </row>
    <row r="678" spans="1:11" ht="15.75" customHeight="1">
      <c r="A678" s="18"/>
      <c r="B678" s="18"/>
      <c r="C678" s="19"/>
      <c r="D678" s="18"/>
      <c r="E678" s="18"/>
      <c r="F678" s="18"/>
      <c r="G678" s="18"/>
      <c r="H678" s="18"/>
      <c r="I678" s="18"/>
      <c r="J678" s="18"/>
      <c r="K678" s="18"/>
    </row>
    <row r="679" spans="1:11" ht="15.75" customHeight="1">
      <c r="A679" s="18"/>
      <c r="B679" s="18"/>
      <c r="C679" s="19"/>
      <c r="D679" s="18"/>
      <c r="E679" s="18"/>
      <c r="F679" s="18"/>
      <c r="G679" s="18"/>
      <c r="H679" s="18"/>
      <c r="I679" s="18"/>
      <c r="J679" s="18"/>
      <c r="K679" s="18"/>
    </row>
    <row r="680" spans="1:11" ht="15.75" customHeight="1">
      <c r="A680" s="18"/>
      <c r="B680" s="18"/>
      <c r="C680" s="19"/>
      <c r="D680" s="18"/>
      <c r="E680" s="18"/>
      <c r="F680" s="18"/>
      <c r="G680" s="18"/>
      <c r="H680" s="18"/>
      <c r="I680" s="18"/>
      <c r="J680" s="18"/>
      <c r="K680" s="18"/>
    </row>
    <row r="681" spans="1:11" ht="15.75" customHeight="1">
      <c r="A681" s="18"/>
      <c r="B681" s="18"/>
      <c r="C681" s="19"/>
      <c r="D681" s="18"/>
      <c r="E681" s="18"/>
      <c r="F681" s="18"/>
      <c r="G681" s="18"/>
      <c r="H681" s="18"/>
      <c r="I681" s="18"/>
      <c r="J681" s="18"/>
      <c r="K681" s="18"/>
    </row>
    <row r="682" spans="1:11" ht="15.75" customHeight="1">
      <c r="A682" s="18"/>
      <c r="B682" s="18"/>
      <c r="C682" s="19"/>
      <c r="D682" s="18"/>
      <c r="E682" s="18"/>
      <c r="F682" s="18"/>
      <c r="G682" s="18"/>
      <c r="H682" s="18"/>
      <c r="I682" s="18"/>
      <c r="J682" s="18"/>
      <c r="K682" s="18"/>
    </row>
    <row r="683" spans="1:11" ht="15.75" customHeight="1">
      <c r="A683" s="18"/>
      <c r="B683" s="18"/>
      <c r="C683" s="19"/>
      <c r="D683" s="18"/>
      <c r="E683" s="18"/>
      <c r="F683" s="18"/>
      <c r="G683" s="18"/>
      <c r="H683" s="18"/>
      <c r="I683" s="18"/>
      <c r="J683" s="18"/>
      <c r="K683" s="18"/>
    </row>
    <row r="684" spans="1:11" ht="15.75" customHeight="1">
      <c r="A684" s="18"/>
      <c r="B684" s="18"/>
      <c r="C684" s="19"/>
      <c r="D684" s="18"/>
      <c r="E684" s="18"/>
      <c r="F684" s="18"/>
      <c r="G684" s="18"/>
      <c r="H684" s="18"/>
      <c r="I684" s="18"/>
      <c r="J684" s="18"/>
      <c r="K684" s="18"/>
    </row>
    <row r="685" spans="1:11" ht="15.75" customHeight="1">
      <c r="A685" s="18"/>
      <c r="B685" s="18"/>
      <c r="C685" s="19"/>
      <c r="D685" s="18"/>
      <c r="E685" s="18"/>
      <c r="F685" s="18"/>
      <c r="G685" s="18"/>
      <c r="H685" s="18"/>
      <c r="I685" s="18"/>
      <c r="J685" s="18"/>
      <c r="K685" s="18"/>
    </row>
    <row r="686" spans="1:11" ht="15.75" customHeight="1">
      <c r="A686" s="18"/>
      <c r="B686" s="18"/>
      <c r="C686" s="19"/>
      <c r="D686" s="18"/>
      <c r="E686" s="18"/>
      <c r="F686" s="18"/>
      <c r="G686" s="18"/>
      <c r="H686" s="18"/>
      <c r="I686" s="18"/>
      <c r="J686" s="18"/>
      <c r="K686" s="18"/>
    </row>
    <row r="687" spans="1:11" ht="15.75" customHeight="1">
      <c r="A687" s="18"/>
      <c r="B687" s="18"/>
      <c r="C687" s="19"/>
      <c r="D687" s="18"/>
      <c r="E687" s="18"/>
      <c r="F687" s="18"/>
      <c r="G687" s="18"/>
      <c r="H687" s="18"/>
      <c r="I687" s="18"/>
      <c r="J687" s="18"/>
      <c r="K687" s="18"/>
    </row>
    <row r="688" spans="1:11" ht="15.75" customHeight="1">
      <c r="A688" s="18"/>
      <c r="B688" s="18"/>
      <c r="C688" s="19"/>
      <c r="D688" s="18"/>
      <c r="E688" s="18"/>
      <c r="F688" s="18"/>
      <c r="G688" s="18"/>
      <c r="H688" s="18"/>
      <c r="I688" s="18"/>
      <c r="J688" s="18"/>
      <c r="K688" s="18"/>
    </row>
    <row r="689" spans="1:11" ht="15.75" customHeight="1">
      <c r="A689" s="18"/>
      <c r="B689" s="18"/>
      <c r="C689" s="19"/>
      <c r="D689" s="18"/>
      <c r="E689" s="18"/>
      <c r="F689" s="18"/>
      <c r="G689" s="18"/>
      <c r="H689" s="18"/>
      <c r="I689" s="18"/>
      <c r="J689" s="18"/>
      <c r="K689" s="18"/>
    </row>
    <row r="690" spans="1:11" ht="15.75" customHeight="1">
      <c r="A690" s="18"/>
      <c r="B690" s="18"/>
      <c r="C690" s="19"/>
      <c r="D690" s="18"/>
      <c r="E690" s="18"/>
      <c r="F690" s="18"/>
      <c r="G690" s="18"/>
      <c r="H690" s="18"/>
      <c r="I690" s="18"/>
      <c r="J690" s="18"/>
      <c r="K690" s="18"/>
    </row>
    <row r="691" spans="1:11" ht="15.75" customHeight="1">
      <c r="A691" s="18"/>
      <c r="B691" s="18"/>
      <c r="C691" s="19"/>
      <c r="D691" s="18"/>
      <c r="E691" s="18"/>
      <c r="F691" s="18"/>
      <c r="G691" s="18"/>
      <c r="H691" s="18"/>
      <c r="I691" s="18"/>
      <c r="J691" s="18"/>
      <c r="K691" s="18"/>
    </row>
    <row r="692" spans="1:11" ht="15.75" customHeight="1">
      <c r="A692" s="18"/>
      <c r="B692" s="18"/>
      <c r="C692" s="19"/>
      <c r="D692" s="18"/>
      <c r="E692" s="18"/>
      <c r="F692" s="18"/>
      <c r="G692" s="18"/>
      <c r="H692" s="18"/>
      <c r="I692" s="18"/>
      <c r="J692" s="18"/>
      <c r="K692" s="18"/>
    </row>
    <row r="693" spans="1:11" ht="15.75" customHeight="1">
      <c r="A693" s="18"/>
      <c r="B693" s="18"/>
      <c r="C693" s="19"/>
      <c r="D693" s="18"/>
      <c r="E693" s="18"/>
      <c r="F693" s="18"/>
      <c r="G693" s="18"/>
      <c r="H693" s="18"/>
      <c r="I693" s="18"/>
      <c r="J693" s="18"/>
      <c r="K693" s="18"/>
    </row>
    <row r="694" spans="1:11" ht="15.75" customHeight="1">
      <c r="A694" s="18"/>
      <c r="B694" s="18"/>
      <c r="C694" s="19"/>
      <c r="D694" s="18"/>
      <c r="E694" s="18"/>
      <c r="F694" s="18"/>
      <c r="G694" s="18"/>
      <c r="H694" s="18"/>
      <c r="I694" s="18"/>
      <c r="J694" s="18"/>
      <c r="K694" s="18"/>
    </row>
    <row r="695" spans="1:11" ht="15.75" customHeight="1">
      <c r="A695" s="18"/>
      <c r="B695" s="18"/>
      <c r="C695" s="19"/>
      <c r="D695" s="18"/>
      <c r="E695" s="18"/>
      <c r="F695" s="18"/>
      <c r="G695" s="18"/>
      <c r="H695" s="18"/>
      <c r="I695" s="18"/>
      <c r="J695" s="18"/>
      <c r="K695" s="18"/>
    </row>
    <row r="696" spans="1:11" ht="15.75" customHeight="1">
      <c r="A696" s="18"/>
      <c r="B696" s="18"/>
      <c r="C696" s="19"/>
      <c r="D696" s="18"/>
      <c r="E696" s="18"/>
      <c r="F696" s="18"/>
      <c r="G696" s="18"/>
      <c r="H696" s="18"/>
      <c r="I696" s="18"/>
      <c r="J696" s="18"/>
      <c r="K696" s="18"/>
    </row>
    <row r="697" spans="1:11" ht="15.75" customHeight="1">
      <c r="A697" s="18"/>
      <c r="B697" s="18"/>
      <c r="C697" s="19"/>
      <c r="D697" s="18"/>
      <c r="E697" s="18"/>
      <c r="F697" s="18"/>
      <c r="G697" s="18"/>
      <c r="H697" s="18"/>
      <c r="I697" s="18"/>
      <c r="J697" s="18"/>
      <c r="K697" s="18"/>
    </row>
    <row r="698" spans="1:11" ht="15.75" customHeight="1">
      <c r="A698" s="18"/>
      <c r="B698" s="18"/>
      <c r="C698" s="19"/>
      <c r="D698" s="18"/>
      <c r="E698" s="18"/>
      <c r="F698" s="18"/>
      <c r="G698" s="18"/>
      <c r="H698" s="18"/>
      <c r="I698" s="18"/>
      <c r="J698" s="18"/>
      <c r="K698" s="18"/>
    </row>
    <row r="699" spans="1:11" ht="15.75" customHeight="1">
      <c r="A699" s="18"/>
      <c r="B699" s="18"/>
      <c r="C699" s="19"/>
      <c r="D699" s="18"/>
      <c r="E699" s="18"/>
      <c r="F699" s="18"/>
      <c r="G699" s="18"/>
      <c r="H699" s="18"/>
      <c r="I699" s="18"/>
      <c r="J699" s="18"/>
      <c r="K699" s="18"/>
    </row>
    <row r="700" spans="1:11" ht="15.75" customHeight="1">
      <c r="A700" s="18"/>
      <c r="B700" s="18"/>
      <c r="C700" s="19"/>
      <c r="D700" s="18"/>
      <c r="E700" s="18"/>
      <c r="F700" s="18"/>
      <c r="G700" s="18"/>
      <c r="H700" s="18"/>
      <c r="I700" s="18"/>
      <c r="J700" s="18"/>
      <c r="K700" s="18"/>
    </row>
    <row r="701" spans="1:11" ht="15.75" customHeight="1">
      <c r="A701" s="18"/>
      <c r="B701" s="18"/>
      <c r="C701" s="19"/>
      <c r="D701" s="18"/>
      <c r="E701" s="18"/>
      <c r="F701" s="18"/>
      <c r="G701" s="18"/>
      <c r="H701" s="18"/>
      <c r="I701" s="18"/>
      <c r="J701" s="18"/>
      <c r="K701" s="18"/>
    </row>
    <row r="702" spans="1:11" ht="15.75" customHeight="1">
      <c r="A702" s="18"/>
      <c r="B702" s="18"/>
      <c r="C702" s="19"/>
      <c r="D702" s="18"/>
      <c r="E702" s="18"/>
      <c r="F702" s="18"/>
      <c r="G702" s="18"/>
      <c r="H702" s="18"/>
      <c r="I702" s="18"/>
      <c r="J702" s="18"/>
      <c r="K702" s="18"/>
    </row>
    <row r="703" spans="1:11" ht="15.75" customHeight="1">
      <c r="A703" s="18"/>
      <c r="B703" s="18"/>
      <c r="C703" s="19"/>
      <c r="D703" s="18"/>
      <c r="E703" s="18"/>
      <c r="F703" s="18"/>
      <c r="G703" s="18"/>
      <c r="H703" s="18"/>
      <c r="I703" s="18"/>
      <c r="J703" s="18"/>
      <c r="K703" s="18"/>
    </row>
    <row r="704" spans="1:11" ht="15.75" customHeight="1">
      <c r="A704" s="18"/>
      <c r="B704" s="18"/>
      <c r="C704" s="19"/>
      <c r="D704" s="18"/>
      <c r="E704" s="18"/>
      <c r="F704" s="18"/>
      <c r="G704" s="18"/>
      <c r="H704" s="18"/>
      <c r="I704" s="18"/>
      <c r="J704" s="18"/>
      <c r="K704" s="18"/>
    </row>
    <row r="705" spans="1:11" ht="15.75" customHeight="1">
      <c r="A705" s="18"/>
      <c r="B705" s="18"/>
      <c r="C705" s="19"/>
      <c r="D705" s="18"/>
      <c r="E705" s="18"/>
      <c r="F705" s="18"/>
      <c r="G705" s="18"/>
      <c r="H705" s="18"/>
      <c r="I705" s="18"/>
      <c r="J705" s="18"/>
      <c r="K705" s="18"/>
    </row>
    <row r="706" spans="1:11" ht="15.75" customHeight="1">
      <c r="A706" s="18"/>
      <c r="B706" s="18"/>
      <c r="C706" s="19"/>
      <c r="D706" s="18"/>
      <c r="E706" s="18"/>
      <c r="F706" s="18"/>
      <c r="G706" s="18"/>
      <c r="H706" s="18"/>
      <c r="I706" s="18"/>
      <c r="J706" s="18"/>
      <c r="K706" s="18"/>
    </row>
    <row r="707" spans="1:11" ht="15.75" customHeight="1">
      <c r="A707" s="18"/>
      <c r="B707" s="18"/>
      <c r="C707" s="19"/>
      <c r="D707" s="18"/>
      <c r="E707" s="18"/>
      <c r="F707" s="18"/>
      <c r="G707" s="18"/>
      <c r="H707" s="18"/>
      <c r="I707" s="18"/>
      <c r="J707" s="18"/>
      <c r="K707" s="18"/>
    </row>
    <row r="708" spans="1:11" ht="15.75" customHeight="1">
      <c r="A708" s="18"/>
      <c r="B708" s="18"/>
      <c r="C708" s="19"/>
      <c r="D708" s="18"/>
      <c r="E708" s="18"/>
      <c r="F708" s="18"/>
      <c r="G708" s="18"/>
      <c r="H708" s="18"/>
      <c r="I708" s="18"/>
      <c r="J708" s="18"/>
      <c r="K708" s="18"/>
    </row>
    <row r="709" spans="1:11" ht="15.75" customHeight="1">
      <c r="A709" s="18"/>
      <c r="B709" s="18"/>
      <c r="C709" s="19"/>
      <c r="D709" s="18"/>
      <c r="E709" s="18"/>
      <c r="F709" s="18"/>
      <c r="G709" s="18"/>
      <c r="H709" s="18"/>
      <c r="I709" s="18"/>
      <c r="J709" s="18"/>
      <c r="K709" s="18"/>
    </row>
    <row r="710" spans="1:11" ht="15.75" customHeight="1">
      <c r="A710" s="18"/>
      <c r="B710" s="18"/>
      <c r="C710" s="19"/>
      <c r="D710" s="18"/>
      <c r="E710" s="18"/>
      <c r="F710" s="18"/>
      <c r="G710" s="18"/>
      <c r="H710" s="18"/>
      <c r="I710" s="18"/>
      <c r="J710" s="18"/>
      <c r="K710" s="18"/>
    </row>
    <row r="711" spans="1:11" ht="15.75" customHeight="1">
      <c r="A711" s="18"/>
      <c r="B711" s="18"/>
      <c r="C711" s="19"/>
      <c r="D711" s="18"/>
      <c r="E711" s="18"/>
      <c r="F711" s="18"/>
      <c r="G711" s="18"/>
      <c r="H711" s="18"/>
      <c r="I711" s="18"/>
      <c r="J711" s="18"/>
      <c r="K711" s="18"/>
    </row>
    <row r="712" spans="1:11" ht="15.75" customHeight="1">
      <c r="A712" s="18"/>
      <c r="B712" s="18"/>
      <c r="C712" s="19"/>
      <c r="D712" s="18"/>
      <c r="E712" s="18"/>
      <c r="F712" s="18"/>
      <c r="G712" s="18"/>
      <c r="H712" s="18"/>
      <c r="I712" s="18"/>
      <c r="J712" s="18"/>
      <c r="K712" s="18"/>
    </row>
    <row r="713" spans="1:11" ht="15.75" customHeight="1">
      <c r="A713" s="18"/>
      <c r="B713" s="18"/>
      <c r="C713" s="19"/>
      <c r="D713" s="18"/>
      <c r="E713" s="18"/>
      <c r="F713" s="18"/>
      <c r="G713" s="18"/>
      <c r="H713" s="18"/>
      <c r="I713" s="18"/>
      <c r="J713" s="18"/>
      <c r="K713" s="18"/>
    </row>
    <row r="714" spans="1:11" ht="15.75" customHeight="1">
      <c r="A714" s="18"/>
      <c r="B714" s="18"/>
      <c r="C714" s="19"/>
      <c r="D714" s="18"/>
      <c r="E714" s="18"/>
      <c r="F714" s="18"/>
      <c r="G714" s="18"/>
      <c r="H714" s="18"/>
      <c r="I714" s="18"/>
      <c r="J714" s="18"/>
      <c r="K714" s="18"/>
    </row>
    <row r="715" spans="1:11" ht="15.75" customHeight="1">
      <c r="A715" s="18"/>
      <c r="B715" s="18"/>
      <c r="C715" s="19"/>
      <c r="D715" s="18"/>
      <c r="E715" s="18"/>
      <c r="F715" s="18"/>
      <c r="G715" s="18"/>
      <c r="H715" s="18"/>
      <c r="I715" s="18"/>
      <c r="J715" s="18"/>
      <c r="K715" s="18"/>
    </row>
    <row r="716" spans="1:11" ht="15.75" customHeight="1">
      <c r="A716" s="18"/>
      <c r="B716" s="18"/>
      <c r="C716" s="19"/>
      <c r="D716" s="18"/>
      <c r="E716" s="18"/>
      <c r="F716" s="18"/>
      <c r="G716" s="18"/>
      <c r="H716" s="18"/>
      <c r="I716" s="18"/>
      <c r="J716" s="18"/>
      <c r="K716" s="18"/>
    </row>
    <row r="717" spans="1:11" ht="15.75" customHeight="1">
      <c r="A717" s="18"/>
      <c r="B717" s="18"/>
      <c r="C717" s="19"/>
      <c r="D717" s="18"/>
      <c r="E717" s="18"/>
      <c r="F717" s="18"/>
      <c r="G717" s="18"/>
      <c r="H717" s="18"/>
      <c r="I717" s="18"/>
      <c r="J717" s="18"/>
      <c r="K717" s="18"/>
    </row>
    <row r="718" spans="1:11" ht="15.75" customHeight="1">
      <c r="A718" s="18"/>
      <c r="B718" s="18"/>
      <c r="C718" s="19"/>
      <c r="D718" s="18"/>
      <c r="E718" s="18"/>
      <c r="F718" s="18"/>
      <c r="G718" s="18"/>
      <c r="H718" s="18"/>
      <c r="I718" s="18"/>
      <c r="J718" s="18"/>
      <c r="K718" s="18"/>
    </row>
    <row r="719" spans="1:11" ht="15.75" customHeight="1">
      <c r="A719" s="18"/>
      <c r="B719" s="18"/>
      <c r="C719" s="19"/>
      <c r="D719" s="18"/>
      <c r="E719" s="18"/>
      <c r="F719" s="18"/>
      <c r="G719" s="18"/>
      <c r="H719" s="18"/>
      <c r="I719" s="18"/>
      <c r="J719" s="18"/>
      <c r="K719" s="18"/>
    </row>
    <row r="720" spans="1:11" ht="15.75" customHeight="1">
      <c r="A720" s="18"/>
      <c r="B720" s="18"/>
      <c r="C720" s="19"/>
      <c r="D720" s="18"/>
      <c r="E720" s="18"/>
      <c r="F720" s="18"/>
      <c r="G720" s="18"/>
      <c r="H720" s="18"/>
      <c r="I720" s="18"/>
      <c r="J720" s="18"/>
      <c r="K720" s="18"/>
    </row>
    <row r="721" spans="1:11" ht="15.75" customHeight="1">
      <c r="A721" s="18"/>
      <c r="B721" s="18"/>
      <c r="C721" s="19"/>
      <c r="D721" s="18"/>
      <c r="E721" s="18"/>
      <c r="F721" s="18"/>
      <c r="G721" s="18"/>
      <c r="H721" s="18"/>
      <c r="I721" s="18"/>
      <c r="J721" s="18"/>
      <c r="K721" s="18"/>
    </row>
    <row r="722" spans="1:11" ht="15.75" customHeight="1">
      <c r="A722" s="18"/>
      <c r="B722" s="18"/>
      <c r="C722" s="19"/>
      <c r="D722" s="18"/>
      <c r="E722" s="18"/>
      <c r="F722" s="18"/>
      <c r="G722" s="18"/>
      <c r="H722" s="18"/>
      <c r="I722" s="18"/>
      <c r="J722" s="18"/>
      <c r="K722" s="18"/>
    </row>
    <row r="723" spans="1:11" ht="15.75" customHeight="1">
      <c r="A723" s="18"/>
      <c r="B723" s="18"/>
      <c r="C723" s="19"/>
      <c r="D723" s="18"/>
      <c r="E723" s="18"/>
      <c r="F723" s="18"/>
      <c r="G723" s="18"/>
      <c r="H723" s="18"/>
      <c r="I723" s="18"/>
      <c r="J723" s="18"/>
      <c r="K723" s="18"/>
    </row>
    <row r="724" spans="1:11" ht="15.75" customHeight="1">
      <c r="A724" s="18"/>
      <c r="B724" s="18"/>
      <c r="C724" s="19"/>
      <c r="D724" s="18"/>
      <c r="E724" s="18"/>
      <c r="F724" s="18"/>
      <c r="G724" s="18"/>
      <c r="H724" s="18"/>
      <c r="I724" s="18"/>
      <c r="J724" s="18"/>
      <c r="K724" s="18"/>
    </row>
    <row r="725" spans="1:11" ht="15.75" customHeight="1">
      <c r="A725" s="18"/>
      <c r="B725" s="18"/>
      <c r="C725" s="19"/>
      <c r="D725" s="18"/>
      <c r="E725" s="18"/>
      <c r="F725" s="18"/>
      <c r="G725" s="18"/>
      <c r="H725" s="18"/>
      <c r="I725" s="18"/>
      <c r="J725" s="18"/>
      <c r="K725" s="18"/>
    </row>
    <row r="726" spans="1:11" ht="15.75" customHeight="1">
      <c r="A726" s="18"/>
      <c r="B726" s="18"/>
      <c r="C726" s="19"/>
      <c r="D726" s="18"/>
      <c r="E726" s="18"/>
      <c r="F726" s="18"/>
      <c r="G726" s="18"/>
      <c r="H726" s="18"/>
      <c r="I726" s="18"/>
      <c r="J726" s="18"/>
      <c r="K726" s="18"/>
    </row>
    <row r="727" spans="1:11" ht="15.75" customHeight="1">
      <c r="A727" s="18"/>
      <c r="B727" s="18"/>
      <c r="C727" s="19"/>
      <c r="D727" s="18"/>
      <c r="E727" s="18"/>
      <c r="F727" s="18"/>
      <c r="G727" s="18"/>
      <c r="H727" s="18"/>
      <c r="I727" s="18"/>
      <c r="J727" s="18"/>
      <c r="K727" s="18"/>
    </row>
    <row r="728" spans="1:11" ht="15.75" customHeight="1">
      <c r="A728" s="18"/>
      <c r="B728" s="18"/>
      <c r="C728" s="19"/>
      <c r="D728" s="18"/>
      <c r="E728" s="18"/>
      <c r="F728" s="18"/>
      <c r="G728" s="18"/>
      <c r="H728" s="18"/>
      <c r="I728" s="18"/>
      <c r="J728" s="18"/>
      <c r="K728" s="18"/>
    </row>
    <row r="729" spans="1:11" ht="15.75" customHeight="1">
      <c r="A729" s="18"/>
      <c r="B729" s="18"/>
      <c r="C729" s="19"/>
      <c r="D729" s="18"/>
      <c r="E729" s="18"/>
      <c r="F729" s="18"/>
      <c r="G729" s="18"/>
      <c r="H729" s="18"/>
      <c r="I729" s="18"/>
      <c r="J729" s="18"/>
      <c r="K729" s="18"/>
    </row>
    <row r="730" spans="1:11" ht="15.75" customHeight="1">
      <c r="A730" s="18"/>
      <c r="B730" s="18"/>
      <c r="C730" s="19"/>
      <c r="D730" s="18"/>
      <c r="E730" s="18"/>
      <c r="F730" s="18"/>
      <c r="G730" s="18"/>
      <c r="H730" s="18"/>
      <c r="I730" s="18"/>
      <c r="J730" s="18"/>
      <c r="K730" s="18"/>
    </row>
    <row r="731" spans="1:11" ht="15.75" customHeight="1">
      <c r="A731" s="18"/>
      <c r="B731" s="18"/>
      <c r="C731" s="19"/>
      <c r="D731" s="18"/>
      <c r="E731" s="18"/>
      <c r="F731" s="18"/>
      <c r="G731" s="18"/>
      <c r="H731" s="18"/>
      <c r="I731" s="18"/>
      <c r="J731" s="18"/>
      <c r="K731" s="18"/>
    </row>
    <row r="732" spans="1:11" ht="15.75" customHeight="1">
      <c r="A732" s="18"/>
      <c r="B732" s="18"/>
      <c r="C732" s="19"/>
      <c r="D732" s="18"/>
      <c r="E732" s="18"/>
      <c r="F732" s="18"/>
      <c r="G732" s="18"/>
      <c r="H732" s="18"/>
      <c r="I732" s="18"/>
      <c r="J732" s="18"/>
      <c r="K732" s="18"/>
    </row>
    <row r="733" spans="1:11" ht="15.75" customHeight="1">
      <c r="A733" s="18"/>
      <c r="B733" s="18"/>
      <c r="C733" s="19"/>
      <c r="D733" s="18"/>
      <c r="E733" s="18"/>
      <c r="F733" s="18"/>
      <c r="G733" s="18"/>
      <c r="H733" s="18"/>
      <c r="I733" s="18"/>
      <c r="J733" s="18"/>
      <c r="K733" s="18"/>
    </row>
    <row r="734" spans="1:11" ht="15.75" customHeight="1">
      <c r="A734" s="18"/>
      <c r="B734" s="18"/>
      <c r="C734" s="19"/>
      <c r="D734" s="18"/>
      <c r="E734" s="18"/>
      <c r="F734" s="18"/>
      <c r="G734" s="18"/>
      <c r="H734" s="18"/>
      <c r="I734" s="18"/>
      <c r="J734" s="18"/>
      <c r="K734" s="18"/>
    </row>
    <row r="735" spans="1:11" ht="15.75" customHeight="1">
      <c r="A735" s="18"/>
      <c r="B735" s="18"/>
      <c r="C735" s="19"/>
      <c r="D735" s="18"/>
      <c r="E735" s="18"/>
      <c r="F735" s="18"/>
      <c r="G735" s="18"/>
      <c r="H735" s="18"/>
      <c r="I735" s="18"/>
      <c r="J735" s="18"/>
      <c r="K735" s="18"/>
    </row>
    <row r="736" spans="1:11" ht="15.75" customHeight="1">
      <c r="A736" s="18"/>
      <c r="B736" s="18"/>
      <c r="C736" s="19"/>
      <c r="D736" s="18"/>
      <c r="E736" s="18"/>
      <c r="F736" s="18"/>
      <c r="G736" s="18"/>
      <c r="H736" s="18"/>
      <c r="I736" s="18"/>
      <c r="J736" s="18"/>
      <c r="K736" s="18"/>
    </row>
    <row r="737" spans="1:11" ht="15.75" customHeight="1">
      <c r="A737" s="18"/>
      <c r="B737" s="18"/>
      <c r="C737" s="19"/>
      <c r="D737" s="18"/>
      <c r="E737" s="18"/>
      <c r="F737" s="18"/>
      <c r="G737" s="18"/>
      <c r="H737" s="18"/>
      <c r="I737" s="18"/>
      <c r="J737" s="18"/>
      <c r="K737" s="18"/>
    </row>
    <row r="738" spans="1:11" ht="15.75" customHeight="1">
      <c r="A738" s="18"/>
      <c r="B738" s="18"/>
      <c r="C738" s="19"/>
      <c r="D738" s="18"/>
      <c r="E738" s="18"/>
      <c r="F738" s="18"/>
      <c r="G738" s="18"/>
      <c r="H738" s="18"/>
      <c r="I738" s="18"/>
      <c r="J738" s="18"/>
      <c r="K738" s="18"/>
    </row>
    <row r="739" spans="1:11" ht="15.75" customHeight="1">
      <c r="A739" s="18"/>
      <c r="B739" s="18"/>
      <c r="C739" s="19"/>
      <c r="D739" s="18"/>
      <c r="E739" s="18"/>
      <c r="F739" s="18"/>
      <c r="G739" s="18"/>
      <c r="H739" s="18"/>
      <c r="I739" s="18"/>
      <c r="J739" s="18"/>
      <c r="K739" s="18"/>
    </row>
    <row r="740" spans="1:11" ht="15.75" customHeight="1">
      <c r="A740" s="18"/>
      <c r="B740" s="18"/>
      <c r="C740" s="19"/>
      <c r="D740" s="18"/>
      <c r="E740" s="18"/>
      <c r="F740" s="18"/>
      <c r="G740" s="18"/>
      <c r="H740" s="18"/>
      <c r="I740" s="18"/>
      <c r="J740" s="18"/>
      <c r="K740" s="18"/>
    </row>
    <row r="741" spans="1:11" ht="15.75" customHeight="1">
      <c r="A741" s="18"/>
      <c r="B741" s="18"/>
      <c r="C741" s="19"/>
      <c r="D741" s="18"/>
      <c r="E741" s="18"/>
      <c r="F741" s="18"/>
      <c r="G741" s="18"/>
      <c r="H741" s="18"/>
      <c r="I741" s="18"/>
      <c r="J741" s="18"/>
      <c r="K741" s="18"/>
    </row>
    <row r="742" spans="1:11" ht="15.75" customHeight="1">
      <c r="A742" s="18"/>
      <c r="B742" s="18"/>
      <c r="C742" s="19"/>
      <c r="D742" s="18"/>
      <c r="E742" s="18"/>
      <c r="F742" s="18"/>
      <c r="G742" s="18"/>
      <c r="H742" s="18"/>
      <c r="I742" s="18"/>
      <c r="J742" s="18"/>
      <c r="K742" s="18"/>
    </row>
    <row r="743" spans="1:11" ht="15.75" customHeight="1">
      <c r="A743" s="18"/>
      <c r="B743" s="18"/>
      <c r="C743" s="19"/>
      <c r="D743" s="18"/>
      <c r="E743" s="18"/>
      <c r="F743" s="18"/>
      <c r="G743" s="18"/>
      <c r="H743" s="18"/>
      <c r="I743" s="18"/>
      <c r="J743" s="18"/>
      <c r="K743" s="18"/>
    </row>
    <row r="744" spans="1:11" ht="15.75" customHeight="1">
      <c r="A744" s="18"/>
      <c r="B744" s="18"/>
      <c r="C744" s="19"/>
      <c r="D744" s="18"/>
      <c r="E744" s="18"/>
      <c r="F744" s="18"/>
      <c r="G744" s="18"/>
      <c r="H744" s="18"/>
      <c r="I744" s="18"/>
      <c r="J744" s="18"/>
      <c r="K744" s="18"/>
    </row>
    <row r="745" spans="1:11" ht="15.75" customHeight="1">
      <c r="A745" s="18"/>
      <c r="B745" s="18"/>
      <c r="C745" s="19"/>
      <c r="D745" s="18"/>
      <c r="E745" s="18"/>
      <c r="F745" s="18"/>
      <c r="G745" s="18"/>
      <c r="H745" s="18"/>
      <c r="I745" s="18"/>
      <c r="J745" s="18"/>
      <c r="K745" s="18"/>
    </row>
    <row r="746" spans="1:11" ht="15.75" customHeight="1">
      <c r="A746" s="18"/>
      <c r="B746" s="18"/>
      <c r="C746" s="19"/>
      <c r="D746" s="18"/>
      <c r="E746" s="18"/>
      <c r="F746" s="18"/>
      <c r="G746" s="18"/>
      <c r="H746" s="18"/>
      <c r="I746" s="18"/>
      <c r="J746" s="18"/>
      <c r="K746" s="18"/>
    </row>
    <row r="747" spans="1:11" ht="15.75" customHeight="1">
      <c r="A747" s="18"/>
      <c r="B747" s="18"/>
      <c r="C747" s="19"/>
      <c r="D747" s="18"/>
      <c r="E747" s="18"/>
      <c r="F747" s="18"/>
      <c r="G747" s="18"/>
      <c r="H747" s="18"/>
      <c r="I747" s="18"/>
      <c r="J747" s="18"/>
      <c r="K747" s="18"/>
    </row>
    <row r="748" spans="1:11" ht="15.75" customHeight="1">
      <c r="A748" s="18"/>
      <c r="B748" s="18"/>
      <c r="C748" s="19"/>
      <c r="D748" s="18"/>
      <c r="E748" s="18"/>
      <c r="F748" s="18"/>
      <c r="G748" s="18"/>
      <c r="H748" s="18"/>
      <c r="I748" s="18"/>
      <c r="J748" s="18"/>
      <c r="K748" s="18"/>
    </row>
    <row r="749" spans="1:11" ht="15.75" customHeight="1">
      <c r="A749" s="18"/>
      <c r="B749" s="18"/>
      <c r="C749" s="19"/>
      <c r="D749" s="18"/>
      <c r="E749" s="18"/>
      <c r="F749" s="18"/>
      <c r="G749" s="18"/>
      <c r="H749" s="18"/>
      <c r="I749" s="18"/>
      <c r="J749" s="18"/>
      <c r="K749" s="18"/>
    </row>
    <row r="750" spans="1:11" ht="15.75" customHeight="1">
      <c r="A750" s="18"/>
      <c r="B750" s="18"/>
      <c r="C750" s="19"/>
      <c r="D750" s="18"/>
      <c r="E750" s="18"/>
      <c r="F750" s="18"/>
      <c r="G750" s="18"/>
      <c r="H750" s="18"/>
      <c r="I750" s="18"/>
      <c r="J750" s="18"/>
      <c r="K750" s="18"/>
    </row>
    <row r="751" spans="1:11" ht="15.75" customHeight="1">
      <c r="A751" s="18"/>
      <c r="B751" s="18"/>
      <c r="C751" s="19"/>
      <c r="D751" s="18"/>
      <c r="E751" s="18"/>
      <c r="F751" s="18"/>
      <c r="G751" s="18"/>
      <c r="H751" s="18"/>
      <c r="I751" s="18"/>
      <c r="J751" s="18"/>
      <c r="K751" s="18"/>
    </row>
    <row r="752" spans="1:11" ht="15.75" customHeight="1">
      <c r="A752" s="18"/>
      <c r="B752" s="18"/>
      <c r="C752" s="19"/>
      <c r="D752" s="18"/>
      <c r="E752" s="18"/>
      <c r="F752" s="18"/>
      <c r="G752" s="18"/>
      <c r="H752" s="18"/>
      <c r="I752" s="18"/>
      <c r="J752" s="18"/>
      <c r="K752" s="18"/>
    </row>
    <row r="753" spans="1:11" ht="15.75" customHeight="1">
      <c r="A753" s="18"/>
      <c r="B753" s="18"/>
      <c r="C753" s="19"/>
      <c r="D753" s="18"/>
      <c r="E753" s="18"/>
      <c r="F753" s="18"/>
      <c r="G753" s="18"/>
      <c r="H753" s="18"/>
      <c r="I753" s="18"/>
      <c r="J753" s="18"/>
      <c r="K753" s="18"/>
    </row>
    <row r="754" spans="1:11" ht="15.75" customHeight="1">
      <c r="A754" s="18"/>
      <c r="B754" s="18"/>
      <c r="C754" s="19"/>
      <c r="D754" s="18"/>
      <c r="E754" s="18"/>
      <c r="F754" s="18"/>
      <c r="G754" s="18"/>
      <c r="H754" s="18"/>
      <c r="I754" s="18"/>
      <c r="J754" s="18"/>
      <c r="K754" s="18"/>
    </row>
    <row r="755" spans="1:11" ht="15.75" customHeight="1">
      <c r="A755" s="18"/>
      <c r="B755" s="18"/>
      <c r="C755" s="19"/>
      <c r="D755" s="18"/>
      <c r="E755" s="18"/>
      <c r="F755" s="18"/>
      <c r="G755" s="18"/>
      <c r="H755" s="18"/>
      <c r="I755" s="18"/>
      <c r="J755" s="18"/>
      <c r="K755" s="18"/>
    </row>
    <row r="756" spans="1:11" ht="15.75" customHeight="1">
      <c r="A756" s="18"/>
      <c r="B756" s="18"/>
      <c r="C756" s="19"/>
      <c r="D756" s="18"/>
      <c r="E756" s="18"/>
      <c r="F756" s="18"/>
      <c r="G756" s="18"/>
      <c r="H756" s="18"/>
      <c r="I756" s="18"/>
      <c r="J756" s="18"/>
      <c r="K756" s="18"/>
    </row>
    <row r="757" spans="1:11" ht="15.75" customHeight="1">
      <c r="A757" s="18"/>
      <c r="B757" s="18"/>
      <c r="C757" s="19"/>
      <c r="D757" s="18"/>
      <c r="E757" s="18"/>
      <c r="F757" s="18"/>
      <c r="G757" s="18"/>
      <c r="H757" s="18"/>
      <c r="I757" s="18"/>
      <c r="J757" s="18"/>
      <c r="K757" s="18"/>
    </row>
    <row r="758" spans="1:11" ht="15.75" customHeight="1">
      <c r="A758" s="18"/>
      <c r="B758" s="18"/>
      <c r="C758" s="19"/>
      <c r="D758" s="18"/>
      <c r="E758" s="18"/>
      <c r="F758" s="18"/>
      <c r="G758" s="18"/>
      <c r="H758" s="18"/>
      <c r="I758" s="18"/>
      <c r="J758" s="18"/>
      <c r="K758" s="18"/>
    </row>
    <row r="759" spans="1:11" ht="15.75" customHeight="1">
      <c r="A759" s="18"/>
      <c r="B759" s="18"/>
      <c r="C759" s="19"/>
      <c r="D759" s="18"/>
      <c r="E759" s="18"/>
      <c r="F759" s="18"/>
      <c r="G759" s="18"/>
      <c r="H759" s="18"/>
      <c r="I759" s="18"/>
      <c r="J759" s="18"/>
      <c r="K759" s="18"/>
    </row>
    <row r="760" spans="1:11" ht="15.75" customHeight="1">
      <c r="A760" s="18"/>
      <c r="B760" s="18"/>
      <c r="C760" s="19"/>
      <c r="D760" s="18"/>
      <c r="E760" s="18"/>
      <c r="F760" s="18"/>
      <c r="G760" s="18"/>
      <c r="H760" s="18"/>
      <c r="I760" s="18"/>
      <c r="J760" s="18"/>
      <c r="K760" s="18"/>
    </row>
    <row r="761" spans="1:11" ht="15.75" customHeight="1">
      <c r="A761" s="18"/>
      <c r="B761" s="18"/>
      <c r="C761" s="19"/>
      <c r="D761" s="18"/>
      <c r="E761" s="18"/>
      <c r="F761" s="18"/>
      <c r="G761" s="18"/>
      <c r="H761" s="18"/>
      <c r="I761" s="18"/>
      <c r="J761" s="18"/>
      <c r="K761" s="18"/>
    </row>
    <row r="762" spans="1:11" ht="15.75" customHeight="1">
      <c r="A762" s="18"/>
      <c r="B762" s="18"/>
      <c r="C762" s="19"/>
      <c r="D762" s="18"/>
      <c r="E762" s="18"/>
      <c r="F762" s="18"/>
      <c r="G762" s="18"/>
      <c r="H762" s="18"/>
      <c r="I762" s="18"/>
      <c r="J762" s="18"/>
      <c r="K762" s="18"/>
    </row>
    <row r="763" spans="1:11" ht="15.75" customHeight="1">
      <c r="A763" s="18"/>
      <c r="B763" s="18"/>
      <c r="C763" s="19"/>
      <c r="D763" s="18"/>
      <c r="E763" s="18"/>
      <c r="F763" s="18"/>
      <c r="G763" s="18"/>
      <c r="H763" s="18"/>
      <c r="I763" s="18"/>
      <c r="J763" s="18"/>
      <c r="K763" s="18"/>
    </row>
    <row r="764" spans="1:11" ht="15.75" customHeight="1">
      <c r="A764" s="18"/>
      <c r="B764" s="18"/>
      <c r="C764" s="19"/>
      <c r="D764" s="18"/>
      <c r="E764" s="18"/>
      <c r="F764" s="18"/>
      <c r="G764" s="18"/>
      <c r="H764" s="18"/>
      <c r="I764" s="18"/>
      <c r="J764" s="18"/>
      <c r="K764" s="18"/>
    </row>
    <row r="765" spans="1:11" ht="15.75" customHeight="1">
      <c r="A765" s="18"/>
      <c r="B765" s="18"/>
      <c r="C765" s="19"/>
      <c r="D765" s="18"/>
      <c r="E765" s="18"/>
      <c r="F765" s="18"/>
      <c r="G765" s="18"/>
      <c r="H765" s="18"/>
      <c r="I765" s="18"/>
      <c r="J765" s="18"/>
      <c r="K765" s="18"/>
    </row>
    <row r="766" spans="1:11" ht="15.75" customHeight="1">
      <c r="A766" s="18"/>
      <c r="B766" s="18"/>
      <c r="C766" s="19"/>
      <c r="D766" s="18"/>
      <c r="E766" s="18"/>
      <c r="F766" s="18"/>
      <c r="G766" s="18"/>
      <c r="H766" s="18"/>
      <c r="I766" s="18"/>
      <c r="J766" s="18"/>
      <c r="K766" s="18"/>
    </row>
    <row r="767" spans="1:11" ht="15.75" customHeight="1">
      <c r="A767" s="18"/>
      <c r="B767" s="18"/>
      <c r="C767" s="19"/>
      <c r="D767" s="18"/>
      <c r="E767" s="18"/>
      <c r="F767" s="18"/>
      <c r="G767" s="18"/>
      <c r="H767" s="18"/>
      <c r="I767" s="18"/>
      <c r="J767" s="18"/>
      <c r="K767" s="18"/>
    </row>
    <row r="768" spans="1:11" ht="15.75" customHeight="1">
      <c r="A768" s="18"/>
      <c r="B768" s="18"/>
      <c r="C768" s="19"/>
      <c r="D768" s="18"/>
      <c r="E768" s="18"/>
      <c r="F768" s="18"/>
      <c r="G768" s="18"/>
      <c r="H768" s="18"/>
      <c r="I768" s="18"/>
      <c r="J768" s="18"/>
      <c r="K768" s="18"/>
    </row>
    <row r="769" spans="1:11" ht="15.75" customHeight="1">
      <c r="A769" s="18"/>
      <c r="B769" s="18"/>
      <c r="C769" s="19"/>
      <c r="D769" s="18"/>
      <c r="E769" s="18"/>
      <c r="F769" s="18"/>
      <c r="G769" s="18"/>
      <c r="H769" s="18"/>
      <c r="I769" s="18"/>
      <c r="J769" s="18"/>
      <c r="K769" s="18"/>
    </row>
    <row r="770" spans="1:11" ht="15.75" customHeight="1">
      <c r="A770" s="18"/>
      <c r="B770" s="18"/>
      <c r="C770" s="19"/>
      <c r="D770" s="18"/>
      <c r="E770" s="18"/>
      <c r="F770" s="18"/>
      <c r="G770" s="18"/>
      <c r="H770" s="18"/>
      <c r="I770" s="18"/>
      <c r="J770" s="18"/>
      <c r="K770" s="18"/>
    </row>
    <row r="771" spans="1:11" ht="15.75" customHeight="1">
      <c r="A771" s="18"/>
      <c r="B771" s="18"/>
      <c r="C771" s="19"/>
      <c r="D771" s="18"/>
      <c r="E771" s="18"/>
      <c r="F771" s="18"/>
      <c r="G771" s="18"/>
      <c r="H771" s="18"/>
      <c r="I771" s="18"/>
      <c r="J771" s="18"/>
      <c r="K771" s="18"/>
    </row>
    <row r="772" spans="1:11" ht="15.75" customHeight="1">
      <c r="A772" s="18"/>
      <c r="B772" s="18"/>
      <c r="C772" s="19"/>
      <c r="D772" s="18"/>
      <c r="E772" s="18"/>
      <c r="F772" s="18"/>
      <c r="G772" s="18"/>
      <c r="H772" s="18"/>
      <c r="I772" s="18"/>
      <c r="J772" s="18"/>
      <c r="K772" s="18"/>
    </row>
    <row r="773" spans="1:11" ht="15.75" customHeight="1">
      <c r="A773" s="18"/>
      <c r="B773" s="18"/>
      <c r="C773" s="19"/>
      <c r="D773" s="18"/>
      <c r="E773" s="18"/>
      <c r="F773" s="18"/>
      <c r="G773" s="18"/>
      <c r="H773" s="18"/>
      <c r="I773" s="18"/>
      <c r="J773" s="18"/>
      <c r="K773" s="18"/>
    </row>
    <row r="774" spans="1:11" ht="15.75" customHeight="1">
      <c r="A774" s="18"/>
      <c r="B774" s="18"/>
      <c r="C774" s="19"/>
      <c r="D774" s="18"/>
      <c r="E774" s="18"/>
      <c r="F774" s="18"/>
      <c r="G774" s="18"/>
      <c r="H774" s="18"/>
      <c r="I774" s="18"/>
      <c r="J774" s="18"/>
      <c r="K774" s="18"/>
    </row>
    <row r="775" spans="1:11" ht="15.75" customHeight="1">
      <c r="A775" s="18"/>
      <c r="B775" s="18"/>
      <c r="C775" s="19"/>
      <c r="D775" s="18"/>
      <c r="E775" s="18"/>
      <c r="F775" s="18"/>
      <c r="G775" s="18"/>
      <c r="H775" s="18"/>
      <c r="I775" s="18"/>
      <c r="J775" s="18"/>
      <c r="K775" s="18"/>
    </row>
    <row r="776" spans="1:11" ht="15.75" customHeight="1">
      <c r="A776" s="18"/>
      <c r="B776" s="18"/>
      <c r="C776" s="19"/>
      <c r="D776" s="18"/>
      <c r="E776" s="18"/>
      <c r="F776" s="18"/>
      <c r="G776" s="18"/>
      <c r="H776" s="18"/>
      <c r="I776" s="18"/>
      <c r="J776" s="18"/>
      <c r="K776" s="18"/>
    </row>
    <row r="777" spans="1:11" ht="15.75" customHeight="1">
      <c r="A777" s="18"/>
      <c r="B777" s="18"/>
      <c r="C777" s="19"/>
      <c r="D777" s="18"/>
      <c r="E777" s="18"/>
      <c r="F777" s="18"/>
      <c r="G777" s="18"/>
      <c r="H777" s="18"/>
      <c r="I777" s="18"/>
      <c r="J777" s="18"/>
      <c r="K777" s="18"/>
    </row>
    <row r="778" spans="1:11" ht="15.75" customHeight="1">
      <c r="A778" s="18"/>
      <c r="B778" s="18"/>
      <c r="C778" s="19"/>
      <c r="D778" s="18"/>
      <c r="E778" s="18"/>
      <c r="F778" s="18"/>
      <c r="G778" s="18"/>
      <c r="H778" s="18"/>
      <c r="I778" s="18"/>
      <c r="J778" s="18"/>
      <c r="K778" s="18"/>
    </row>
    <row r="779" spans="1:11" ht="15.75" customHeight="1">
      <c r="A779" s="18"/>
      <c r="B779" s="18"/>
      <c r="C779" s="19"/>
      <c r="D779" s="18"/>
      <c r="E779" s="18"/>
      <c r="F779" s="18"/>
      <c r="G779" s="18"/>
      <c r="H779" s="18"/>
      <c r="I779" s="18"/>
      <c r="J779" s="18"/>
      <c r="K779" s="18"/>
    </row>
    <row r="780" spans="1:11" ht="15.75" customHeight="1">
      <c r="A780" s="18"/>
      <c r="B780" s="18"/>
      <c r="C780" s="19"/>
      <c r="D780" s="18"/>
      <c r="E780" s="18"/>
      <c r="F780" s="18"/>
      <c r="G780" s="18"/>
      <c r="H780" s="18"/>
      <c r="I780" s="18"/>
      <c r="J780" s="18"/>
      <c r="K780" s="18"/>
    </row>
    <row r="781" spans="1:11" ht="15.75" customHeight="1">
      <c r="A781" s="18"/>
      <c r="B781" s="18"/>
      <c r="C781" s="19"/>
      <c r="D781" s="18"/>
      <c r="E781" s="18"/>
      <c r="F781" s="18"/>
      <c r="G781" s="18"/>
      <c r="H781" s="18"/>
      <c r="I781" s="18"/>
      <c r="J781" s="18"/>
      <c r="K781" s="18"/>
    </row>
    <row r="782" spans="1:11" ht="15.75" customHeight="1">
      <c r="A782" s="18"/>
      <c r="B782" s="18"/>
      <c r="C782" s="19"/>
      <c r="D782" s="18"/>
      <c r="E782" s="18"/>
      <c r="F782" s="18"/>
      <c r="G782" s="18"/>
      <c r="H782" s="18"/>
      <c r="I782" s="18"/>
      <c r="J782" s="18"/>
      <c r="K782" s="18"/>
    </row>
    <row r="783" spans="1:11" ht="15.75" customHeight="1">
      <c r="A783" s="18"/>
      <c r="B783" s="18"/>
      <c r="C783" s="19"/>
      <c r="D783" s="18"/>
      <c r="E783" s="18"/>
      <c r="F783" s="18"/>
      <c r="G783" s="18"/>
      <c r="H783" s="18"/>
      <c r="I783" s="18"/>
      <c r="J783" s="18"/>
      <c r="K783" s="18"/>
    </row>
    <row r="784" spans="1:11" ht="15.75" customHeight="1">
      <c r="A784" s="18"/>
      <c r="B784" s="18"/>
      <c r="C784" s="19"/>
      <c r="D784" s="18"/>
      <c r="E784" s="18"/>
      <c r="F784" s="18"/>
      <c r="G784" s="18"/>
      <c r="H784" s="18"/>
      <c r="I784" s="18"/>
      <c r="J784" s="18"/>
      <c r="K784" s="18"/>
    </row>
    <row r="785" spans="1:11" ht="15.75" customHeight="1">
      <c r="A785" s="18"/>
      <c r="B785" s="18"/>
      <c r="C785" s="19"/>
      <c r="D785" s="18"/>
      <c r="E785" s="18"/>
      <c r="F785" s="18"/>
      <c r="G785" s="18"/>
      <c r="H785" s="18"/>
      <c r="I785" s="18"/>
      <c r="J785" s="18"/>
      <c r="K785" s="18"/>
    </row>
    <row r="786" spans="1:11" ht="15.75" customHeight="1">
      <c r="A786" s="18"/>
      <c r="B786" s="18"/>
      <c r="C786" s="19"/>
      <c r="D786" s="18"/>
      <c r="E786" s="18"/>
      <c r="F786" s="18"/>
      <c r="G786" s="18"/>
      <c r="H786" s="18"/>
      <c r="I786" s="18"/>
      <c r="J786" s="18"/>
      <c r="K786" s="18"/>
    </row>
    <row r="787" spans="1:11" ht="15.75" customHeight="1">
      <c r="A787" s="18"/>
      <c r="B787" s="18"/>
      <c r="C787" s="19"/>
      <c r="D787" s="18"/>
      <c r="E787" s="18"/>
      <c r="F787" s="18"/>
      <c r="G787" s="18"/>
      <c r="H787" s="18"/>
      <c r="I787" s="18"/>
      <c r="J787" s="18"/>
      <c r="K787" s="18"/>
    </row>
    <row r="788" spans="1:11" ht="15.75" customHeight="1">
      <c r="A788" s="18"/>
      <c r="B788" s="18"/>
      <c r="C788" s="19"/>
      <c r="D788" s="18"/>
      <c r="E788" s="18"/>
      <c r="F788" s="18"/>
      <c r="G788" s="18"/>
      <c r="H788" s="18"/>
      <c r="I788" s="18"/>
      <c r="J788" s="18"/>
      <c r="K788" s="18"/>
    </row>
    <row r="789" spans="1:11" ht="15.75" customHeight="1">
      <c r="A789" s="18"/>
      <c r="B789" s="18"/>
      <c r="C789" s="19"/>
      <c r="D789" s="18"/>
      <c r="E789" s="18"/>
      <c r="F789" s="18"/>
      <c r="G789" s="18"/>
      <c r="H789" s="18"/>
      <c r="I789" s="18"/>
      <c r="J789" s="18"/>
      <c r="K789" s="18"/>
    </row>
    <row r="790" spans="1:11" ht="15.75" customHeight="1">
      <c r="A790" s="18"/>
      <c r="B790" s="18"/>
      <c r="C790" s="19"/>
      <c r="D790" s="18"/>
      <c r="E790" s="18"/>
      <c r="F790" s="18"/>
      <c r="G790" s="18"/>
      <c r="H790" s="18"/>
      <c r="I790" s="18"/>
      <c r="J790" s="18"/>
      <c r="K790" s="18"/>
    </row>
    <row r="791" spans="1:11" ht="15.75" customHeight="1">
      <c r="A791" s="18"/>
      <c r="B791" s="18"/>
      <c r="C791" s="19"/>
      <c r="D791" s="18"/>
      <c r="E791" s="18"/>
      <c r="F791" s="18"/>
      <c r="G791" s="18"/>
      <c r="H791" s="18"/>
      <c r="I791" s="18"/>
      <c r="J791" s="18"/>
      <c r="K791" s="18"/>
    </row>
    <row r="792" spans="1:11" ht="15.75" customHeight="1">
      <c r="A792" s="18"/>
      <c r="B792" s="18"/>
      <c r="C792" s="19"/>
      <c r="D792" s="18"/>
      <c r="E792" s="18"/>
      <c r="F792" s="18"/>
      <c r="G792" s="18"/>
      <c r="H792" s="18"/>
      <c r="I792" s="18"/>
      <c r="J792" s="18"/>
      <c r="K792" s="18"/>
    </row>
    <row r="793" spans="1:11" ht="15.75" customHeight="1">
      <c r="A793" s="18"/>
      <c r="B793" s="18"/>
      <c r="C793" s="19"/>
      <c r="D793" s="18"/>
      <c r="E793" s="18"/>
      <c r="F793" s="18"/>
      <c r="G793" s="18"/>
      <c r="H793" s="18"/>
      <c r="I793" s="18"/>
      <c r="J793" s="18"/>
      <c r="K793" s="18"/>
    </row>
    <row r="794" spans="1:11" ht="15.75" customHeight="1">
      <c r="A794" s="18"/>
      <c r="B794" s="18"/>
      <c r="C794" s="19"/>
      <c r="D794" s="18"/>
      <c r="E794" s="18"/>
      <c r="F794" s="18"/>
      <c r="G794" s="18"/>
      <c r="H794" s="18"/>
      <c r="I794" s="18"/>
      <c r="J794" s="18"/>
      <c r="K794" s="18"/>
    </row>
    <row r="795" spans="1:11" ht="15.75" customHeight="1">
      <c r="A795" s="18"/>
      <c r="B795" s="18"/>
      <c r="C795" s="19"/>
      <c r="D795" s="18"/>
      <c r="E795" s="18"/>
      <c r="F795" s="18"/>
      <c r="G795" s="18"/>
      <c r="H795" s="18"/>
      <c r="I795" s="18"/>
      <c r="J795" s="18"/>
      <c r="K795" s="18"/>
    </row>
    <row r="796" spans="1:11" ht="15.75" customHeight="1">
      <c r="A796" s="18"/>
      <c r="B796" s="18"/>
      <c r="C796" s="19"/>
      <c r="D796" s="18"/>
      <c r="E796" s="18"/>
      <c r="F796" s="18"/>
      <c r="G796" s="18"/>
      <c r="H796" s="18"/>
      <c r="I796" s="18"/>
      <c r="J796" s="18"/>
      <c r="K796" s="18"/>
    </row>
    <row r="797" spans="1:11" ht="15.75" customHeight="1">
      <c r="A797" s="18"/>
      <c r="B797" s="18"/>
      <c r="C797" s="19"/>
      <c r="D797" s="18"/>
      <c r="E797" s="18"/>
      <c r="F797" s="18"/>
      <c r="G797" s="18"/>
      <c r="H797" s="18"/>
      <c r="I797" s="18"/>
      <c r="J797" s="18"/>
      <c r="K797" s="18"/>
    </row>
    <row r="798" spans="1:11" ht="15.75" customHeight="1">
      <c r="A798" s="18"/>
      <c r="B798" s="18"/>
      <c r="C798" s="19"/>
      <c r="D798" s="18"/>
      <c r="E798" s="18"/>
      <c r="F798" s="18"/>
      <c r="G798" s="18"/>
      <c r="H798" s="18"/>
      <c r="I798" s="18"/>
      <c r="J798" s="18"/>
      <c r="K798" s="18"/>
    </row>
    <row r="799" spans="1:11" ht="15.75" customHeight="1">
      <c r="A799" s="18"/>
      <c r="B799" s="18"/>
      <c r="C799" s="19"/>
      <c r="D799" s="18"/>
      <c r="E799" s="18"/>
      <c r="F799" s="18"/>
      <c r="G799" s="18"/>
      <c r="H799" s="18"/>
      <c r="I799" s="18"/>
      <c r="J799" s="18"/>
      <c r="K799" s="18"/>
    </row>
    <row r="800" spans="1:11" ht="15.75" customHeight="1">
      <c r="A800" s="18"/>
      <c r="B800" s="18"/>
      <c r="C800" s="19"/>
      <c r="D800" s="18"/>
      <c r="E800" s="18"/>
      <c r="F800" s="18"/>
      <c r="G800" s="18"/>
      <c r="H800" s="18"/>
      <c r="I800" s="18"/>
      <c r="J800" s="18"/>
      <c r="K800" s="18"/>
    </row>
    <row r="801" spans="1:11" ht="15.75" customHeight="1">
      <c r="A801" s="18"/>
      <c r="B801" s="18"/>
      <c r="C801" s="19"/>
      <c r="D801" s="18"/>
      <c r="E801" s="18"/>
      <c r="F801" s="18"/>
      <c r="G801" s="18"/>
      <c r="H801" s="18"/>
      <c r="I801" s="18"/>
      <c r="J801" s="18"/>
      <c r="K801" s="18"/>
    </row>
    <row r="802" spans="1:11" ht="15.75" customHeight="1">
      <c r="A802" s="18"/>
      <c r="B802" s="18"/>
      <c r="C802" s="19"/>
      <c r="D802" s="18"/>
      <c r="E802" s="18"/>
      <c r="F802" s="18"/>
      <c r="G802" s="18"/>
      <c r="H802" s="18"/>
      <c r="I802" s="18"/>
      <c r="J802" s="18"/>
      <c r="K802" s="18"/>
    </row>
    <row r="803" spans="1:11" ht="15.75" customHeight="1">
      <c r="A803" s="18"/>
      <c r="B803" s="18"/>
      <c r="C803" s="19"/>
      <c r="D803" s="18"/>
      <c r="E803" s="18"/>
      <c r="F803" s="18"/>
      <c r="G803" s="18"/>
      <c r="H803" s="18"/>
      <c r="I803" s="18"/>
      <c r="J803" s="18"/>
      <c r="K803" s="18"/>
    </row>
    <row r="804" spans="1:11" ht="15.75" customHeight="1">
      <c r="A804" s="18"/>
      <c r="B804" s="18"/>
      <c r="C804" s="19"/>
      <c r="D804" s="18"/>
      <c r="E804" s="18"/>
      <c r="F804" s="18"/>
      <c r="G804" s="18"/>
      <c r="H804" s="18"/>
      <c r="I804" s="18"/>
      <c r="J804" s="18"/>
      <c r="K804" s="18"/>
    </row>
    <row r="805" spans="1:11" ht="15.75" customHeight="1">
      <c r="A805" s="18"/>
      <c r="B805" s="18"/>
      <c r="C805" s="19"/>
      <c r="D805" s="18"/>
      <c r="E805" s="18"/>
      <c r="F805" s="18"/>
      <c r="G805" s="18"/>
      <c r="H805" s="18"/>
      <c r="I805" s="18"/>
      <c r="J805" s="18"/>
      <c r="K805" s="18"/>
    </row>
    <row r="806" spans="1:11" ht="15.75" customHeight="1">
      <c r="A806" s="18"/>
      <c r="B806" s="18"/>
      <c r="C806" s="19"/>
      <c r="D806" s="18"/>
      <c r="E806" s="18"/>
      <c r="F806" s="18"/>
      <c r="G806" s="18"/>
      <c r="H806" s="18"/>
      <c r="I806" s="18"/>
      <c r="J806" s="18"/>
      <c r="K806" s="18"/>
    </row>
    <row r="807" spans="1:11" ht="15.75" customHeight="1">
      <c r="A807" s="18"/>
      <c r="B807" s="18"/>
      <c r="C807" s="19"/>
      <c r="D807" s="18"/>
      <c r="E807" s="18"/>
      <c r="F807" s="18"/>
      <c r="G807" s="18"/>
      <c r="H807" s="18"/>
      <c r="I807" s="18"/>
      <c r="J807" s="18"/>
      <c r="K807" s="18"/>
    </row>
    <row r="808" spans="1:11" ht="15.75" customHeight="1">
      <c r="A808" s="18"/>
      <c r="B808" s="18"/>
      <c r="C808" s="19"/>
      <c r="D808" s="18"/>
      <c r="E808" s="18"/>
      <c r="F808" s="18"/>
      <c r="G808" s="18"/>
      <c r="H808" s="18"/>
      <c r="I808" s="18"/>
      <c r="J808" s="18"/>
      <c r="K808" s="18"/>
    </row>
    <row r="809" spans="1:11" ht="15.75" customHeight="1">
      <c r="A809" s="18"/>
      <c r="B809" s="18"/>
      <c r="C809" s="19"/>
      <c r="D809" s="18"/>
      <c r="E809" s="18"/>
      <c r="F809" s="18"/>
      <c r="G809" s="18"/>
      <c r="H809" s="18"/>
      <c r="I809" s="18"/>
      <c r="J809" s="18"/>
      <c r="K809" s="18"/>
    </row>
    <row r="810" spans="1:11" ht="15.75" customHeight="1">
      <c r="A810" s="18"/>
      <c r="B810" s="18"/>
      <c r="C810" s="19"/>
      <c r="D810" s="18"/>
      <c r="E810" s="18"/>
      <c r="F810" s="18"/>
      <c r="G810" s="18"/>
      <c r="H810" s="18"/>
      <c r="I810" s="18"/>
      <c r="J810" s="18"/>
      <c r="K810" s="18"/>
    </row>
    <row r="811" spans="1:11" ht="15.75" customHeight="1">
      <c r="A811" s="18"/>
      <c r="B811" s="18"/>
      <c r="C811" s="19"/>
      <c r="D811" s="18"/>
      <c r="E811" s="18"/>
      <c r="F811" s="18"/>
      <c r="G811" s="18"/>
      <c r="H811" s="18"/>
      <c r="I811" s="18"/>
      <c r="J811" s="18"/>
      <c r="K811" s="18"/>
    </row>
    <row r="812" spans="1:11" ht="15.75" customHeight="1">
      <c r="A812" s="18"/>
      <c r="B812" s="18"/>
      <c r="C812" s="19"/>
      <c r="D812" s="18"/>
      <c r="E812" s="18"/>
      <c r="F812" s="18"/>
      <c r="G812" s="18"/>
      <c r="H812" s="18"/>
      <c r="I812" s="18"/>
      <c r="J812" s="18"/>
      <c r="K812" s="18"/>
    </row>
    <row r="813" spans="1:11" ht="15.75" customHeight="1">
      <c r="A813" s="18"/>
      <c r="B813" s="18"/>
      <c r="C813" s="19"/>
      <c r="D813" s="18"/>
      <c r="E813" s="18"/>
      <c r="F813" s="18"/>
      <c r="G813" s="18"/>
      <c r="H813" s="18"/>
      <c r="I813" s="18"/>
      <c r="J813" s="18"/>
      <c r="K813" s="18"/>
    </row>
    <row r="814" spans="1:11" ht="15.75" customHeight="1">
      <c r="A814" s="18"/>
      <c r="B814" s="18"/>
      <c r="C814" s="19"/>
      <c r="D814" s="18"/>
      <c r="E814" s="18"/>
      <c r="F814" s="18"/>
      <c r="G814" s="18"/>
      <c r="H814" s="18"/>
      <c r="I814" s="18"/>
      <c r="J814" s="18"/>
      <c r="K814" s="18"/>
    </row>
    <row r="815" spans="1:11" ht="15.75" customHeight="1">
      <c r="A815" s="18"/>
      <c r="B815" s="18"/>
      <c r="C815" s="19"/>
      <c r="D815" s="18"/>
      <c r="E815" s="18"/>
      <c r="F815" s="18"/>
      <c r="G815" s="18"/>
      <c r="H815" s="18"/>
      <c r="I815" s="18"/>
      <c r="J815" s="18"/>
      <c r="K815" s="18"/>
    </row>
    <row r="816" spans="1:11" ht="15.75" customHeight="1">
      <c r="A816" s="18"/>
      <c r="B816" s="18"/>
      <c r="C816" s="19"/>
      <c r="D816" s="18"/>
      <c r="E816" s="18"/>
      <c r="F816" s="18"/>
      <c r="G816" s="18"/>
      <c r="H816" s="18"/>
      <c r="I816" s="18"/>
      <c r="J816" s="18"/>
      <c r="K816" s="18"/>
    </row>
    <row r="817" spans="1:11" ht="15.75" customHeight="1">
      <c r="A817" s="18"/>
      <c r="B817" s="18"/>
      <c r="C817" s="19"/>
      <c r="D817" s="18"/>
      <c r="E817" s="18"/>
      <c r="F817" s="18"/>
      <c r="G817" s="18"/>
      <c r="H817" s="18"/>
      <c r="I817" s="18"/>
      <c r="J817" s="18"/>
      <c r="K817" s="18"/>
    </row>
    <row r="818" spans="1:11" ht="15.75" customHeight="1">
      <c r="A818" s="18"/>
      <c r="B818" s="18"/>
      <c r="C818" s="19"/>
      <c r="D818" s="18"/>
      <c r="E818" s="18"/>
      <c r="F818" s="18"/>
      <c r="G818" s="18"/>
      <c r="H818" s="18"/>
      <c r="I818" s="18"/>
      <c r="J818" s="18"/>
      <c r="K818" s="18"/>
    </row>
    <row r="819" spans="1:11" ht="15.75" customHeight="1">
      <c r="A819" s="18"/>
      <c r="B819" s="18"/>
      <c r="C819" s="19"/>
      <c r="D819" s="18"/>
      <c r="E819" s="18"/>
      <c r="F819" s="18"/>
      <c r="G819" s="18"/>
      <c r="H819" s="18"/>
      <c r="I819" s="18"/>
      <c r="J819" s="18"/>
      <c r="K819" s="18"/>
    </row>
    <row r="820" spans="1:11" ht="15.75" customHeight="1">
      <c r="A820" s="18"/>
      <c r="B820" s="18"/>
      <c r="C820" s="19"/>
      <c r="D820" s="18"/>
      <c r="E820" s="18"/>
      <c r="F820" s="18"/>
      <c r="G820" s="18"/>
      <c r="H820" s="18"/>
      <c r="I820" s="18"/>
      <c r="J820" s="18"/>
      <c r="K820" s="18"/>
    </row>
    <row r="821" spans="1:11" ht="15.75" customHeight="1">
      <c r="A821" s="18"/>
      <c r="B821" s="18"/>
      <c r="C821" s="19"/>
      <c r="D821" s="18"/>
      <c r="E821" s="18"/>
      <c r="F821" s="18"/>
      <c r="G821" s="18"/>
      <c r="H821" s="18"/>
      <c r="I821" s="18"/>
      <c r="J821" s="18"/>
      <c r="K821" s="18"/>
    </row>
    <row r="822" spans="1:11" ht="15.75" customHeight="1">
      <c r="A822" s="18"/>
      <c r="B822" s="18"/>
      <c r="C822" s="19"/>
      <c r="D822" s="18"/>
      <c r="E822" s="18"/>
      <c r="F822" s="18"/>
      <c r="G822" s="18"/>
      <c r="H822" s="18"/>
      <c r="I822" s="18"/>
      <c r="J822" s="18"/>
      <c r="K822" s="18"/>
    </row>
    <row r="823" spans="1:11" ht="15.75" customHeight="1">
      <c r="A823" s="18"/>
      <c r="B823" s="18"/>
      <c r="C823" s="19"/>
      <c r="D823" s="18"/>
      <c r="E823" s="18"/>
      <c r="F823" s="18"/>
      <c r="G823" s="18"/>
      <c r="H823" s="18"/>
      <c r="I823" s="18"/>
      <c r="J823" s="18"/>
      <c r="K823" s="18"/>
    </row>
    <row r="824" spans="1:11" ht="15.75" customHeight="1">
      <c r="A824" s="18"/>
      <c r="B824" s="18"/>
      <c r="C824" s="19"/>
      <c r="D824" s="18"/>
      <c r="E824" s="18"/>
      <c r="F824" s="18"/>
      <c r="G824" s="18"/>
      <c r="H824" s="18"/>
      <c r="I824" s="18"/>
      <c r="J824" s="18"/>
      <c r="K824" s="18"/>
    </row>
    <row r="825" spans="1:11" ht="15.75" customHeight="1">
      <c r="A825" s="18"/>
      <c r="B825" s="18"/>
      <c r="C825" s="19"/>
      <c r="D825" s="18"/>
      <c r="E825" s="18"/>
      <c r="F825" s="18"/>
      <c r="G825" s="18"/>
      <c r="H825" s="18"/>
      <c r="I825" s="18"/>
      <c r="J825" s="18"/>
      <c r="K825" s="18"/>
    </row>
    <row r="826" spans="1:11" ht="15.75" customHeight="1">
      <c r="A826" s="18"/>
      <c r="B826" s="18"/>
      <c r="C826" s="19"/>
      <c r="D826" s="18"/>
      <c r="E826" s="18"/>
      <c r="F826" s="18"/>
      <c r="G826" s="18"/>
      <c r="H826" s="18"/>
      <c r="I826" s="18"/>
      <c r="J826" s="18"/>
      <c r="K826" s="18"/>
    </row>
    <row r="827" spans="1:11" ht="15.75" customHeight="1">
      <c r="A827" s="18"/>
      <c r="B827" s="18"/>
      <c r="C827" s="19"/>
      <c r="D827" s="18"/>
      <c r="E827" s="18"/>
      <c r="F827" s="18"/>
      <c r="G827" s="18"/>
      <c r="H827" s="18"/>
      <c r="I827" s="18"/>
      <c r="J827" s="18"/>
      <c r="K827" s="18"/>
    </row>
    <row r="828" spans="1:11" ht="15.75" customHeight="1">
      <c r="A828" s="18"/>
      <c r="B828" s="18"/>
      <c r="C828" s="19"/>
      <c r="D828" s="18"/>
      <c r="E828" s="18"/>
      <c r="F828" s="18"/>
      <c r="G828" s="18"/>
      <c r="H828" s="18"/>
      <c r="I828" s="18"/>
      <c r="J828" s="18"/>
      <c r="K828" s="18"/>
    </row>
    <row r="829" spans="1:11" ht="15.75" customHeight="1">
      <c r="A829" s="18"/>
      <c r="B829" s="18"/>
      <c r="C829" s="19"/>
      <c r="D829" s="18"/>
      <c r="E829" s="18"/>
      <c r="F829" s="18"/>
      <c r="G829" s="18"/>
      <c r="H829" s="18"/>
      <c r="I829" s="18"/>
      <c r="J829" s="18"/>
      <c r="K829" s="18"/>
    </row>
    <row r="830" spans="1:11" ht="15.75" customHeight="1">
      <c r="A830" s="18"/>
      <c r="B830" s="18"/>
      <c r="C830" s="19"/>
      <c r="D830" s="18"/>
      <c r="E830" s="18"/>
      <c r="F830" s="18"/>
      <c r="G830" s="18"/>
      <c r="H830" s="18"/>
      <c r="I830" s="18"/>
      <c r="J830" s="18"/>
      <c r="K830" s="18"/>
    </row>
    <row r="831" spans="1:11" ht="15.75" customHeight="1">
      <c r="A831" s="18"/>
      <c r="B831" s="18"/>
      <c r="C831" s="19"/>
      <c r="D831" s="18"/>
      <c r="E831" s="18"/>
      <c r="F831" s="18"/>
      <c r="G831" s="18"/>
      <c r="H831" s="18"/>
      <c r="I831" s="18"/>
      <c r="J831" s="18"/>
      <c r="K831" s="18"/>
    </row>
    <row r="832" spans="1:11" ht="15.75" customHeight="1">
      <c r="A832" s="18"/>
      <c r="B832" s="18"/>
      <c r="C832" s="19"/>
      <c r="D832" s="18"/>
      <c r="E832" s="18"/>
      <c r="F832" s="18"/>
      <c r="G832" s="18"/>
      <c r="H832" s="18"/>
      <c r="I832" s="18"/>
      <c r="J832" s="18"/>
      <c r="K832" s="18"/>
    </row>
    <row r="833" spans="1:11" ht="15.75" customHeight="1">
      <c r="A833" s="18"/>
      <c r="B833" s="18"/>
      <c r="C833" s="19"/>
      <c r="D833" s="18"/>
      <c r="E833" s="18"/>
      <c r="F833" s="18"/>
      <c r="G833" s="18"/>
      <c r="H833" s="18"/>
      <c r="I833" s="18"/>
      <c r="J833" s="18"/>
      <c r="K833" s="18"/>
    </row>
    <row r="834" spans="1:11" ht="15.75" customHeight="1">
      <c r="A834" s="18"/>
      <c r="B834" s="18"/>
      <c r="C834" s="19"/>
      <c r="D834" s="18"/>
      <c r="E834" s="18"/>
      <c r="F834" s="18"/>
      <c r="G834" s="18"/>
      <c r="H834" s="18"/>
      <c r="I834" s="18"/>
      <c r="J834" s="18"/>
      <c r="K834" s="18"/>
    </row>
    <row r="835" spans="1:11" ht="15.75" customHeight="1">
      <c r="A835" s="18"/>
      <c r="B835" s="18"/>
      <c r="C835" s="19"/>
      <c r="D835" s="18"/>
      <c r="E835" s="18"/>
      <c r="F835" s="18"/>
      <c r="G835" s="18"/>
      <c r="H835" s="18"/>
      <c r="I835" s="18"/>
      <c r="J835" s="18"/>
      <c r="K835" s="18"/>
    </row>
    <row r="836" spans="1:11" ht="15.75" customHeight="1">
      <c r="A836" s="18"/>
      <c r="B836" s="18"/>
      <c r="C836" s="19"/>
      <c r="D836" s="18"/>
      <c r="E836" s="18"/>
      <c r="F836" s="18"/>
      <c r="G836" s="18"/>
      <c r="H836" s="18"/>
      <c r="I836" s="18"/>
      <c r="J836" s="18"/>
      <c r="K836" s="18"/>
    </row>
    <row r="837" spans="1:11" ht="15.75" customHeight="1">
      <c r="A837" s="18"/>
      <c r="B837" s="18"/>
      <c r="C837" s="19"/>
      <c r="D837" s="18"/>
      <c r="E837" s="18"/>
      <c r="F837" s="18"/>
      <c r="G837" s="18"/>
      <c r="H837" s="18"/>
      <c r="I837" s="18"/>
      <c r="J837" s="18"/>
      <c r="K837" s="18"/>
    </row>
    <row r="838" spans="1:11" ht="15.75" customHeight="1">
      <c r="A838" s="18"/>
      <c r="B838" s="18"/>
      <c r="C838" s="19"/>
      <c r="D838" s="18"/>
      <c r="E838" s="18"/>
      <c r="F838" s="18"/>
      <c r="G838" s="18"/>
      <c r="H838" s="18"/>
      <c r="I838" s="18"/>
      <c r="J838" s="18"/>
      <c r="K838" s="18"/>
    </row>
    <row r="839" spans="1:11" ht="15.75" customHeight="1">
      <c r="A839" s="18"/>
      <c r="B839" s="18"/>
      <c r="C839" s="19"/>
      <c r="D839" s="18"/>
      <c r="E839" s="18"/>
      <c r="F839" s="18"/>
      <c r="G839" s="18"/>
      <c r="H839" s="18"/>
      <c r="I839" s="18"/>
      <c r="J839" s="18"/>
      <c r="K839" s="18"/>
    </row>
    <row r="840" spans="1:11" ht="15.75" customHeight="1">
      <c r="A840" s="18"/>
      <c r="B840" s="18"/>
      <c r="C840" s="19"/>
      <c r="D840" s="18"/>
      <c r="E840" s="18"/>
      <c r="F840" s="18"/>
      <c r="G840" s="18"/>
      <c r="H840" s="18"/>
      <c r="I840" s="18"/>
      <c r="J840" s="18"/>
      <c r="K840" s="18"/>
    </row>
    <row r="841" spans="1:11" ht="15.75" customHeight="1">
      <c r="A841" s="18"/>
      <c r="B841" s="18"/>
      <c r="C841" s="19"/>
      <c r="D841" s="18"/>
      <c r="E841" s="18"/>
      <c r="F841" s="18"/>
      <c r="G841" s="18"/>
      <c r="H841" s="18"/>
      <c r="I841" s="18"/>
      <c r="J841" s="18"/>
      <c r="K841" s="18"/>
    </row>
    <row r="842" spans="1:11" ht="15.75" customHeight="1">
      <c r="A842" s="18"/>
      <c r="B842" s="18"/>
      <c r="C842" s="19"/>
      <c r="D842" s="18"/>
      <c r="E842" s="18"/>
      <c r="F842" s="18"/>
      <c r="G842" s="18"/>
      <c r="H842" s="18"/>
      <c r="I842" s="18"/>
      <c r="J842" s="18"/>
      <c r="K842" s="18"/>
    </row>
    <row r="843" spans="1:11" ht="15.75" customHeight="1">
      <c r="A843" s="18"/>
      <c r="B843" s="18"/>
      <c r="C843" s="19"/>
      <c r="D843" s="18"/>
      <c r="E843" s="18"/>
      <c r="F843" s="18"/>
      <c r="G843" s="18"/>
      <c r="H843" s="18"/>
      <c r="I843" s="18"/>
      <c r="J843" s="18"/>
      <c r="K843" s="18"/>
    </row>
    <row r="844" spans="1:11" ht="15.75" customHeight="1">
      <c r="A844" s="18"/>
      <c r="B844" s="18"/>
      <c r="C844" s="19"/>
      <c r="D844" s="18"/>
      <c r="E844" s="18"/>
      <c r="F844" s="18"/>
      <c r="G844" s="18"/>
      <c r="H844" s="18"/>
      <c r="I844" s="18"/>
      <c r="J844" s="18"/>
      <c r="K844" s="18"/>
    </row>
    <row r="845" spans="1:11" ht="15.75" customHeight="1">
      <c r="A845" s="18"/>
      <c r="B845" s="18"/>
      <c r="C845" s="19"/>
      <c r="D845" s="18"/>
      <c r="E845" s="18"/>
      <c r="F845" s="18"/>
      <c r="G845" s="18"/>
      <c r="H845" s="18"/>
      <c r="I845" s="18"/>
      <c r="J845" s="18"/>
      <c r="K845" s="18"/>
    </row>
    <row r="846" spans="1:11" ht="15.75" customHeight="1">
      <c r="A846" s="18"/>
      <c r="B846" s="18"/>
      <c r="C846" s="19"/>
      <c r="D846" s="18"/>
      <c r="E846" s="18"/>
      <c r="F846" s="18"/>
      <c r="G846" s="18"/>
      <c r="H846" s="18"/>
      <c r="I846" s="18"/>
      <c r="J846" s="18"/>
      <c r="K846" s="18"/>
    </row>
    <row r="847" spans="1:11" ht="15.75" customHeight="1">
      <c r="A847" s="18"/>
      <c r="B847" s="18"/>
      <c r="C847" s="19"/>
      <c r="D847" s="18"/>
      <c r="E847" s="18"/>
      <c r="F847" s="18"/>
      <c r="G847" s="18"/>
      <c r="H847" s="18"/>
      <c r="I847" s="18"/>
      <c r="J847" s="18"/>
      <c r="K847" s="18"/>
    </row>
    <row r="848" spans="1:11" ht="15.75" customHeight="1">
      <c r="A848" s="18"/>
      <c r="B848" s="18"/>
      <c r="C848" s="19"/>
      <c r="D848" s="18"/>
      <c r="E848" s="18"/>
      <c r="F848" s="18"/>
      <c r="G848" s="18"/>
      <c r="H848" s="18"/>
      <c r="I848" s="18"/>
      <c r="J848" s="18"/>
      <c r="K848" s="18"/>
    </row>
    <row r="849" spans="1:11" ht="15.75" customHeight="1">
      <c r="A849" s="18"/>
      <c r="B849" s="18"/>
      <c r="C849" s="19"/>
      <c r="D849" s="18"/>
      <c r="E849" s="18"/>
      <c r="F849" s="18"/>
      <c r="G849" s="18"/>
      <c r="H849" s="18"/>
      <c r="I849" s="18"/>
      <c r="J849" s="18"/>
      <c r="K849" s="18"/>
    </row>
    <row r="850" spans="1:11" ht="15.75" customHeight="1">
      <c r="A850" s="18"/>
      <c r="B850" s="18"/>
      <c r="C850" s="19"/>
      <c r="D850" s="18"/>
      <c r="E850" s="18"/>
      <c r="F850" s="18"/>
      <c r="G850" s="18"/>
      <c r="H850" s="18"/>
      <c r="I850" s="18"/>
      <c r="J850" s="18"/>
      <c r="K850" s="18"/>
    </row>
    <row r="851" spans="1:11" ht="15.75" customHeight="1">
      <c r="A851" s="18"/>
      <c r="B851" s="18"/>
      <c r="C851" s="19"/>
      <c r="D851" s="18"/>
      <c r="E851" s="18"/>
      <c r="F851" s="18"/>
      <c r="G851" s="18"/>
      <c r="H851" s="18"/>
      <c r="I851" s="18"/>
      <c r="J851" s="18"/>
      <c r="K851" s="18"/>
    </row>
    <row r="852" spans="1:11" ht="15.75" customHeight="1">
      <c r="A852" s="18"/>
      <c r="B852" s="18"/>
      <c r="C852" s="19"/>
      <c r="D852" s="18"/>
      <c r="E852" s="18"/>
      <c r="F852" s="18"/>
      <c r="G852" s="18"/>
      <c r="H852" s="18"/>
      <c r="I852" s="18"/>
      <c r="J852" s="18"/>
      <c r="K852" s="18"/>
    </row>
    <row r="853" spans="1:11" ht="15.75" customHeight="1">
      <c r="A853" s="18"/>
      <c r="B853" s="18"/>
      <c r="C853" s="19"/>
      <c r="D853" s="18"/>
      <c r="E853" s="18"/>
      <c r="F853" s="18"/>
      <c r="G853" s="18"/>
      <c r="H853" s="18"/>
      <c r="I853" s="18"/>
      <c r="J853" s="18"/>
      <c r="K853" s="18"/>
    </row>
    <row r="854" spans="1:11" ht="15.75" customHeight="1">
      <c r="A854" s="18"/>
      <c r="B854" s="18"/>
      <c r="C854" s="19"/>
      <c r="D854" s="18"/>
      <c r="E854" s="18"/>
      <c r="F854" s="18"/>
      <c r="G854" s="18"/>
      <c r="H854" s="18"/>
      <c r="I854" s="18"/>
      <c r="J854" s="18"/>
      <c r="K854" s="18"/>
    </row>
    <row r="855" spans="1:11" ht="15.75" customHeight="1">
      <c r="A855" s="18"/>
      <c r="B855" s="18"/>
      <c r="C855" s="19"/>
      <c r="D855" s="18"/>
      <c r="E855" s="18"/>
      <c r="F855" s="18"/>
      <c r="G855" s="18"/>
      <c r="H855" s="18"/>
      <c r="I855" s="18"/>
      <c r="J855" s="18"/>
      <c r="K855" s="18"/>
    </row>
    <row r="856" spans="1:11" ht="15.75" customHeight="1">
      <c r="A856" s="18"/>
      <c r="B856" s="18"/>
      <c r="C856" s="19"/>
      <c r="D856" s="18"/>
      <c r="E856" s="18"/>
      <c r="F856" s="18"/>
      <c r="G856" s="18"/>
      <c r="H856" s="18"/>
      <c r="I856" s="18"/>
      <c r="J856" s="18"/>
      <c r="K856" s="18"/>
    </row>
    <row r="857" spans="1:11" ht="15.75" customHeight="1">
      <c r="A857" s="18"/>
      <c r="B857" s="18"/>
      <c r="C857" s="19"/>
      <c r="D857" s="18"/>
      <c r="E857" s="18"/>
      <c r="F857" s="18"/>
      <c r="G857" s="18"/>
      <c r="H857" s="18"/>
      <c r="I857" s="18"/>
      <c r="J857" s="18"/>
      <c r="K857" s="18"/>
    </row>
    <row r="858" spans="1:11" ht="15.75" customHeight="1">
      <c r="A858" s="18"/>
      <c r="B858" s="18"/>
      <c r="C858" s="19"/>
      <c r="D858" s="18"/>
      <c r="E858" s="18"/>
      <c r="F858" s="18"/>
      <c r="G858" s="18"/>
      <c r="H858" s="18"/>
      <c r="I858" s="18"/>
      <c r="J858" s="18"/>
      <c r="K858" s="18"/>
    </row>
    <row r="859" spans="1:11" ht="15.75" customHeight="1">
      <c r="A859" s="18"/>
      <c r="B859" s="18"/>
      <c r="C859" s="19"/>
      <c r="D859" s="18"/>
      <c r="E859" s="18"/>
      <c r="F859" s="18"/>
      <c r="G859" s="18"/>
      <c r="H859" s="18"/>
      <c r="I859" s="18"/>
      <c r="J859" s="18"/>
      <c r="K859" s="18"/>
    </row>
    <row r="860" spans="1:11" ht="15.75" customHeight="1">
      <c r="A860" s="18"/>
      <c r="B860" s="18"/>
      <c r="C860" s="19"/>
      <c r="D860" s="18"/>
      <c r="E860" s="18"/>
      <c r="F860" s="18"/>
      <c r="G860" s="18"/>
      <c r="H860" s="18"/>
      <c r="I860" s="18"/>
      <c r="J860" s="18"/>
      <c r="K860" s="18"/>
    </row>
    <row r="861" spans="1:11" ht="15.75" customHeight="1">
      <c r="A861" s="18"/>
      <c r="B861" s="18"/>
      <c r="C861" s="19"/>
      <c r="D861" s="18"/>
      <c r="E861" s="18"/>
      <c r="F861" s="18"/>
      <c r="G861" s="18"/>
      <c r="H861" s="18"/>
      <c r="I861" s="18"/>
      <c r="J861" s="18"/>
      <c r="K861" s="18"/>
    </row>
    <row r="862" spans="1:11" ht="15.75" customHeight="1">
      <c r="A862" s="18"/>
      <c r="B862" s="18"/>
      <c r="C862" s="19"/>
      <c r="D862" s="18"/>
      <c r="E862" s="18"/>
      <c r="F862" s="18"/>
      <c r="G862" s="18"/>
      <c r="H862" s="18"/>
      <c r="I862" s="18"/>
      <c r="J862" s="18"/>
      <c r="K862" s="18"/>
    </row>
    <row r="863" spans="1:11" ht="15.75" customHeight="1">
      <c r="A863" s="18"/>
      <c r="B863" s="18"/>
      <c r="C863" s="19"/>
      <c r="D863" s="18"/>
      <c r="E863" s="18"/>
      <c r="F863" s="18"/>
      <c r="G863" s="18"/>
      <c r="H863" s="18"/>
      <c r="I863" s="18"/>
      <c r="J863" s="18"/>
      <c r="K863" s="18"/>
    </row>
    <row r="864" spans="1:11" ht="15.75" customHeight="1">
      <c r="A864" s="18"/>
      <c r="B864" s="18"/>
      <c r="C864" s="19"/>
      <c r="D864" s="18"/>
      <c r="E864" s="18"/>
      <c r="F864" s="18"/>
      <c r="G864" s="18"/>
      <c r="H864" s="18"/>
      <c r="I864" s="18"/>
      <c r="J864" s="18"/>
      <c r="K864" s="18"/>
    </row>
    <row r="865" spans="1:11" ht="15.75" customHeight="1">
      <c r="A865" s="18"/>
      <c r="B865" s="18"/>
      <c r="C865" s="19"/>
      <c r="D865" s="18"/>
      <c r="E865" s="18"/>
      <c r="F865" s="18"/>
      <c r="G865" s="18"/>
      <c r="H865" s="18"/>
      <c r="I865" s="18"/>
      <c r="J865" s="18"/>
      <c r="K865" s="18"/>
    </row>
    <row r="866" spans="1:11" ht="15.75" customHeight="1">
      <c r="A866" s="18"/>
      <c r="B866" s="18"/>
      <c r="C866" s="19"/>
      <c r="D866" s="18"/>
      <c r="E866" s="18"/>
      <c r="F866" s="18"/>
      <c r="G866" s="18"/>
      <c r="H866" s="18"/>
      <c r="I866" s="18"/>
      <c r="J866" s="18"/>
      <c r="K866" s="18"/>
    </row>
    <row r="867" spans="1:11" ht="15.75" customHeight="1">
      <c r="A867" s="18"/>
      <c r="B867" s="18"/>
      <c r="C867" s="19"/>
      <c r="D867" s="18"/>
      <c r="E867" s="18"/>
      <c r="F867" s="18"/>
      <c r="G867" s="18"/>
      <c r="H867" s="18"/>
      <c r="I867" s="18"/>
      <c r="J867" s="18"/>
      <c r="K867" s="18"/>
    </row>
    <row r="868" spans="1:11" ht="15.75" customHeight="1">
      <c r="A868" s="18"/>
      <c r="B868" s="18"/>
      <c r="C868" s="19"/>
      <c r="D868" s="18"/>
      <c r="E868" s="18"/>
      <c r="F868" s="18"/>
      <c r="G868" s="18"/>
      <c r="H868" s="18"/>
      <c r="I868" s="18"/>
      <c r="J868" s="18"/>
      <c r="K868" s="18"/>
    </row>
    <row r="869" spans="1:11" ht="15.75" customHeight="1">
      <c r="A869" s="18"/>
      <c r="B869" s="18"/>
      <c r="C869" s="19"/>
      <c r="D869" s="18"/>
      <c r="E869" s="18"/>
      <c r="F869" s="18"/>
      <c r="G869" s="18"/>
      <c r="H869" s="18"/>
      <c r="I869" s="18"/>
      <c r="J869" s="18"/>
      <c r="K869" s="18"/>
    </row>
    <row r="870" spans="1:11" ht="15.75" customHeight="1">
      <c r="A870" s="18"/>
      <c r="B870" s="18"/>
      <c r="C870" s="19"/>
      <c r="D870" s="18"/>
      <c r="E870" s="18"/>
      <c r="F870" s="18"/>
      <c r="G870" s="18"/>
      <c r="H870" s="18"/>
      <c r="I870" s="18"/>
      <c r="J870" s="18"/>
      <c r="K870" s="18"/>
    </row>
    <row r="871" spans="1:11" ht="15.75" customHeight="1">
      <c r="A871" s="18"/>
      <c r="B871" s="18"/>
      <c r="C871" s="19"/>
      <c r="D871" s="18"/>
      <c r="E871" s="18"/>
      <c r="F871" s="18"/>
      <c r="G871" s="18"/>
      <c r="H871" s="18"/>
      <c r="I871" s="18"/>
      <c r="J871" s="18"/>
      <c r="K871" s="18"/>
    </row>
    <row r="872" spans="1:11" ht="15.75" customHeight="1">
      <c r="A872" s="18"/>
      <c r="B872" s="18"/>
      <c r="C872" s="19"/>
      <c r="D872" s="18"/>
      <c r="E872" s="18"/>
      <c r="F872" s="18"/>
      <c r="G872" s="18"/>
      <c r="H872" s="18"/>
      <c r="I872" s="18"/>
      <c r="J872" s="18"/>
      <c r="K872" s="18"/>
    </row>
    <row r="873" spans="1:11" ht="15.75" customHeight="1">
      <c r="A873" s="18"/>
      <c r="B873" s="18"/>
      <c r="C873" s="19"/>
      <c r="D873" s="18"/>
      <c r="E873" s="18"/>
      <c r="F873" s="18"/>
      <c r="G873" s="18"/>
      <c r="H873" s="18"/>
      <c r="I873" s="18"/>
      <c r="J873" s="18"/>
      <c r="K873" s="18"/>
    </row>
    <row r="874" spans="1:11" ht="15.75" customHeight="1">
      <c r="A874" s="18"/>
      <c r="B874" s="18"/>
      <c r="C874" s="19"/>
      <c r="D874" s="18"/>
      <c r="E874" s="18"/>
      <c r="F874" s="18"/>
      <c r="G874" s="18"/>
      <c r="H874" s="18"/>
      <c r="I874" s="18"/>
      <c r="J874" s="18"/>
      <c r="K874" s="18"/>
    </row>
    <row r="875" spans="1:11" ht="15.75" customHeight="1">
      <c r="A875" s="18"/>
      <c r="B875" s="18"/>
      <c r="C875" s="19"/>
      <c r="D875" s="18"/>
      <c r="E875" s="18"/>
      <c r="F875" s="18"/>
      <c r="G875" s="18"/>
      <c r="H875" s="18"/>
      <c r="I875" s="18"/>
      <c r="J875" s="18"/>
      <c r="K875" s="18"/>
    </row>
    <row r="876" spans="1:11" ht="15.75" customHeight="1">
      <c r="A876" s="18"/>
      <c r="B876" s="18"/>
      <c r="C876" s="19"/>
      <c r="D876" s="18"/>
      <c r="E876" s="18"/>
      <c r="F876" s="18"/>
      <c r="G876" s="18"/>
      <c r="H876" s="18"/>
      <c r="I876" s="18"/>
      <c r="J876" s="18"/>
      <c r="K876" s="18"/>
    </row>
    <row r="877" spans="1:11" ht="15.75" customHeight="1">
      <c r="A877" s="18"/>
      <c r="B877" s="18"/>
      <c r="C877" s="19"/>
      <c r="D877" s="18"/>
      <c r="E877" s="18"/>
      <c r="F877" s="18"/>
      <c r="G877" s="18"/>
      <c r="H877" s="18"/>
      <c r="I877" s="18"/>
      <c r="J877" s="18"/>
      <c r="K877" s="18"/>
    </row>
    <row r="878" spans="1:11" ht="15.75" customHeight="1">
      <c r="A878" s="18"/>
      <c r="B878" s="18"/>
      <c r="C878" s="19"/>
      <c r="D878" s="18"/>
      <c r="E878" s="18"/>
      <c r="F878" s="18"/>
      <c r="G878" s="18"/>
      <c r="H878" s="18"/>
      <c r="I878" s="18"/>
      <c r="J878" s="18"/>
      <c r="K878" s="18"/>
    </row>
    <row r="879" spans="1:11" ht="15.75" customHeight="1">
      <c r="A879" s="18"/>
      <c r="B879" s="18"/>
      <c r="C879" s="19"/>
      <c r="D879" s="18"/>
      <c r="E879" s="18"/>
      <c r="F879" s="18"/>
      <c r="G879" s="18"/>
      <c r="H879" s="18"/>
      <c r="I879" s="18"/>
      <c r="J879" s="18"/>
      <c r="K879" s="18"/>
    </row>
    <row r="880" spans="1:11" ht="15.75" customHeight="1">
      <c r="A880" s="18"/>
      <c r="B880" s="18"/>
      <c r="C880" s="19"/>
      <c r="D880" s="18"/>
      <c r="E880" s="18"/>
      <c r="F880" s="18"/>
      <c r="G880" s="18"/>
      <c r="H880" s="18"/>
      <c r="I880" s="18"/>
      <c r="J880" s="18"/>
      <c r="K880" s="18"/>
    </row>
    <row r="881" spans="1:11" ht="15.75" customHeight="1">
      <c r="A881" s="18"/>
      <c r="B881" s="18"/>
      <c r="C881" s="19"/>
      <c r="D881" s="18"/>
      <c r="E881" s="18"/>
      <c r="F881" s="18"/>
      <c r="G881" s="18"/>
      <c r="H881" s="18"/>
      <c r="I881" s="18"/>
      <c r="J881" s="18"/>
      <c r="K881" s="18"/>
    </row>
    <row r="882" spans="1:11" ht="15.75" customHeight="1">
      <c r="A882" s="18"/>
      <c r="B882" s="18"/>
      <c r="C882" s="19"/>
      <c r="D882" s="18"/>
      <c r="E882" s="18"/>
      <c r="F882" s="18"/>
      <c r="G882" s="18"/>
      <c r="H882" s="18"/>
      <c r="I882" s="18"/>
      <c r="J882" s="18"/>
      <c r="K882" s="18"/>
    </row>
    <row r="883" spans="1:11" ht="15.75" customHeight="1">
      <c r="A883" s="18"/>
      <c r="B883" s="18"/>
      <c r="C883" s="19"/>
      <c r="D883" s="18"/>
      <c r="E883" s="18"/>
      <c r="F883" s="18"/>
      <c r="G883" s="18"/>
      <c r="H883" s="18"/>
      <c r="I883" s="18"/>
      <c r="J883" s="18"/>
      <c r="K883" s="18"/>
    </row>
    <row r="884" spans="1:11" ht="15.75" customHeight="1">
      <c r="A884" s="18"/>
      <c r="B884" s="18"/>
      <c r="C884" s="19"/>
      <c r="D884" s="18"/>
      <c r="E884" s="18"/>
      <c r="F884" s="18"/>
      <c r="G884" s="18"/>
      <c r="H884" s="18"/>
      <c r="I884" s="18"/>
      <c r="J884" s="18"/>
      <c r="K884" s="18"/>
    </row>
    <row r="885" spans="1:11" ht="15.75" customHeight="1">
      <c r="A885" s="18"/>
      <c r="B885" s="18"/>
      <c r="C885" s="19"/>
      <c r="D885" s="18"/>
      <c r="E885" s="18"/>
      <c r="F885" s="18"/>
      <c r="G885" s="18"/>
      <c r="H885" s="18"/>
      <c r="I885" s="18"/>
      <c r="J885" s="18"/>
      <c r="K885" s="18"/>
    </row>
    <row r="886" spans="1:11" ht="15.75" customHeight="1">
      <c r="A886" s="18"/>
      <c r="B886" s="18"/>
      <c r="C886" s="19"/>
      <c r="D886" s="18"/>
      <c r="E886" s="18"/>
      <c r="F886" s="18"/>
      <c r="G886" s="18"/>
      <c r="H886" s="18"/>
      <c r="I886" s="18"/>
      <c r="J886" s="18"/>
      <c r="K886" s="18"/>
    </row>
    <row r="887" spans="1:11" ht="15.75" customHeight="1">
      <c r="A887" s="18"/>
      <c r="B887" s="18"/>
      <c r="C887" s="19"/>
      <c r="D887" s="18"/>
      <c r="E887" s="18"/>
      <c r="F887" s="18"/>
      <c r="G887" s="18"/>
      <c r="H887" s="18"/>
      <c r="I887" s="18"/>
      <c r="J887" s="18"/>
      <c r="K887" s="18"/>
    </row>
    <row r="888" spans="1:11" ht="15.75" customHeight="1">
      <c r="A888" s="18"/>
      <c r="B888" s="18"/>
      <c r="C888" s="19"/>
      <c r="D888" s="18"/>
      <c r="E888" s="18"/>
      <c r="F888" s="18"/>
      <c r="G888" s="18"/>
      <c r="H888" s="18"/>
      <c r="I888" s="18"/>
      <c r="J888" s="18"/>
      <c r="K888" s="18"/>
    </row>
    <row r="889" spans="1:11" ht="15.75" customHeight="1">
      <c r="A889" s="18"/>
      <c r="B889" s="18"/>
      <c r="C889" s="19"/>
      <c r="D889" s="18"/>
      <c r="E889" s="18"/>
      <c r="F889" s="18"/>
      <c r="G889" s="18"/>
      <c r="H889" s="18"/>
      <c r="I889" s="18"/>
      <c r="J889" s="18"/>
      <c r="K889" s="18"/>
    </row>
    <row r="890" spans="1:11" ht="15.75" customHeight="1">
      <c r="A890" s="18"/>
      <c r="B890" s="18"/>
      <c r="C890" s="19"/>
      <c r="D890" s="18"/>
      <c r="E890" s="18"/>
      <c r="F890" s="18"/>
      <c r="G890" s="18"/>
      <c r="H890" s="18"/>
      <c r="I890" s="18"/>
      <c r="J890" s="18"/>
      <c r="K890" s="18"/>
    </row>
    <row r="891" spans="1:11" ht="15.75" customHeight="1">
      <c r="A891" s="18"/>
      <c r="B891" s="18"/>
      <c r="C891" s="19"/>
      <c r="D891" s="18"/>
      <c r="E891" s="18"/>
      <c r="F891" s="18"/>
      <c r="G891" s="18"/>
      <c r="H891" s="18"/>
      <c r="I891" s="18"/>
      <c r="J891" s="18"/>
      <c r="K891" s="18"/>
    </row>
    <row r="892" spans="1:11" ht="15.75" customHeight="1">
      <c r="A892" s="18"/>
      <c r="B892" s="18"/>
      <c r="C892" s="19"/>
      <c r="D892" s="18"/>
      <c r="E892" s="18"/>
      <c r="F892" s="18"/>
      <c r="G892" s="18"/>
      <c r="H892" s="18"/>
      <c r="I892" s="18"/>
      <c r="J892" s="18"/>
      <c r="K892" s="18"/>
    </row>
    <row r="893" spans="1:11" ht="15.75" customHeight="1">
      <c r="A893" s="18"/>
      <c r="B893" s="18"/>
      <c r="C893" s="19"/>
      <c r="D893" s="18"/>
      <c r="E893" s="18"/>
      <c r="F893" s="18"/>
      <c r="G893" s="18"/>
      <c r="H893" s="18"/>
      <c r="I893" s="18"/>
      <c r="J893" s="18"/>
      <c r="K893" s="18"/>
    </row>
    <row r="894" spans="1:11" ht="15.75" customHeight="1">
      <c r="A894" s="18"/>
      <c r="B894" s="18"/>
      <c r="C894" s="19"/>
      <c r="D894" s="18"/>
      <c r="E894" s="18"/>
      <c r="F894" s="18"/>
      <c r="G894" s="18"/>
      <c r="H894" s="18"/>
      <c r="I894" s="18"/>
      <c r="J894" s="18"/>
      <c r="K894" s="18"/>
    </row>
    <row r="895" spans="1:11" ht="15.75" customHeight="1">
      <c r="A895" s="18"/>
      <c r="B895" s="18"/>
      <c r="C895" s="19"/>
      <c r="D895" s="18"/>
      <c r="E895" s="18"/>
      <c r="F895" s="18"/>
      <c r="G895" s="18"/>
      <c r="H895" s="18"/>
      <c r="I895" s="18"/>
      <c r="J895" s="18"/>
      <c r="K895" s="18"/>
    </row>
    <row r="896" spans="1:11" ht="15.75" customHeight="1">
      <c r="A896" s="18"/>
      <c r="B896" s="18"/>
      <c r="C896" s="19"/>
      <c r="D896" s="18"/>
      <c r="E896" s="18"/>
      <c r="F896" s="18"/>
      <c r="G896" s="18"/>
      <c r="H896" s="18"/>
      <c r="I896" s="18"/>
      <c r="J896" s="18"/>
      <c r="K896" s="18"/>
    </row>
    <row r="897" spans="1:11" ht="15.75" customHeight="1">
      <c r="A897" s="18"/>
      <c r="B897" s="18"/>
      <c r="C897" s="19"/>
      <c r="D897" s="18"/>
      <c r="E897" s="18"/>
      <c r="F897" s="18"/>
      <c r="G897" s="18"/>
      <c r="H897" s="18"/>
      <c r="I897" s="18"/>
      <c r="J897" s="18"/>
      <c r="K897" s="18"/>
    </row>
    <row r="898" spans="1:11" ht="15.75" customHeight="1">
      <c r="A898" s="18"/>
      <c r="B898" s="18"/>
      <c r="C898" s="19"/>
      <c r="D898" s="18"/>
      <c r="E898" s="18"/>
      <c r="F898" s="18"/>
      <c r="G898" s="18"/>
      <c r="H898" s="18"/>
      <c r="I898" s="18"/>
      <c r="J898" s="18"/>
      <c r="K898" s="18"/>
    </row>
    <row r="899" spans="1:11" ht="15.75" customHeight="1">
      <c r="A899" s="18"/>
      <c r="B899" s="18"/>
      <c r="C899" s="19"/>
      <c r="D899" s="18"/>
      <c r="E899" s="18"/>
      <c r="F899" s="18"/>
      <c r="G899" s="18"/>
      <c r="H899" s="18"/>
      <c r="I899" s="18"/>
      <c r="J899" s="18"/>
      <c r="K899" s="18"/>
    </row>
    <row r="900" spans="1:11" ht="15.75" customHeight="1">
      <c r="A900" s="18"/>
      <c r="B900" s="18"/>
      <c r="C900" s="19"/>
      <c r="D900" s="18"/>
      <c r="E900" s="18"/>
      <c r="F900" s="18"/>
      <c r="G900" s="18"/>
      <c r="H900" s="18"/>
      <c r="I900" s="18"/>
      <c r="J900" s="18"/>
      <c r="K900" s="18"/>
    </row>
    <row r="901" spans="1:11" ht="15.75" customHeight="1">
      <c r="A901" s="18"/>
      <c r="B901" s="18"/>
      <c r="C901" s="19"/>
      <c r="D901" s="18"/>
      <c r="E901" s="18"/>
      <c r="F901" s="18"/>
      <c r="G901" s="18"/>
      <c r="H901" s="18"/>
      <c r="I901" s="18"/>
      <c r="J901" s="18"/>
      <c r="K901" s="18"/>
    </row>
    <row r="902" spans="1:11" ht="15.75" customHeight="1">
      <c r="A902" s="18"/>
      <c r="B902" s="18"/>
      <c r="C902" s="19"/>
      <c r="D902" s="18"/>
      <c r="E902" s="18"/>
      <c r="F902" s="18"/>
      <c r="G902" s="18"/>
      <c r="H902" s="18"/>
      <c r="I902" s="18"/>
      <c r="J902" s="18"/>
      <c r="K902" s="18"/>
    </row>
    <row r="903" spans="1:11" ht="15.75" customHeight="1">
      <c r="A903" s="18"/>
      <c r="B903" s="18"/>
      <c r="C903" s="19"/>
      <c r="D903" s="18"/>
      <c r="E903" s="18"/>
      <c r="F903" s="18"/>
      <c r="G903" s="18"/>
      <c r="H903" s="18"/>
      <c r="I903" s="18"/>
      <c r="J903" s="18"/>
      <c r="K903" s="18"/>
    </row>
    <row r="904" spans="1:11" ht="15.75" customHeight="1">
      <c r="A904" s="18"/>
      <c r="B904" s="18"/>
      <c r="C904" s="19"/>
      <c r="D904" s="18"/>
      <c r="E904" s="18"/>
      <c r="F904" s="18"/>
      <c r="G904" s="18"/>
      <c r="H904" s="18"/>
      <c r="I904" s="18"/>
      <c r="J904" s="18"/>
      <c r="K904" s="18"/>
    </row>
    <row r="905" spans="1:11" ht="15.75" customHeight="1">
      <c r="A905" s="18"/>
      <c r="B905" s="18"/>
      <c r="C905" s="19"/>
      <c r="D905" s="18"/>
      <c r="E905" s="18"/>
      <c r="F905" s="18"/>
      <c r="G905" s="18"/>
      <c r="H905" s="18"/>
      <c r="I905" s="18"/>
      <c r="J905" s="18"/>
      <c r="K905" s="18"/>
    </row>
    <row r="906" spans="1:11" ht="15.75" customHeight="1">
      <c r="A906" s="18"/>
      <c r="B906" s="18"/>
      <c r="C906" s="19"/>
      <c r="D906" s="18"/>
      <c r="E906" s="18"/>
      <c r="F906" s="18"/>
      <c r="G906" s="18"/>
      <c r="H906" s="18"/>
      <c r="I906" s="18"/>
      <c r="J906" s="18"/>
      <c r="K906" s="18"/>
    </row>
    <row r="907" spans="1:11" ht="15.75" customHeight="1">
      <c r="A907" s="18"/>
      <c r="B907" s="18"/>
      <c r="C907" s="19"/>
      <c r="D907" s="18"/>
      <c r="E907" s="18"/>
      <c r="F907" s="18"/>
      <c r="G907" s="18"/>
      <c r="H907" s="18"/>
      <c r="I907" s="18"/>
      <c r="J907" s="18"/>
      <c r="K907" s="18"/>
    </row>
    <row r="908" spans="1:11" ht="15.75" customHeight="1">
      <c r="A908" s="18"/>
      <c r="B908" s="18"/>
      <c r="C908" s="19"/>
      <c r="D908" s="18"/>
      <c r="E908" s="18"/>
      <c r="F908" s="18"/>
      <c r="G908" s="18"/>
      <c r="H908" s="18"/>
      <c r="I908" s="18"/>
      <c r="J908" s="18"/>
      <c r="K908" s="18"/>
    </row>
    <row r="909" spans="1:11" ht="15.75" customHeight="1">
      <c r="A909" s="18"/>
      <c r="B909" s="18"/>
      <c r="C909" s="19"/>
      <c r="D909" s="18"/>
      <c r="E909" s="18"/>
      <c r="F909" s="18"/>
      <c r="G909" s="18"/>
      <c r="H909" s="18"/>
      <c r="I909" s="18"/>
      <c r="J909" s="18"/>
      <c r="K909" s="18"/>
    </row>
    <row r="910" spans="1:11" ht="15.75" customHeight="1">
      <c r="A910" s="18"/>
      <c r="B910" s="18"/>
      <c r="C910" s="19"/>
      <c r="D910" s="18"/>
      <c r="E910" s="18"/>
      <c r="F910" s="18"/>
      <c r="G910" s="18"/>
      <c r="H910" s="18"/>
      <c r="I910" s="18"/>
      <c r="J910" s="18"/>
      <c r="K910" s="18"/>
    </row>
    <row r="911" spans="1:11" ht="15.75" customHeight="1">
      <c r="A911" s="18"/>
      <c r="B911" s="18"/>
      <c r="C911" s="19"/>
      <c r="D911" s="18"/>
      <c r="E911" s="18"/>
      <c r="F911" s="18"/>
      <c r="G911" s="18"/>
      <c r="H911" s="18"/>
      <c r="I911" s="18"/>
      <c r="J911" s="18"/>
      <c r="K911" s="18"/>
    </row>
    <row r="912" spans="1:11" ht="15.75" customHeight="1">
      <c r="A912" s="18"/>
      <c r="B912" s="18"/>
      <c r="C912" s="19"/>
      <c r="D912" s="18"/>
      <c r="E912" s="18"/>
      <c r="F912" s="18"/>
      <c r="G912" s="18"/>
      <c r="H912" s="18"/>
      <c r="I912" s="18"/>
      <c r="J912" s="18"/>
      <c r="K912" s="18"/>
    </row>
    <row r="913" spans="1:11" ht="15.75" customHeight="1">
      <c r="A913" s="18"/>
      <c r="B913" s="18"/>
      <c r="C913" s="19"/>
      <c r="D913" s="18"/>
      <c r="E913" s="18"/>
      <c r="F913" s="18"/>
      <c r="G913" s="18"/>
      <c r="H913" s="18"/>
      <c r="I913" s="18"/>
      <c r="J913" s="18"/>
      <c r="K913" s="18"/>
    </row>
    <row r="914" spans="1:11" ht="15.75" customHeight="1">
      <c r="A914" s="18"/>
      <c r="B914" s="18"/>
      <c r="C914" s="19"/>
      <c r="D914" s="18"/>
      <c r="E914" s="18"/>
      <c r="F914" s="18"/>
      <c r="G914" s="18"/>
      <c r="H914" s="18"/>
      <c r="I914" s="18"/>
      <c r="J914" s="18"/>
      <c r="K914" s="18"/>
    </row>
    <row r="915" spans="1:11" ht="15.75" customHeight="1">
      <c r="A915" s="18"/>
      <c r="B915" s="18"/>
      <c r="C915" s="19"/>
      <c r="D915" s="18"/>
      <c r="E915" s="18"/>
      <c r="F915" s="18"/>
      <c r="G915" s="18"/>
      <c r="H915" s="18"/>
      <c r="I915" s="18"/>
      <c r="J915" s="18"/>
      <c r="K915" s="18"/>
    </row>
    <row r="916" spans="1:11" ht="15.75" customHeight="1">
      <c r="A916" s="18"/>
      <c r="B916" s="18"/>
      <c r="C916" s="19"/>
      <c r="D916" s="18"/>
      <c r="E916" s="18"/>
      <c r="F916" s="18"/>
      <c r="G916" s="18"/>
      <c r="H916" s="18"/>
      <c r="I916" s="18"/>
      <c r="J916" s="18"/>
      <c r="K916" s="18"/>
    </row>
    <row r="917" spans="1:11" ht="15.75" customHeight="1">
      <c r="A917" s="18"/>
      <c r="B917" s="18"/>
      <c r="C917" s="19"/>
      <c r="D917" s="18"/>
      <c r="E917" s="18"/>
      <c r="F917" s="18"/>
      <c r="G917" s="18"/>
      <c r="H917" s="18"/>
      <c r="I917" s="18"/>
      <c r="J917" s="18"/>
      <c r="K917" s="18"/>
    </row>
    <row r="918" spans="1:11" ht="15.75" customHeight="1">
      <c r="A918" s="18"/>
      <c r="B918" s="18"/>
      <c r="C918" s="19"/>
      <c r="D918" s="18"/>
      <c r="E918" s="18"/>
      <c r="F918" s="18"/>
      <c r="G918" s="18"/>
      <c r="H918" s="18"/>
      <c r="I918" s="18"/>
      <c r="J918" s="18"/>
      <c r="K918" s="18"/>
    </row>
    <row r="919" spans="1:11" ht="15.75" customHeight="1">
      <c r="A919" s="18"/>
      <c r="B919" s="18"/>
      <c r="C919" s="19"/>
      <c r="D919" s="18"/>
      <c r="E919" s="18"/>
      <c r="F919" s="18"/>
      <c r="G919" s="18"/>
      <c r="H919" s="18"/>
      <c r="I919" s="18"/>
      <c r="J919" s="18"/>
      <c r="K919" s="18"/>
    </row>
    <row r="920" spans="1:11" ht="15.75" customHeight="1">
      <c r="A920" s="18"/>
      <c r="B920" s="18"/>
      <c r="C920" s="19"/>
      <c r="D920" s="18"/>
      <c r="E920" s="18"/>
      <c r="F920" s="18"/>
      <c r="G920" s="18"/>
      <c r="H920" s="18"/>
      <c r="I920" s="18"/>
      <c r="J920" s="18"/>
      <c r="K920" s="18"/>
    </row>
    <row r="921" spans="1:11" ht="15.75" customHeight="1">
      <c r="A921" s="18"/>
      <c r="B921" s="18"/>
      <c r="C921" s="19"/>
      <c r="D921" s="18"/>
      <c r="E921" s="18"/>
      <c r="F921" s="18"/>
      <c r="G921" s="18"/>
      <c r="H921" s="18"/>
      <c r="I921" s="18"/>
      <c r="J921" s="18"/>
      <c r="K921" s="18"/>
    </row>
    <row r="922" spans="1:11" ht="15.75" customHeight="1">
      <c r="A922" s="18"/>
      <c r="B922" s="18"/>
      <c r="C922" s="19"/>
      <c r="D922" s="18"/>
      <c r="E922" s="18"/>
      <c r="F922" s="18"/>
      <c r="G922" s="18"/>
      <c r="H922" s="18"/>
      <c r="I922" s="18"/>
      <c r="J922" s="18"/>
      <c r="K922" s="18"/>
    </row>
    <row r="923" spans="1:11" ht="15.75" customHeight="1">
      <c r="A923" s="18"/>
      <c r="B923" s="18"/>
      <c r="C923" s="19"/>
      <c r="D923" s="18"/>
      <c r="E923" s="18"/>
      <c r="F923" s="18"/>
      <c r="G923" s="18"/>
      <c r="H923" s="18"/>
      <c r="I923" s="18"/>
      <c r="J923" s="18"/>
      <c r="K923" s="18"/>
    </row>
    <row r="924" spans="1:11" ht="15.75" customHeight="1">
      <c r="A924" s="18"/>
      <c r="B924" s="18"/>
      <c r="C924" s="19"/>
      <c r="D924" s="18"/>
      <c r="E924" s="18"/>
      <c r="F924" s="18"/>
      <c r="G924" s="18"/>
      <c r="H924" s="18"/>
      <c r="I924" s="18"/>
      <c r="J924" s="18"/>
      <c r="K924" s="18"/>
    </row>
    <row r="925" spans="1:11" ht="15.75" customHeight="1">
      <c r="A925" s="18"/>
      <c r="B925" s="18"/>
      <c r="C925" s="19"/>
      <c r="D925" s="18"/>
      <c r="E925" s="18"/>
      <c r="F925" s="18"/>
      <c r="G925" s="18"/>
      <c r="H925" s="18"/>
      <c r="I925" s="18"/>
      <c r="J925" s="18"/>
      <c r="K925" s="18"/>
    </row>
    <row r="926" spans="1:11" ht="15.75" customHeight="1">
      <c r="A926" s="18"/>
      <c r="B926" s="18"/>
      <c r="C926" s="19"/>
      <c r="D926" s="18"/>
      <c r="E926" s="18"/>
      <c r="F926" s="18"/>
      <c r="G926" s="18"/>
      <c r="H926" s="18"/>
      <c r="I926" s="18"/>
      <c r="J926" s="18"/>
      <c r="K926" s="18"/>
    </row>
    <row r="927" spans="1:11" ht="15.75" customHeight="1">
      <c r="A927" s="18"/>
      <c r="B927" s="18"/>
      <c r="C927" s="19"/>
      <c r="D927" s="18"/>
      <c r="E927" s="18"/>
      <c r="F927" s="18"/>
      <c r="G927" s="18"/>
      <c r="H927" s="18"/>
      <c r="I927" s="18"/>
      <c r="J927" s="18"/>
      <c r="K927" s="18"/>
    </row>
    <row r="928" spans="1:11" ht="15.75" customHeight="1">
      <c r="A928" s="18"/>
      <c r="B928" s="18"/>
      <c r="C928" s="19"/>
      <c r="D928" s="18"/>
      <c r="E928" s="18"/>
      <c r="F928" s="18"/>
      <c r="G928" s="18"/>
      <c r="H928" s="18"/>
      <c r="I928" s="18"/>
      <c r="J928" s="18"/>
      <c r="K928" s="18"/>
    </row>
    <row r="929" spans="1:11" ht="15.75" customHeight="1">
      <c r="A929" s="18"/>
      <c r="B929" s="18"/>
      <c r="C929" s="19"/>
      <c r="D929" s="18"/>
      <c r="E929" s="18"/>
      <c r="F929" s="18"/>
      <c r="G929" s="18"/>
      <c r="H929" s="18"/>
      <c r="I929" s="18"/>
      <c r="J929" s="18"/>
      <c r="K929" s="18"/>
    </row>
    <row r="930" spans="1:11" ht="15.75" customHeight="1">
      <c r="A930" s="18"/>
      <c r="B930" s="18"/>
      <c r="C930" s="19"/>
      <c r="D930" s="18"/>
      <c r="E930" s="18"/>
      <c r="F930" s="18"/>
      <c r="G930" s="18"/>
      <c r="H930" s="18"/>
      <c r="I930" s="18"/>
      <c r="J930" s="18"/>
      <c r="K930" s="18"/>
    </row>
    <row r="931" spans="1:11" ht="15.75" customHeight="1">
      <c r="A931" s="18"/>
      <c r="B931" s="18"/>
      <c r="C931" s="19"/>
      <c r="D931" s="18"/>
      <c r="E931" s="18"/>
      <c r="F931" s="18"/>
      <c r="G931" s="18"/>
      <c r="H931" s="18"/>
      <c r="I931" s="18"/>
      <c r="J931" s="18"/>
      <c r="K931" s="18"/>
    </row>
    <row r="932" spans="1:11" ht="15.75" customHeight="1">
      <c r="A932" s="18"/>
      <c r="B932" s="18"/>
      <c r="C932" s="19"/>
      <c r="D932" s="18"/>
      <c r="E932" s="18"/>
      <c r="F932" s="18"/>
      <c r="G932" s="18"/>
      <c r="H932" s="18"/>
      <c r="I932" s="18"/>
      <c r="J932" s="18"/>
      <c r="K932" s="18"/>
    </row>
    <row r="933" spans="1:11" ht="15.75" customHeight="1">
      <c r="A933" s="18"/>
      <c r="B933" s="18"/>
      <c r="C933" s="19"/>
      <c r="D933" s="18"/>
      <c r="E933" s="18"/>
      <c r="F933" s="18"/>
      <c r="G933" s="18"/>
      <c r="H933" s="18"/>
      <c r="I933" s="18"/>
      <c r="J933" s="18"/>
      <c r="K933" s="18"/>
    </row>
    <row r="934" spans="1:11" ht="15.75" customHeight="1">
      <c r="A934" s="18"/>
      <c r="B934" s="18"/>
      <c r="C934" s="19"/>
      <c r="D934" s="18"/>
      <c r="E934" s="18"/>
      <c r="F934" s="18"/>
      <c r="G934" s="18"/>
      <c r="H934" s="18"/>
      <c r="I934" s="18"/>
      <c r="J934" s="18"/>
      <c r="K934" s="18"/>
    </row>
    <row r="935" spans="1:11" ht="15.75" customHeight="1">
      <c r="A935" s="18"/>
      <c r="B935" s="18"/>
      <c r="C935" s="19"/>
      <c r="D935" s="18"/>
      <c r="E935" s="18"/>
      <c r="F935" s="18"/>
      <c r="G935" s="18"/>
      <c r="H935" s="18"/>
      <c r="I935" s="18"/>
      <c r="J935" s="18"/>
      <c r="K935" s="18"/>
    </row>
    <row r="936" spans="1:11" ht="15.75" customHeight="1">
      <c r="A936" s="18"/>
      <c r="B936" s="18"/>
      <c r="C936" s="19"/>
      <c r="D936" s="18"/>
      <c r="E936" s="18"/>
      <c r="F936" s="18"/>
      <c r="G936" s="18"/>
      <c r="H936" s="18"/>
      <c r="I936" s="18"/>
      <c r="J936" s="18"/>
      <c r="K936" s="18"/>
    </row>
    <row r="937" spans="1:11" ht="15.75" customHeight="1">
      <c r="A937" s="18"/>
      <c r="B937" s="18"/>
      <c r="C937" s="19"/>
      <c r="D937" s="18"/>
      <c r="E937" s="18"/>
      <c r="F937" s="18"/>
      <c r="G937" s="18"/>
      <c r="H937" s="18"/>
      <c r="I937" s="18"/>
      <c r="J937" s="18"/>
      <c r="K937" s="18"/>
    </row>
    <row r="938" spans="1:11" ht="15.75" customHeight="1">
      <c r="A938" s="18"/>
      <c r="B938" s="18"/>
      <c r="C938" s="19"/>
      <c r="D938" s="18"/>
      <c r="E938" s="18"/>
      <c r="F938" s="18"/>
      <c r="G938" s="18"/>
      <c r="H938" s="18"/>
      <c r="I938" s="18"/>
      <c r="J938" s="18"/>
      <c r="K938" s="18"/>
    </row>
    <row r="939" spans="1:11" ht="15.75" customHeight="1">
      <c r="A939" s="18"/>
      <c r="B939" s="18"/>
      <c r="C939" s="19"/>
      <c r="D939" s="18"/>
      <c r="E939" s="18"/>
      <c r="F939" s="18"/>
      <c r="G939" s="18"/>
      <c r="H939" s="18"/>
      <c r="I939" s="18"/>
      <c r="J939" s="18"/>
      <c r="K939" s="18"/>
    </row>
    <row r="940" spans="1:11" ht="15.75" customHeight="1">
      <c r="A940" s="18"/>
      <c r="B940" s="18"/>
      <c r="C940" s="19"/>
      <c r="D940" s="18"/>
      <c r="E940" s="18"/>
      <c r="F940" s="18"/>
      <c r="G940" s="18"/>
      <c r="H940" s="18"/>
      <c r="I940" s="18"/>
      <c r="J940" s="18"/>
      <c r="K940" s="18"/>
    </row>
    <row r="941" spans="1:11" ht="15.75" customHeight="1">
      <c r="A941" s="18"/>
      <c r="B941" s="18"/>
      <c r="C941" s="19"/>
      <c r="D941" s="18"/>
      <c r="E941" s="18"/>
      <c r="F941" s="18"/>
      <c r="G941" s="18"/>
      <c r="H941" s="18"/>
      <c r="I941" s="18"/>
      <c r="J941" s="18"/>
      <c r="K941" s="18"/>
    </row>
    <row r="942" spans="1:11" ht="15.75" customHeight="1">
      <c r="A942" s="18"/>
      <c r="B942" s="18"/>
      <c r="C942" s="19"/>
      <c r="D942" s="18"/>
      <c r="E942" s="18"/>
      <c r="F942" s="18"/>
      <c r="G942" s="18"/>
      <c r="H942" s="18"/>
      <c r="I942" s="18"/>
      <c r="J942" s="18"/>
      <c r="K942" s="18"/>
    </row>
    <row r="943" spans="1:11" ht="15.75" customHeight="1">
      <c r="A943" s="18"/>
      <c r="B943" s="18"/>
      <c r="C943" s="19"/>
      <c r="D943" s="18"/>
      <c r="E943" s="18"/>
      <c r="F943" s="18"/>
      <c r="G943" s="18"/>
      <c r="H943" s="18"/>
      <c r="I943" s="18"/>
      <c r="J943" s="18"/>
      <c r="K943" s="18"/>
    </row>
    <row r="944" spans="1:11" ht="15.75" customHeight="1">
      <c r="A944" s="18"/>
      <c r="B944" s="18"/>
      <c r="C944" s="19"/>
      <c r="D944" s="18"/>
      <c r="E944" s="18"/>
      <c r="F944" s="18"/>
      <c r="G944" s="18"/>
      <c r="H944" s="18"/>
      <c r="I944" s="18"/>
      <c r="J944" s="18"/>
      <c r="K944" s="18"/>
    </row>
    <row r="945" spans="1:11" ht="15.75" customHeight="1">
      <c r="A945" s="18"/>
      <c r="B945" s="18"/>
      <c r="C945" s="19"/>
      <c r="D945" s="18"/>
      <c r="E945" s="18"/>
      <c r="F945" s="18"/>
      <c r="G945" s="18"/>
      <c r="H945" s="18"/>
      <c r="I945" s="18"/>
      <c r="J945" s="18"/>
      <c r="K945" s="18"/>
    </row>
    <row r="946" spans="1:11" ht="15.75" customHeight="1">
      <c r="A946" s="18"/>
      <c r="B946" s="18"/>
      <c r="C946" s="19"/>
      <c r="D946" s="18"/>
      <c r="E946" s="18"/>
      <c r="F946" s="18"/>
      <c r="G946" s="18"/>
      <c r="H946" s="18"/>
      <c r="I946" s="18"/>
      <c r="J946" s="18"/>
      <c r="K946" s="18"/>
    </row>
    <row r="947" spans="1:11" ht="15.75" customHeight="1">
      <c r="A947" s="18"/>
      <c r="B947" s="18"/>
      <c r="C947" s="19"/>
      <c r="D947" s="18"/>
      <c r="E947" s="18"/>
      <c r="F947" s="18"/>
      <c r="G947" s="18"/>
      <c r="H947" s="18"/>
      <c r="I947" s="18"/>
      <c r="J947" s="18"/>
      <c r="K947" s="18"/>
    </row>
    <row r="948" spans="1:11" ht="15.75" customHeight="1">
      <c r="A948" s="18"/>
      <c r="B948" s="18"/>
      <c r="C948" s="19"/>
      <c r="D948" s="18"/>
      <c r="E948" s="18"/>
      <c r="F948" s="18"/>
      <c r="G948" s="18"/>
      <c r="H948" s="18"/>
      <c r="I948" s="18"/>
      <c r="J948" s="18"/>
      <c r="K948" s="18"/>
    </row>
    <row r="949" spans="1:11" ht="15.75" customHeight="1">
      <c r="A949" s="18"/>
      <c r="B949" s="18"/>
      <c r="C949" s="19"/>
      <c r="D949" s="18"/>
      <c r="E949" s="18"/>
      <c r="F949" s="18"/>
      <c r="G949" s="18"/>
      <c r="H949" s="18"/>
      <c r="I949" s="18"/>
      <c r="J949" s="18"/>
      <c r="K949" s="18"/>
    </row>
    <row r="950" spans="1:11" ht="15.75" customHeight="1">
      <c r="A950" s="18"/>
      <c r="B950" s="18"/>
      <c r="C950" s="19"/>
      <c r="D950" s="18"/>
      <c r="E950" s="18"/>
      <c r="F950" s="18"/>
      <c r="G950" s="18"/>
      <c r="H950" s="18"/>
      <c r="I950" s="18"/>
      <c r="J950" s="18"/>
      <c r="K950" s="18"/>
    </row>
    <row r="951" spans="1:11" ht="15.75" customHeight="1">
      <c r="A951" s="18"/>
      <c r="B951" s="18"/>
      <c r="C951" s="19"/>
      <c r="D951" s="18"/>
      <c r="E951" s="18"/>
      <c r="F951" s="18"/>
      <c r="G951" s="18"/>
      <c r="H951" s="18"/>
      <c r="I951" s="18"/>
      <c r="J951" s="18"/>
      <c r="K951" s="18"/>
    </row>
    <row r="952" spans="1:11" ht="15.75" customHeight="1">
      <c r="A952" s="18"/>
      <c r="B952" s="18"/>
      <c r="C952" s="19"/>
      <c r="D952" s="18"/>
      <c r="E952" s="18"/>
      <c r="F952" s="18"/>
      <c r="G952" s="18"/>
      <c r="H952" s="18"/>
      <c r="I952" s="18"/>
      <c r="J952" s="18"/>
      <c r="K952" s="18"/>
    </row>
    <row r="953" spans="1:11" ht="15.75" customHeight="1">
      <c r="A953" s="18"/>
      <c r="B953" s="18"/>
      <c r="C953" s="19"/>
      <c r="D953" s="18"/>
      <c r="E953" s="18"/>
      <c r="F953" s="18"/>
      <c r="G953" s="18"/>
      <c r="H953" s="18"/>
      <c r="I953" s="18"/>
      <c r="J953" s="18"/>
      <c r="K953" s="18"/>
    </row>
    <row r="954" spans="1:11" ht="15.75" customHeight="1">
      <c r="A954" s="18"/>
      <c r="B954" s="18"/>
      <c r="C954" s="19"/>
      <c r="D954" s="18"/>
      <c r="E954" s="18"/>
      <c r="F954" s="18"/>
      <c r="G954" s="18"/>
      <c r="H954" s="18"/>
      <c r="I954" s="18"/>
      <c r="J954" s="18"/>
      <c r="K954" s="18"/>
    </row>
    <row r="955" spans="1:11" ht="15.75" customHeight="1">
      <c r="A955" s="18"/>
      <c r="B955" s="18"/>
      <c r="C955" s="19"/>
      <c r="D955" s="18"/>
      <c r="E955" s="18"/>
      <c r="F955" s="18"/>
      <c r="G955" s="18"/>
      <c r="H955" s="18"/>
      <c r="I955" s="18"/>
      <c r="J955" s="18"/>
      <c r="K955" s="18"/>
    </row>
    <row r="956" spans="1:11" ht="15.75" customHeight="1">
      <c r="A956" s="18"/>
      <c r="B956" s="18"/>
      <c r="C956" s="19"/>
      <c r="D956" s="18"/>
      <c r="E956" s="18"/>
      <c r="F956" s="18"/>
      <c r="G956" s="18"/>
      <c r="H956" s="18"/>
      <c r="I956" s="18"/>
      <c r="J956" s="18"/>
      <c r="K956" s="18"/>
    </row>
    <row r="957" spans="1:11" ht="15.75" customHeight="1">
      <c r="A957" s="18"/>
      <c r="B957" s="18"/>
      <c r="C957" s="19"/>
      <c r="D957" s="18"/>
      <c r="E957" s="18"/>
      <c r="F957" s="18"/>
      <c r="G957" s="18"/>
      <c r="H957" s="18"/>
      <c r="I957" s="18"/>
      <c r="J957" s="18"/>
      <c r="K957" s="18"/>
    </row>
    <row r="958" spans="1:11" ht="15.75" customHeight="1">
      <c r="A958" s="18"/>
      <c r="B958" s="18"/>
      <c r="C958" s="19"/>
      <c r="D958" s="18"/>
      <c r="E958" s="18"/>
      <c r="F958" s="18"/>
      <c r="G958" s="18"/>
      <c r="H958" s="18"/>
      <c r="I958" s="18"/>
      <c r="J958" s="18"/>
      <c r="K958" s="18"/>
    </row>
    <row r="959" spans="1:11" ht="15.75" customHeight="1">
      <c r="A959" s="18"/>
      <c r="B959" s="18"/>
      <c r="C959" s="19"/>
      <c r="D959" s="18"/>
      <c r="E959" s="18"/>
      <c r="F959" s="18"/>
      <c r="G959" s="18"/>
      <c r="H959" s="18"/>
      <c r="I959" s="18"/>
      <c r="J959" s="18"/>
      <c r="K959" s="18"/>
    </row>
    <row r="960" spans="1:11" ht="15.75" customHeight="1">
      <c r="A960" s="18"/>
      <c r="B960" s="18"/>
      <c r="C960" s="19"/>
      <c r="D960" s="18"/>
      <c r="E960" s="18"/>
      <c r="F960" s="18"/>
      <c r="G960" s="18"/>
      <c r="H960" s="18"/>
      <c r="I960" s="18"/>
      <c r="J960" s="18"/>
      <c r="K960" s="18"/>
    </row>
    <row r="961" spans="1:11" ht="15.75" customHeight="1">
      <c r="A961" s="18"/>
      <c r="B961" s="18"/>
      <c r="C961" s="19"/>
      <c r="D961" s="18"/>
      <c r="E961" s="18"/>
      <c r="F961" s="18"/>
      <c r="G961" s="18"/>
      <c r="H961" s="18"/>
      <c r="I961" s="18"/>
      <c r="J961" s="18"/>
      <c r="K961" s="18"/>
    </row>
    <row r="962" spans="1:11" ht="15.75" customHeight="1">
      <c r="A962" s="18"/>
      <c r="B962" s="18"/>
      <c r="C962" s="19"/>
      <c r="D962" s="18"/>
      <c r="E962" s="18"/>
      <c r="F962" s="18"/>
      <c r="G962" s="18"/>
      <c r="H962" s="18"/>
      <c r="I962" s="18"/>
      <c r="J962" s="18"/>
      <c r="K962" s="18"/>
    </row>
    <row r="963" spans="1:11" ht="15.75" customHeight="1">
      <c r="A963" s="18"/>
      <c r="B963" s="18"/>
      <c r="C963" s="19"/>
      <c r="D963" s="18"/>
      <c r="E963" s="18"/>
      <c r="F963" s="18"/>
      <c r="G963" s="18"/>
      <c r="H963" s="18"/>
      <c r="I963" s="18"/>
      <c r="J963" s="18"/>
      <c r="K963" s="18"/>
    </row>
    <row r="964" spans="1:11" ht="15.75" customHeight="1">
      <c r="A964" s="18"/>
      <c r="B964" s="18"/>
      <c r="C964" s="19"/>
      <c r="D964" s="18"/>
      <c r="E964" s="18"/>
      <c r="F964" s="18"/>
      <c r="G964" s="18"/>
      <c r="H964" s="18"/>
      <c r="I964" s="18"/>
      <c r="J964" s="18"/>
      <c r="K964" s="18"/>
    </row>
    <row r="965" spans="1:11" ht="15.75" customHeight="1">
      <c r="A965" s="18"/>
      <c r="B965" s="18"/>
      <c r="C965" s="19"/>
      <c r="D965" s="18"/>
      <c r="E965" s="18"/>
      <c r="F965" s="18"/>
      <c r="G965" s="18"/>
      <c r="H965" s="18"/>
      <c r="I965" s="18"/>
      <c r="J965" s="18"/>
      <c r="K965" s="18"/>
    </row>
    <row r="966" spans="1:11" ht="15.75" customHeight="1">
      <c r="A966" s="18"/>
      <c r="B966" s="18"/>
      <c r="C966" s="19"/>
      <c r="D966" s="18"/>
      <c r="E966" s="18"/>
      <c r="F966" s="18"/>
      <c r="G966" s="18"/>
      <c r="H966" s="18"/>
      <c r="I966" s="18"/>
      <c r="J966" s="18"/>
      <c r="K966" s="18"/>
    </row>
    <row r="967" spans="1:11" ht="15.75" customHeight="1">
      <c r="A967" s="18"/>
      <c r="B967" s="18"/>
      <c r="C967" s="19"/>
      <c r="D967" s="18"/>
      <c r="E967" s="18"/>
      <c r="F967" s="18"/>
      <c r="G967" s="18"/>
      <c r="H967" s="18"/>
      <c r="I967" s="18"/>
      <c r="J967" s="18"/>
      <c r="K967" s="18"/>
    </row>
    <row r="968" spans="1:11" ht="15.75" customHeight="1">
      <c r="A968" s="18"/>
      <c r="B968" s="18"/>
      <c r="C968" s="19"/>
      <c r="D968" s="18"/>
      <c r="E968" s="18"/>
      <c r="F968" s="18"/>
      <c r="G968" s="18"/>
      <c r="H968" s="18"/>
      <c r="I968" s="18"/>
      <c r="J968" s="18"/>
      <c r="K968" s="18"/>
    </row>
    <row r="969" spans="1:11" ht="15.75" customHeight="1">
      <c r="A969" s="18"/>
      <c r="B969" s="18"/>
      <c r="C969" s="19"/>
      <c r="D969" s="18"/>
      <c r="E969" s="18"/>
      <c r="F969" s="18"/>
      <c r="G969" s="18"/>
      <c r="H969" s="18"/>
      <c r="I969" s="18"/>
      <c r="J969" s="18"/>
      <c r="K969" s="18"/>
    </row>
    <row r="970" spans="1:11" ht="15.75" customHeight="1">
      <c r="A970" s="18"/>
      <c r="B970" s="18"/>
      <c r="C970" s="19"/>
      <c r="D970" s="18"/>
      <c r="E970" s="18"/>
      <c r="F970" s="18"/>
      <c r="G970" s="18"/>
      <c r="H970" s="18"/>
      <c r="I970" s="18"/>
      <c r="J970" s="18"/>
      <c r="K970" s="18"/>
    </row>
    <row r="971" spans="1:11" ht="15.75" customHeight="1">
      <c r="A971" s="18"/>
      <c r="B971" s="18"/>
      <c r="C971" s="19"/>
      <c r="D971" s="18"/>
      <c r="E971" s="18"/>
      <c r="F971" s="18"/>
      <c r="G971" s="18"/>
      <c r="H971" s="18"/>
      <c r="I971" s="18"/>
      <c r="J971" s="18"/>
      <c r="K971" s="18"/>
    </row>
    <row r="972" spans="1:11" ht="15.75" customHeight="1">
      <c r="A972" s="18"/>
      <c r="B972" s="18"/>
      <c r="C972" s="19"/>
      <c r="D972" s="18"/>
      <c r="E972" s="18"/>
      <c r="F972" s="18"/>
      <c r="G972" s="18"/>
      <c r="H972" s="18"/>
      <c r="I972" s="18"/>
      <c r="J972" s="18"/>
      <c r="K972" s="18"/>
    </row>
    <row r="973" spans="1:11" ht="15.75" customHeight="1">
      <c r="A973" s="18"/>
      <c r="B973" s="18"/>
      <c r="C973" s="19"/>
      <c r="D973" s="18"/>
      <c r="E973" s="18"/>
      <c r="F973" s="18"/>
      <c r="G973" s="18"/>
      <c r="H973" s="18"/>
      <c r="I973" s="18"/>
      <c r="J973" s="18"/>
      <c r="K973" s="18"/>
    </row>
    <row r="974" spans="1:11" ht="15.75" customHeight="1">
      <c r="A974" s="18"/>
      <c r="B974" s="18"/>
      <c r="C974" s="19"/>
      <c r="D974" s="18"/>
      <c r="E974" s="18"/>
      <c r="F974" s="18"/>
      <c r="G974" s="18"/>
      <c r="H974" s="18"/>
      <c r="I974" s="18"/>
      <c r="J974" s="18"/>
      <c r="K974" s="18"/>
    </row>
    <row r="975" spans="1:11" ht="15.75" customHeight="1">
      <c r="A975" s="18"/>
      <c r="B975" s="18"/>
      <c r="C975" s="19"/>
      <c r="D975" s="18"/>
      <c r="E975" s="18"/>
      <c r="F975" s="18"/>
      <c r="G975" s="18"/>
      <c r="H975" s="18"/>
      <c r="I975" s="18"/>
      <c r="J975" s="18"/>
      <c r="K975" s="18"/>
    </row>
    <row r="976" spans="1:11" ht="15.75" customHeight="1">
      <c r="A976" s="18"/>
      <c r="B976" s="18"/>
      <c r="C976" s="19"/>
      <c r="D976" s="18"/>
      <c r="E976" s="18"/>
      <c r="F976" s="18"/>
      <c r="G976" s="18"/>
      <c r="H976" s="18"/>
      <c r="I976" s="18"/>
      <c r="J976" s="18"/>
      <c r="K976" s="18"/>
    </row>
    <row r="977" spans="1:11" ht="15.75" customHeight="1">
      <c r="A977" s="18"/>
      <c r="B977" s="18"/>
      <c r="C977" s="19"/>
      <c r="D977" s="18"/>
      <c r="E977" s="18"/>
      <c r="F977" s="18"/>
      <c r="G977" s="18"/>
      <c r="H977" s="18"/>
      <c r="I977" s="18"/>
      <c r="J977" s="18"/>
      <c r="K977" s="18"/>
    </row>
    <row r="978" spans="1:11" ht="15.75" customHeight="1">
      <c r="A978" s="18"/>
      <c r="B978" s="18"/>
      <c r="C978" s="19"/>
      <c r="D978" s="18"/>
      <c r="E978" s="18"/>
      <c r="F978" s="18"/>
      <c r="G978" s="18"/>
      <c r="H978" s="18"/>
      <c r="I978" s="18"/>
      <c r="J978" s="18"/>
      <c r="K978" s="18"/>
    </row>
    <row r="979" spans="1:11" ht="15.75" customHeight="1">
      <c r="A979" s="18"/>
      <c r="B979" s="18"/>
      <c r="C979" s="19"/>
      <c r="D979" s="18"/>
      <c r="E979" s="18"/>
      <c r="F979" s="18"/>
      <c r="G979" s="18"/>
      <c r="H979" s="18"/>
      <c r="I979" s="18"/>
      <c r="J979" s="18"/>
      <c r="K979" s="18"/>
    </row>
    <row r="980" spans="1:11" ht="15.75" customHeight="1">
      <c r="A980" s="18"/>
      <c r="B980" s="18"/>
      <c r="C980" s="19"/>
      <c r="D980" s="18"/>
      <c r="E980" s="18"/>
      <c r="F980" s="18"/>
      <c r="G980" s="18"/>
      <c r="H980" s="18"/>
      <c r="I980" s="18"/>
      <c r="J980" s="18"/>
      <c r="K980" s="18"/>
    </row>
    <row r="981" spans="1:11" ht="15.75" customHeight="1">
      <c r="A981" s="18"/>
      <c r="B981" s="18"/>
      <c r="C981" s="19"/>
      <c r="D981" s="18"/>
      <c r="E981" s="18"/>
      <c r="F981" s="18"/>
      <c r="G981" s="18"/>
      <c r="H981" s="18"/>
      <c r="I981" s="18"/>
      <c r="J981" s="18"/>
      <c r="K981" s="18"/>
    </row>
    <row r="982" spans="1:11" ht="15.75" customHeight="1">
      <c r="A982" s="18"/>
      <c r="B982" s="18"/>
      <c r="C982" s="19"/>
      <c r="D982" s="18"/>
      <c r="E982" s="18"/>
      <c r="F982" s="18"/>
      <c r="G982" s="18"/>
      <c r="H982" s="18"/>
      <c r="I982" s="18"/>
      <c r="J982" s="18"/>
      <c r="K982" s="18"/>
    </row>
    <row r="983" spans="1:11" ht="15.75" customHeight="1">
      <c r="A983" s="18"/>
      <c r="B983" s="18"/>
      <c r="C983" s="19"/>
      <c r="D983" s="18"/>
      <c r="E983" s="18"/>
      <c r="F983" s="18"/>
      <c r="G983" s="18"/>
      <c r="H983" s="18"/>
      <c r="I983" s="18"/>
      <c r="J983" s="18"/>
      <c r="K983" s="18"/>
    </row>
    <row r="984" spans="1:11" ht="15.75" customHeight="1">
      <c r="A984" s="18"/>
      <c r="B984" s="18"/>
      <c r="C984" s="19"/>
      <c r="D984" s="18"/>
      <c r="E984" s="18"/>
      <c r="F984" s="18"/>
      <c r="G984" s="18"/>
      <c r="H984" s="18"/>
      <c r="I984" s="18"/>
      <c r="J984" s="18"/>
      <c r="K984" s="18"/>
    </row>
    <row r="985" spans="1:11" ht="15.75" customHeight="1">
      <c r="A985" s="18"/>
      <c r="B985" s="18"/>
      <c r="C985" s="19"/>
      <c r="D985" s="18"/>
      <c r="E985" s="18"/>
      <c r="F985" s="18"/>
      <c r="G985" s="18"/>
      <c r="H985" s="18"/>
      <c r="I985" s="18"/>
      <c r="J985" s="18"/>
      <c r="K985" s="18"/>
    </row>
    <row r="986" spans="1:11" ht="15.75" customHeight="1">
      <c r="A986" s="18"/>
      <c r="B986" s="18"/>
      <c r="C986" s="19"/>
      <c r="D986" s="18"/>
      <c r="E986" s="18"/>
      <c r="F986" s="18"/>
      <c r="G986" s="18"/>
      <c r="H986" s="18"/>
      <c r="I986" s="18"/>
      <c r="J986" s="18"/>
      <c r="K986" s="18"/>
    </row>
    <row r="987" spans="1:11" ht="15.75" customHeight="1">
      <c r="A987" s="18"/>
      <c r="B987" s="18"/>
      <c r="C987" s="19"/>
      <c r="D987" s="18"/>
      <c r="E987" s="18"/>
      <c r="F987" s="18"/>
      <c r="G987" s="18"/>
      <c r="H987" s="18"/>
      <c r="I987" s="18"/>
      <c r="J987" s="18"/>
      <c r="K987" s="18"/>
    </row>
    <row r="988" spans="1:11" ht="15.75" customHeight="1">
      <c r="A988" s="18"/>
      <c r="B988" s="18"/>
      <c r="C988" s="19"/>
      <c r="D988" s="18"/>
      <c r="E988" s="18"/>
      <c r="F988" s="18"/>
      <c r="G988" s="18"/>
      <c r="H988" s="18"/>
      <c r="I988" s="18"/>
      <c r="J988" s="18"/>
      <c r="K988" s="18"/>
    </row>
    <row r="989" spans="1:11" ht="15.75" customHeight="1">
      <c r="A989" s="18"/>
      <c r="B989" s="18"/>
      <c r="C989" s="19"/>
      <c r="D989" s="18"/>
      <c r="E989" s="18"/>
      <c r="F989" s="18"/>
      <c r="G989" s="18"/>
      <c r="H989" s="18"/>
      <c r="I989" s="18"/>
      <c r="J989" s="18"/>
      <c r="K989" s="18"/>
    </row>
    <row r="990" spans="1:11" ht="15.75" customHeight="1">
      <c r="A990" s="18"/>
      <c r="B990" s="18"/>
      <c r="C990" s="19"/>
      <c r="D990" s="18"/>
      <c r="E990" s="18"/>
      <c r="F990" s="18"/>
      <c r="G990" s="18"/>
      <c r="H990" s="18"/>
      <c r="I990" s="18"/>
      <c r="J990" s="18"/>
      <c r="K990" s="18"/>
    </row>
    <row r="991" spans="1:11" ht="15.75" customHeight="1">
      <c r="A991" s="18"/>
      <c r="B991" s="18"/>
      <c r="C991" s="19"/>
      <c r="D991" s="18"/>
      <c r="E991" s="18"/>
      <c r="F991" s="18"/>
      <c r="G991" s="18"/>
      <c r="H991" s="18"/>
      <c r="I991" s="18"/>
      <c r="J991" s="18"/>
      <c r="K991" s="18"/>
    </row>
    <row r="992" spans="1:11" ht="15.75" customHeight="1">
      <c r="A992" s="18"/>
      <c r="B992" s="18"/>
      <c r="C992" s="19"/>
      <c r="D992" s="18"/>
      <c r="E992" s="18"/>
      <c r="F992" s="18"/>
      <c r="G992" s="18"/>
      <c r="H992" s="18"/>
      <c r="I992" s="18"/>
      <c r="J992" s="18"/>
      <c r="K992" s="18"/>
    </row>
    <row r="993" spans="1:11" ht="15.75" customHeight="1">
      <c r="A993" s="18"/>
      <c r="B993" s="18"/>
      <c r="C993" s="19"/>
      <c r="D993" s="18"/>
      <c r="E993" s="18"/>
      <c r="F993" s="18"/>
      <c r="G993" s="18"/>
      <c r="H993" s="18"/>
      <c r="I993" s="18"/>
      <c r="J993" s="18"/>
      <c r="K993" s="18"/>
    </row>
    <row r="994" spans="1:11" ht="15.75" customHeight="1">
      <c r="A994" s="18"/>
      <c r="B994" s="18"/>
      <c r="C994" s="19"/>
      <c r="D994" s="18"/>
      <c r="E994" s="18"/>
      <c r="F994" s="18"/>
      <c r="G994" s="18"/>
      <c r="H994" s="18"/>
      <c r="I994" s="18"/>
      <c r="J994" s="18"/>
      <c r="K994" s="18"/>
    </row>
    <row r="995" spans="1:11" ht="15.75" customHeight="1">
      <c r="A995" s="18"/>
      <c r="B995" s="18"/>
      <c r="C995" s="19"/>
      <c r="D995" s="18"/>
      <c r="E995" s="18"/>
      <c r="F995" s="18"/>
      <c r="G995" s="18"/>
      <c r="H995" s="18"/>
      <c r="I995" s="18"/>
      <c r="J995" s="18"/>
      <c r="K995" s="18"/>
    </row>
    <row r="996" spans="1:11" ht="15.75" customHeight="1">
      <c r="A996" s="18"/>
      <c r="B996" s="18"/>
      <c r="C996" s="19"/>
      <c r="D996" s="18"/>
      <c r="E996" s="18"/>
      <c r="F996" s="18"/>
      <c r="G996" s="18"/>
      <c r="H996" s="18"/>
      <c r="I996" s="18"/>
      <c r="J996" s="18"/>
      <c r="K996" s="18"/>
    </row>
    <row r="997" spans="1:11" ht="15.75" customHeight="1">
      <c r="A997" s="18"/>
      <c r="B997" s="18"/>
      <c r="C997" s="19"/>
      <c r="D997" s="18"/>
      <c r="E997" s="18"/>
      <c r="F997" s="18"/>
      <c r="G997" s="18"/>
      <c r="H997" s="18"/>
      <c r="I997" s="18"/>
      <c r="J997" s="18"/>
      <c r="K997" s="18"/>
    </row>
    <row r="998" spans="1:11" ht="15.75" customHeight="1">
      <c r="A998" s="18"/>
      <c r="B998" s="18"/>
      <c r="C998" s="19"/>
      <c r="D998" s="18"/>
      <c r="E998" s="18"/>
      <c r="F998" s="18"/>
      <c r="G998" s="18"/>
      <c r="H998" s="18"/>
      <c r="I998" s="18"/>
      <c r="J998" s="18"/>
      <c r="K998" s="18"/>
    </row>
    <row r="999" spans="1:11" ht="15.75" customHeight="1">
      <c r="A999" s="18"/>
      <c r="B999" s="18"/>
      <c r="C999" s="19"/>
      <c r="D999" s="18"/>
      <c r="E999" s="18"/>
      <c r="F999" s="18"/>
      <c r="G999" s="18"/>
      <c r="H999" s="18"/>
      <c r="I999" s="18"/>
      <c r="J999" s="18"/>
      <c r="K999" s="18"/>
    </row>
    <row r="1000" spans="1:11" ht="15.75" customHeight="1">
      <c r="A1000" s="18"/>
      <c r="B1000" s="18"/>
      <c r="C1000" s="19"/>
      <c r="D1000" s="18"/>
      <c r="E1000" s="18"/>
      <c r="F1000" s="18"/>
      <c r="G1000" s="18"/>
      <c r="H1000" s="18"/>
      <c r="I1000" s="18"/>
      <c r="J1000" s="18"/>
      <c r="K1000" s="18"/>
    </row>
    <row r="1001" spans="1:11" ht="15.75" customHeight="1">
      <c r="A1001" s="18"/>
      <c r="B1001" s="18"/>
      <c r="C1001" s="19"/>
      <c r="D1001" s="18"/>
      <c r="E1001" s="18"/>
      <c r="F1001" s="18"/>
      <c r="G1001" s="18"/>
      <c r="H1001" s="18"/>
      <c r="I1001" s="18"/>
      <c r="J1001" s="18"/>
      <c r="K1001" s="18"/>
    </row>
    <row r="1002" spans="1:11" ht="15.75" customHeight="1">
      <c r="A1002" s="18"/>
      <c r="B1002" s="18"/>
      <c r="C1002" s="19"/>
      <c r="D1002" s="18"/>
      <c r="E1002" s="18"/>
      <c r="F1002" s="18"/>
      <c r="G1002" s="18"/>
      <c r="H1002" s="18"/>
      <c r="I1002" s="18"/>
      <c r="J1002" s="18"/>
      <c r="K1002" s="18"/>
    </row>
    <row r="1003" spans="1:11" ht="15.75" customHeight="1">
      <c r="A1003" s="18"/>
      <c r="B1003" s="18"/>
      <c r="C1003" s="19"/>
      <c r="D1003" s="18"/>
      <c r="E1003" s="18"/>
      <c r="F1003" s="18"/>
      <c r="G1003" s="18"/>
      <c r="H1003" s="18"/>
      <c r="I1003" s="18"/>
      <c r="J1003" s="18"/>
      <c r="K1003" s="18"/>
    </row>
    <row r="1004" spans="1:11" ht="15.75" customHeight="1">
      <c r="A1004" s="18"/>
      <c r="B1004" s="18"/>
      <c r="C1004" s="19"/>
      <c r="D1004" s="18"/>
      <c r="E1004" s="18"/>
      <c r="F1004" s="18"/>
      <c r="G1004" s="18"/>
      <c r="H1004" s="18"/>
      <c r="I1004" s="18"/>
      <c r="J1004" s="18"/>
      <c r="K1004" s="18"/>
    </row>
    <row r="1005" spans="1:11" ht="15.75" customHeight="1">
      <c r="A1005" s="18"/>
      <c r="B1005" s="18"/>
      <c r="C1005" s="19"/>
      <c r="D1005" s="18"/>
      <c r="E1005" s="18"/>
      <c r="F1005" s="18"/>
      <c r="G1005" s="18"/>
      <c r="H1005" s="18"/>
      <c r="I1005" s="18"/>
      <c r="J1005" s="18"/>
      <c r="K1005" s="18"/>
    </row>
    <row r="1006" spans="1:11" ht="15.75" customHeight="1">
      <c r="A1006" s="18"/>
      <c r="B1006" s="18"/>
      <c r="C1006" s="19"/>
      <c r="D1006" s="18"/>
      <c r="E1006" s="18"/>
      <c r="F1006" s="18"/>
      <c r="G1006" s="18"/>
      <c r="H1006" s="18"/>
      <c r="I1006" s="18"/>
      <c r="J1006" s="18"/>
      <c r="K1006" s="18"/>
    </row>
    <row r="1007" spans="1:11" ht="15.75" customHeight="1">
      <c r="A1007" s="18"/>
      <c r="B1007" s="18"/>
      <c r="C1007" s="19"/>
      <c r="D1007" s="18"/>
      <c r="E1007" s="18"/>
      <c r="F1007" s="18"/>
      <c r="G1007" s="18"/>
      <c r="H1007" s="18"/>
      <c r="I1007" s="18"/>
      <c r="J1007" s="18"/>
      <c r="K1007" s="18"/>
    </row>
    <row r="1008" spans="1:11" ht="15.75" customHeight="1">
      <c r="A1008" s="18"/>
      <c r="B1008" s="18"/>
      <c r="C1008" s="19"/>
      <c r="D1008" s="18"/>
      <c r="E1008" s="18"/>
      <c r="F1008" s="18"/>
      <c r="G1008" s="18"/>
      <c r="H1008" s="18"/>
      <c r="I1008" s="18"/>
      <c r="J1008" s="18"/>
      <c r="K1008" s="18"/>
    </row>
    <row r="1009" spans="1:11" ht="15.75" customHeight="1">
      <c r="A1009" s="18"/>
      <c r="B1009" s="18"/>
      <c r="C1009" s="19"/>
      <c r="D1009" s="18"/>
      <c r="E1009" s="18"/>
      <c r="F1009" s="18"/>
      <c r="G1009" s="18"/>
      <c r="H1009" s="18"/>
      <c r="I1009" s="18"/>
      <c r="J1009" s="18"/>
      <c r="K1009" s="18"/>
    </row>
    <row r="1010" spans="1:11" ht="15.75" customHeight="1">
      <c r="A1010" s="18"/>
      <c r="B1010" s="18"/>
      <c r="C1010" s="19"/>
      <c r="D1010" s="18"/>
      <c r="E1010" s="18"/>
      <c r="F1010" s="18"/>
      <c r="G1010" s="18"/>
      <c r="H1010" s="18"/>
      <c r="I1010" s="18"/>
      <c r="J1010" s="18"/>
      <c r="K1010" s="18"/>
    </row>
    <row r="1011" spans="1:11" ht="15.75" customHeight="1">
      <c r="A1011" s="18"/>
      <c r="B1011" s="18"/>
      <c r="C1011" s="19"/>
      <c r="D1011" s="18"/>
      <c r="E1011" s="18"/>
      <c r="F1011" s="18"/>
      <c r="G1011" s="18"/>
      <c r="H1011" s="18"/>
      <c r="I1011" s="18"/>
      <c r="J1011" s="18"/>
      <c r="K1011" s="18"/>
    </row>
    <row r="1012" spans="1:11" ht="15.75" customHeight="1">
      <c r="A1012" s="18"/>
      <c r="B1012" s="18"/>
      <c r="C1012" s="19"/>
      <c r="D1012" s="18"/>
      <c r="E1012" s="18"/>
      <c r="F1012" s="18"/>
      <c r="G1012" s="18"/>
      <c r="H1012" s="18"/>
      <c r="I1012" s="18"/>
      <c r="J1012" s="18"/>
      <c r="K1012" s="18"/>
    </row>
    <row r="1013" spans="1:11" ht="15.75" customHeight="1">
      <c r="A1013" s="18"/>
      <c r="B1013" s="18"/>
      <c r="C1013" s="19"/>
      <c r="D1013" s="18"/>
      <c r="E1013" s="18"/>
      <c r="F1013" s="18"/>
      <c r="G1013" s="18"/>
      <c r="H1013" s="18"/>
      <c r="I1013" s="18"/>
      <c r="J1013" s="18"/>
      <c r="K1013" s="18"/>
    </row>
    <row r="1014" spans="1:11" ht="15.75" customHeight="1">
      <c r="A1014" s="18"/>
      <c r="B1014" s="18"/>
      <c r="C1014" s="19"/>
      <c r="D1014" s="18"/>
      <c r="E1014" s="18"/>
      <c r="F1014" s="18"/>
      <c r="G1014" s="18"/>
      <c r="H1014" s="18"/>
      <c r="I1014" s="18"/>
      <c r="J1014" s="18"/>
      <c r="K1014" s="18"/>
    </row>
    <row r="1015" spans="1:11" ht="15.75" customHeight="1">
      <c r="A1015" s="18"/>
      <c r="B1015" s="18"/>
      <c r="C1015" s="19"/>
      <c r="D1015" s="18"/>
      <c r="E1015" s="18"/>
      <c r="F1015" s="18"/>
      <c r="G1015" s="18"/>
      <c r="H1015" s="18"/>
      <c r="I1015" s="18"/>
      <c r="J1015" s="18"/>
      <c r="K1015" s="18"/>
    </row>
    <row r="1016" spans="1:11" ht="15.75" customHeight="1">
      <c r="A1016" s="18"/>
      <c r="B1016" s="18"/>
      <c r="C1016" s="19"/>
      <c r="D1016" s="18"/>
      <c r="E1016" s="18"/>
      <c r="F1016" s="18"/>
      <c r="G1016" s="18"/>
      <c r="H1016" s="18"/>
      <c r="I1016" s="18"/>
      <c r="J1016" s="18"/>
      <c r="K1016" s="18"/>
    </row>
    <row r="1017" spans="1:11" ht="15.75" customHeight="1">
      <c r="A1017" s="18"/>
      <c r="B1017" s="18"/>
      <c r="C1017" s="19"/>
      <c r="D1017" s="18"/>
      <c r="E1017" s="18"/>
      <c r="F1017" s="18"/>
      <c r="G1017" s="18"/>
      <c r="H1017" s="18"/>
      <c r="I1017" s="18"/>
      <c r="J1017" s="18"/>
      <c r="K1017" s="18"/>
    </row>
    <row r="1018" spans="1:11" ht="15.75" customHeight="1">
      <c r="A1018" s="18"/>
      <c r="B1018" s="18"/>
      <c r="C1018" s="19"/>
      <c r="D1018" s="18"/>
      <c r="E1018" s="18"/>
      <c r="F1018" s="18"/>
      <c r="G1018" s="18"/>
      <c r="H1018" s="18"/>
      <c r="I1018" s="18"/>
      <c r="J1018" s="18"/>
      <c r="K1018" s="18"/>
    </row>
    <row r="1019" spans="1:11" ht="15.75" customHeight="1">
      <c r="A1019" s="18"/>
      <c r="B1019" s="18"/>
      <c r="C1019" s="19"/>
      <c r="D1019" s="18"/>
      <c r="E1019" s="18"/>
      <c r="F1019" s="18"/>
      <c r="G1019" s="18"/>
      <c r="H1019" s="18"/>
      <c r="I1019" s="18"/>
      <c r="J1019" s="18"/>
      <c r="K1019" s="18"/>
    </row>
    <row r="1020" spans="1:11" ht="15.75" customHeight="1">
      <c r="A1020" s="18"/>
      <c r="B1020" s="18"/>
      <c r="C1020" s="19"/>
      <c r="D1020" s="18"/>
      <c r="E1020" s="18"/>
      <c r="F1020" s="18"/>
      <c r="G1020" s="18"/>
      <c r="H1020" s="18"/>
      <c r="I1020" s="18"/>
      <c r="J1020" s="18"/>
      <c r="K1020" s="18"/>
    </row>
    <row r="1021" spans="1:11" ht="15.75" customHeight="1">
      <c r="A1021" s="18"/>
      <c r="B1021" s="18"/>
      <c r="C1021" s="19"/>
      <c r="D1021" s="18"/>
      <c r="E1021" s="18"/>
      <c r="F1021" s="18"/>
      <c r="G1021" s="18"/>
      <c r="H1021" s="18"/>
      <c r="I1021" s="18"/>
      <c r="J1021" s="18"/>
      <c r="K1021" s="18"/>
    </row>
    <row r="1022" spans="1:11" ht="15.75" customHeight="1">
      <c r="A1022" s="18"/>
      <c r="B1022" s="18"/>
      <c r="C1022" s="19"/>
      <c r="D1022" s="18"/>
      <c r="E1022" s="18"/>
      <c r="F1022" s="18"/>
      <c r="G1022" s="18"/>
      <c r="H1022" s="18"/>
      <c r="I1022" s="18"/>
      <c r="J1022" s="18"/>
      <c r="K1022" s="18"/>
    </row>
    <row r="1023" spans="1:11" ht="15.75" customHeight="1">
      <c r="A1023" s="18"/>
      <c r="B1023" s="18"/>
      <c r="C1023" s="19"/>
      <c r="D1023" s="18"/>
      <c r="E1023" s="18"/>
      <c r="F1023" s="18"/>
      <c r="G1023" s="18"/>
      <c r="H1023" s="18"/>
      <c r="I1023" s="18"/>
      <c r="J1023" s="18"/>
      <c r="K1023" s="18"/>
    </row>
    <row r="1024" spans="1:11" ht="15.75" customHeight="1">
      <c r="A1024" s="18"/>
      <c r="B1024" s="18"/>
      <c r="C1024" s="19"/>
      <c r="D1024" s="18"/>
      <c r="E1024" s="18"/>
      <c r="F1024" s="18"/>
      <c r="G1024" s="18"/>
      <c r="H1024" s="18"/>
      <c r="I1024" s="18"/>
      <c r="J1024" s="18"/>
      <c r="K1024" s="18"/>
    </row>
    <row r="1025" spans="1:11" ht="15.75" customHeight="1">
      <c r="A1025" s="18"/>
      <c r="B1025" s="18"/>
      <c r="C1025" s="19"/>
      <c r="D1025" s="18"/>
      <c r="E1025" s="18"/>
      <c r="F1025" s="18"/>
      <c r="G1025" s="18"/>
      <c r="H1025" s="18"/>
      <c r="I1025" s="18"/>
      <c r="J1025" s="18"/>
      <c r="K1025" s="18"/>
    </row>
    <row r="1026" spans="1:11" ht="15.75" customHeight="1">
      <c r="A1026" s="18"/>
      <c r="B1026" s="18"/>
      <c r="C1026" s="19"/>
      <c r="D1026" s="18"/>
      <c r="E1026" s="18"/>
      <c r="F1026" s="18"/>
      <c r="G1026" s="18"/>
      <c r="H1026" s="18"/>
      <c r="I1026" s="18"/>
      <c r="J1026" s="18"/>
      <c r="K1026" s="18"/>
    </row>
    <row r="1027" spans="1:11" ht="15.75" customHeight="1">
      <c r="A1027" s="18"/>
      <c r="B1027" s="18"/>
      <c r="C1027" s="19"/>
      <c r="D1027" s="18"/>
      <c r="E1027" s="18"/>
      <c r="F1027" s="18"/>
      <c r="G1027" s="18"/>
      <c r="H1027" s="18"/>
      <c r="I1027" s="18"/>
      <c r="J1027" s="18"/>
      <c r="K1027" s="18"/>
    </row>
    <row r="1028" spans="1:11" ht="15.75" customHeight="1">
      <c r="A1028" s="18"/>
      <c r="B1028" s="18"/>
      <c r="C1028" s="19"/>
      <c r="D1028" s="18"/>
      <c r="E1028" s="18"/>
      <c r="F1028" s="18"/>
      <c r="G1028" s="18"/>
      <c r="H1028" s="18"/>
      <c r="I1028" s="18"/>
      <c r="J1028" s="18"/>
      <c r="K1028" s="18"/>
    </row>
    <row r="1029" spans="1:11" ht="15.75" customHeight="1">
      <c r="A1029" s="18"/>
      <c r="B1029" s="18"/>
      <c r="C1029" s="19"/>
      <c r="D1029" s="18"/>
      <c r="E1029" s="18"/>
      <c r="F1029" s="18"/>
      <c r="G1029" s="18"/>
      <c r="H1029" s="18"/>
      <c r="I1029" s="18"/>
      <c r="J1029" s="18"/>
      <c r="K1029" s="18"/>
    </row>
    <row r="1030" spans="1:11" ht="15.75" customHeight="1">
      <c r="A1030" s="18"/>
      <c r="B1030" s="18"/>
      <c r="C1030" s="19"/>
      <c r="D1030" s="18"/>
      <c r="E1030" s="18"/>
      <c r="F1030" s="18"/>
      <c r="G1030" s="18"/>
      <c r="H1030" s="18"/>
      <c r="I1030" s="18"/>
      <c r="J1030" s="18"/>
      <c r="K1030" s="18"/>
    </row>
    <row r="1031" spans="1:11" ht="15.75" customHeight="1">
      <c r="A1031" s="18"/>
      <c r="B1031" s="18"/>
      <c r="C1031" s="19"/>
      <c r="D1031" s="18"/>
      <c r="E1031" s="18"/>
      <c r="F1031" s="18"/>
      <c r="G1031" s="18"/>
      <c r="H1031" s="18"/>
      <c r="I1031" s="18"/>
      <c r="J1031" s="18"/>
      <c r="K1031" s="18"/>
    </row>
    <row r="1032" spans="1:11" ht="15.75" customHeight="1">
      <c r="A1032" s="18"/>
      <c r="B1032" s="18"/>
      <c r="C1032" s="19"/>
      <c r="D1032" s="18"/>
      <c r="E1032" s="18"/>
      <c r="F1032" s="18"/>
      <c r="G1032" s="18"/>
      <c r="H1032" s="18"/>
      <c r="I1032" s="18"/>
      <c r="J1032" s="18"/>
      <c r="K1032" s="18"/>
    </row>
    <row r="1033" spans="1:11" ht="15.75" customHeight="1">
      <c r="A1033" s="18"/>
      <c r="B1033" s="18"/>
      <c r="C1033" s="19"/>
      <c r="D1033" s="18"/>
      <c r="E1033" s="18"/>
      <c r="F1033" s="18"/>
      <c r="G1033" s="18"/>
      <c r="H1033" s="18"/>
      <c r="I1033" s="18"/>
      <c r="J1033" s="18"/>
      <c r="K1033" s="18"/>
    </row>
    <row r="1034" spans="1:11" ht="15.75" customHeight="1">
      <c r="A1034" s="18"/>
      <c r="B1034" s="18"/>
      <c r="C1034" s="19"/>
      <c r="D1034" s="18"/>
      <c r="E1034" s="18"/>
      <c r="F1034" s="18"/>
      <c r="G1034" s="18"/>
      <c r="H1034" s="18"/>
      <c r="I1034" s="18"/>
      <c r="J1034" s="18"/>
      <c r="K1034" s="18"/>
    </row>
  </sheetData>
  <autoFilter ref="A1:X135" xr:uid="{00000000-0009-0000-0000-000002000000}"/>
  <pageMargins left="0.511811024" right="0.511811024"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2.5703125" defaultRowHeight="15" customHeight="1"/>
  <cols>
    <col min="1" max="1" width="8.5703125" customWidth="1"/>
    <col min="2" max="2" width="100.85546875" customWidth="1"/>
    <col min="3" max="26" width="8.5703125" customWidth="1"/>
  </cols>
  <sheetData>
    <row r="1" spans="1:2">
      <c r="A1" s="20"/>
      <c r="B1" s="21" t="s">
        <v>417</v>
      </c>
    </row>
    <row r="2" spans="1:2" ht="29.25">
      <c r="A2" s="238" t="s">
        <v>418</v>
      </c>
      <c r="B2" s="22" t="s">
        <v>419</v>
      </c>
    </row>
    <row r="3" spans="1:2">
      <c r="A3" s="239"/>
      <c r="B3" s="22" t="s">
        <v>420</v>
      </c>
    </row>
    <row r="4" spans="1:2">
      <c r="A4" s="23" t="s">
        <v>421</v>
      </c>
      <c r="B4" s="23" t="s">
        <v>422</v>
      </c>
    </row>
    <row r="5" spans="1:2" ht="29.25">
      <c r="A5" s="23">
        <v>40</v>
      </c>
      <c r="B5" s="24" t="s">
        <v>423</v>
      </c>
    </row>
    <row r="6" spans="1:2" ht="29.25">
      <c r="A6" s="23">
        <v>30</v>
      </c>
      <c r="B6" s="24" t="s">
        <v>424</v>
      </c>
    </row>
    <row r="7" spans="1:2" ht="29.25">
      <c r="A7" s="23">
        <v>20</v>
      </c>
      <c r="B7" s="24" t="s">
        <v>425</v>
      </c>
    </row>
    <row r="8" spans="1:2" ht="29.25">
      <c r="A8" s="23">
        <v>10</v>
      </c>
      <c r="B8" s="24" t="s">
        <v>426</v>
      </c>
    </row>
    <row r="9" spans="1:2">
      <c r="A9" s="23">
        <v>0</v>
      </c>
      <c r="B9" s="24" t="s">
        <v>427</v>
      </c>
    </row>
    <row r="10" spans="1:2">
      <c r="A10" s="25"/>
      <c r="B10" s="26"/>
    </row>
    <row r="11" spans="1:2">
      <c r="A11" s="20"/>
      <c r="B11" s="26"/>
    </row>
    <row r="12" spans="1:2">
      <c r="A12" s="20"/>
      <c r="B12" s="20"/>
    </row>
    <row r="13" spans="1:2">
      <c r="A13" s="20"/>
      <c r="B13" s="20"/>
    </row>
    <row r="14" spans="1:2">
      <c r="A14" s="20"/>
      <c r="B14" s="20"/>
    </row>
    <row r="15" spans="1:2">
      <c r="A15" s="20"/>
      <c r="B15" s="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A3"/>
  </mergeCells>
  <pageMargins left="0.511811024" right="0.511811024" top="1.1760500446827524" bottom="0.78740157499999996" header="0" footer="0"/>
  <pageSetup paperSize="5"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00"/>
  <sheetViews>
    <sheetView workbookViewId="0"/>
  </sheetViews>
  <sheetFormatPr defaultColWidth="12.5703125" defaultRowHeight="15" customHeight="1"/>
  <cols>
    <col min="1" max="1" width="16.42578125" customWidth="1"/>
    <col min="2" max="2" width="96" customWidth="1"/>
    <col min="3" max="25" width="8.5703125" customWidth="1"/>
  </cols>
  <sheetData>
    <row r="1" spans="1:16">
      <c r="A1" s="20"/>
      <c r="B1" s="21" t="s">
        <v>428</v>
      </c>
      <c r="C1" s="20"/>
      <c r="D1" s="20"/>
      <c r="E1" s="20"/>
      <c r="F1" s="20"/>
      <c r="G1" s="20"/>
      <c r="H1" s="20"/>
      <c r="I1" s="20"/>
      <c r="J1" s="20"/>
      <c r="K1" s="20"/>
      <c r="L1" s="20"/>
      <c r="M1" s="20"/>
      <c r="N1" s="20"/>
      <c r="O1" s="20"/>
      <c r="P1" s="20"/>
    </row>
    <row r="2" spans="1:16">
      <c r="A2" s="238" t="s">
        <v>418</v>
      </c>
      <c r="B2" s="240" t="s">
        <v>429</v>
      </c>
      <c r="C2" s="20"/>
      <c r="D2" s="20"/>
      <c r="E2" s="20"/>
      <c r="F2" s="20"/>
      <c r="G2" s="20"/>
      <c r="H2" s="20"/>
      <c r="I2" s="20"/>
      <c r="J2" s="20"/>
      <c r="K2" s="20"/>
      <c r="L2" s="20"/>
      <c r="M2" s="20"/>
      <c r="N2" s="20"/>
      <c r="O2" s="20"/>
      <c r="P2" s="20"/>
    </row>
    <row r="3" spans="1:16">
      <c r="A3" s="239"/>
      <c r="B3" s="239"/>
      <c r="C3" s="20"/>
      <c r="D3" s="20"/>
      <c r="E3" s="20"/>
      <c r="F3" s="20"/>
      <c r="G3" s="20"/>
      <c r="H3" s="20"/>
      <c r="I3" s="20"/>
      <c r="J3" s="20"/>
      <c r="K3" s="20"/>
      <c r="L3" s="20"/>
      <c r="M3" s="20"/>
      <c r="N3" s="20"/>
      <c r="O3" s="20"/>
      <c r="P3" s="20"/>
    </row>
    <row r="4" spans="1:16">
      <c r="A4" s="23" t="s">
        <v>421</v>
      </c>
      <c r="B4" s="27" t="s">
        <v>422</v>
      </c>
      <c r="C4" s="20"/>
      <c r="D4" s="20"/>
      <c r="E4" s="20"/>
      <c r="F4" s="20"/>
      <c r="G4" s="20"/>
      <c r="H4" s="20"/>
      <c r="I4" s="20"/>
      <c r="J4" s="20"/>
      <c r="K4" s="20"/>
      <c r="L4" s="20"/>
      <c r="M4" s="20"/>
      <c r="N4" s="20"/>
      <c r="O4" s="20"/>
      <c r="P4" s="20"/>
    </row>
    <row r="5" spans="1:16" ht="29.25">
      <c r="A5" s="23">
        <v>40</v>
      </c>
      <c r="B5" s="24" t="s">
        <v>430</v>
      </c>
      <c r="C5" s="20"/>
      <c r="D5" s="20"/>
      <c r="E5" s="20"/>
      <c r="F5" s="20"/>
      <c r="G5" s="20"/>
      <c r="H5" s="20"/>
      <c r="I5" s="20"/>
      <c r="J5" s="20"/>
      <c r="K5" s="20"/>
      <c r="L5" s="20"/>
      <c r="M5" s="20"/>
      <c r="N5" s="20"/>
      <c r="O5" s="20"/>
      <c r="P5" s="20"/>
    </row>
    <row r="6" spans="1:16" ht="29.25">
      <c r="A6" s="23">
        <v>30</v>
      </c>
      <c r="B6" s="24" t="s">
        <v>431</v>
      </c>
      <c r="C6" s="20"/>
      <c r="D6" s="20"/>
      <c r="E6" s="20"/>
      <c r="F6" s="20"/>
      <c r="G6" s="20"/>
      <c r="H6" s="20"/>
      <c r="I6" s="20"/>
      <c r="J6" s="20"/>
      <c r="K6" s="20"/>
      <c r="L6" s="20"/>
      <c r="M6" s="20"/>
      <c r="N6" s="20"/>
      <c r="O6" s="20"/>
      <c r="P6" s="20"/>
    </row>
    <row r="7" spans="1:16" ht="29.25">
      <c r="A7" s="23">
        <v>20</v>
      </c>
      <c r="B7" s="24" t="s">
        <v>432</v>
      </c>
      <c r="C7" s="20"/>
      <c r="D7" s="20"/>
      <c r="E7" s="20"/>
      <c r="F7" s="20"/>
      <c r="G7" s="20"/>
      <c r="H7" s="20"/>
      <c r="I7" s="20"/>
      <c r="J7" s="20"/>
      <c r="K7" s="20"/>
      <c r="L7" s="20"/>
      <c r="M7" s="20"/>
      <c r="N7" s="20"/>
      <c r="O7" s="20"/>
      <c r="P7" s="20"/>
    </row>
    <row r="8" spans="1:16" ht="29.25">
      <c r="A8" s="23">
        <v>10</v>
      </c>
      <c r="B8" s="24" t="s">
        <v>433</v>
      </c>
      <c r="C8" s="20"/>
      <c r="D8" s="20"/>
      <c r="E8" s="20"/>
      <c r="F8" s="20"/>
      <c r="G8" s="20"/>
      <c r="H8" s="20"/>
      <c r="I8" s="20"/>
      <c r="J8" s="20"/>
      <c r="K8" s="20"/>
      <c r="L8" s="20"/>
      <c r="M8" s="20"/>
      <c r="N8" s="20"/>
      <c r="O8" s="20"/>
      <c r="P8" s="20"/>
    </row>
    <row r="9" spans="1:16" ht="29.25">
      <c r="A9" s="23">
        <v>0</v>
      </c>
      <c r="B9" s="24" t="s">
        <v>434</v>
      </c>
      <c r="C9" s="20"/>
      <c r="D9" s="20"/>
      <c r="E9" s="20"/>
      <c r="F9" s="20"/>
      <c r="G9" s="20"/>
      <c r="H9" s="20"/>
      <c r="I9" s="20"/>
      <c r="J9" s="20"/>
      <c r="K9" s="20"/>
      <c r="L9" s="20"/>
      <c r="M9" s="20"/>
      <c r="N9" s="20"/>
      <c r="O9" s="20"/>
      <c r="P9" s="20"/>
    </row>
    <row r="10" spans="1:16">
      <c r="A10" s="25"/>
      <c r="B10" s="20"/>
      <c r="C10" s="20"/>
      <c r="D10" s="20"/>
      <c r="E10" s="20"/>
      <c r="F10" s="20"/>
      <c r="G10" s="20"/>
      <c r="H10" s="20"/>
      <c r="I10" s="20"/>
      <c r="J10" s="20"/>
      <c r="K10" s="20"/>
      <c r="L10" s="20"/>
      <c r="M10" s="20"/>
      <c r="N10" s="20"/>
      <c r="O10" s="20"/>
      <c r="P10" s="20"/>
    </row>
    <row r="11" spans="1:16">
      <c r="A11" s="20"/>
      <c r="B11" s="20"/>
      <c r="C11" s="20"/>
      <c r="D11" s="20"/>
      <c r="E11" s="20"/>
      <c r="F11" s="20"/>
      <c r="G11" s="20"/>
      <c r="H11" s="20"/>
      <c r="I11" s="20"/>
      <c r="J11" s="20"/>
      <c r="K11" s="20"/>
      <c r="L11" s="20"/>
      <c r="M11" s="20"/>
      <c r="N11" s="20"/>
      <c r="O11" s="20"/>
      <c r="P11" s="20"/>
    </row>
    <row r="12" spans="1:16">
      <c r="A12" s="20"/>
      <c r="B12" s="20"/>
      <c r="C12" s="20"/>
      <c r="D12" s="20"/>
      <c r="E12" s="20"/>
      <c r="F12" s="20"/>
      <c r="G12" s="20"/>
      <c r="H12" s="20"/>
      <c r="I12" s="20"/>
      <c r="J12" s="20"/>
      <c r="K12" s="20"/>
      <c r="L12" s="20"/>
      <c r="M12" s="20"/>
      <c r="N12" s="20"/>
      <c r="O12" s="20"/>
      <c r="P12" s="20"/>
    </row>
    <row r="13" spans="1:16">
      <c r="A13" s="20"/>
      <c r="B13" s="20"/>
      <c r="C13" s="20"/>
      <c r="D13" s="20"/>
      <c r="E13" s="20"/>
      <c r="F13" s="20"/>
      <c r="G13" s="20"/>
      <c r="H13" s="20"/>
      <c r="I13" s="20"/>
      <c r="J13" s="20"/>
      <c r="K13" s="20"/>
      <c r="L13" s="20"/>
      <c r="M13" s="20"/>
      <c r="N13" s="20"/>
      <c r="O13" s="20"/>
      <c r="P13" s="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3"/>
    <mergeCell ref="B2:B3"/>
  </mergeCells>
  <pageMargins left="0.511811024" right="0.511811024" top="1.1760500446827524" bottom="0.78740157499999996" header="0" footer="0"/>
  <pageSetup paperSize="5"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1263"/>
  <sheetViews>
    <sheetView topLeftCell="B1" workbookViewId="0">
      <selection activeCell="W6" sqref="W6"/>
    </sheetView>
  </sheetViews>
  <sheetFormatPr defaultColWidth="12.5703125" defaultRowHeight="15" customHeight="1"/>
  <cols>
    <col min="7" max="7" width="8.42578125" customWidth="1"/>
    <col min="8" max="8" width="6.140625" customWidth="1"/>
    <col min="9" max="9" width="6.28515625" customWidth="1"/>
    <col min="10" max="10" width="5.42578125" customWidth="1"/>
    <col min="11" max="11" width="7.7109375" customWidth="1"/>
    <col min="12" max="12" width="8" customWidth="1"/>
    <col min="13" max="13" width="6" customWidth="1"/>
    <col min="14" max="14" width="8.140625" customWidth="1"/>
    <col min="15" max="15" width="5.5703125" customWidth="1"/>
    <col min="16" max="16" width="5.42578125" customWidth="1"/>
    <col min="17" max="17" width="7.5703125" customWidth="1"/>
    <col min="18" max="18" width="6.42578125" customWidth="1"/>
    <col min="19" max="19" width="6" customWidth="1"/>
    <col min="20" max="20" width="7.42578125" customWidth="1"/>
    <col min="21" max="21" width="5.85546875" customWidth="1"/>
    <col min="22" max="22" width="5.42578125" customWidth="1"/>
  </cols>
  <sheetData>
    <row r="1" spans="1:23" ht="18">
      <c r="A1" s="28" t="s">
        <v>435</v>
      </c>
      <c r="B1" s="2"/>
      <c r="C1" s="2"/>
      <c r="D1" s="2"/>
      <c r="E1" s="2"/>
      <c r="F1" s="2"/>
      <c r="G1" s="2"/>
      <c r="H1" s="29"/>
      <c r="I1" s="2"/>
      <c r="J1" s="2"/>
      <c r="K1" s="29"/>
      <c r="L1" s="2"/>
      <c r="M1" s="2"/>
      <c r="N1" s="29"/>
      <c r="O1" s="2"/>
      <c r="P1" s="2"/>
      <c r="Q1" s="29"/>
      <c r="R1" s="2"/>
      <c r="S1" s="2"/>
      <c r="T1" s="30"/>
      <c r="U1" s="31"/>
      <c r="V1" s="32"/>
      <c r="W1" s="2"/>
    </row>
    <row r="2" spans="1:23">
      <c r="A2" s="33" t="s">
        <v>436</v>
      </c>
      <c r="B2" s="2"/>
      <c r="C2" s="2"/>
      <c r="D2" s="2"/>
      <c r="E2" s="2"/>
      <c r="F2" s="2"/>
      <c r="G2" s="2"/>
      <c r="H2" s="29"/>
      <c r="I2" s="2"/>
      <c r="J2" s="2"/>
      <c r="K2" s="29"/>
      <c r="L2" s="2"/>
      <c r="M2" s="2"/>
      <c r="N2" s="29"/>
      <c r="O2" s="2"/>
      <c r="P2" s="2"/>
      <c r="Q2" s="29"/>
      <c r="R2" s="2"/>
      <c r="S2" s="2"/>
      <c r="T2" s="29"/>
      <c r="U2" s="2"/>
      <c r="V2" s="34"/>
      <c r="W2" s="2"/>
    </row>
    <row r="3" spans="1:23">
      <c r="A3" s="1" t="s">
        <v>437</v>
      </c>
      <c r="B3" s="2"/>
      <c r="C3" s="2"/>
      <c r="D3" s="2"/>
      <c r="E3" s="2"/>
      <c r="F3" s="2"/>
      <c r="G3" s="2"/>
      <c r="H3" s="2" t="s">
        <v>438</v>
      </c>
      <c r="I3" s="2"/>
      <c r="J3" s="2"/>
      <c r="K3" s="29"/>
      <c r="L3" s="2"/>
      <c r="M3" s="2"/>
      <c r="N3" s="29"/>
      <c r="O3" s="2"/>
      <c r="P3" s="2"/>
      <c r="Q3" s="29"/>
      <c r="R3" s="2"/>
      <c r="S3" s="2"/>
      <c r="T3" s="29"/>
      <c r="U3" s="2"/>
      <c r="V3" s="34"/>
      <c r="W3" s="2" t="s">
        <v>455</v>
      </c>
    </row>
    <row r="4" spans="1:23">
      <c r="A4" s="2"/>
      <c r="B4" s="2"/>
      <c r="C4" s="2"/>
      <c r="D4" s="2"/>
      <c r="E4" s="2"/>
      <c r="F4" s="2"/>
      <c r="G4" s="2"/>
      <c r="H4" s="29"/>
      <c r="I4" s="2"/>
      <c r="J4" s="34"/>
      <c r="K4" s="29"/>
      <c r="L4" s="2"/>
      <c r="M4" s="34"/>
      <c r="N4" s="29"/>
      <c r="O4" s="2"/>
      <c r="P4" s="34"/>
      <c r="Q4" s="29"/>
      <c r="R4" s="2"/>
      <c r="S4" s="34"/>
      <c r="T4" s="29"/>
      <c r="U4" s="2"/>
      <c r="V4" s="34"/>
      <c r="W4" s="2"/>
    </row>
    <row r="5" spans="1:23">
      <c r="A5" s="2"/>
      <c r="B5" s="2"/>
      <c r="C5" s="2"/>
      <c r="D5" s="2"/>
      <c r="E5" s="2"/>
      <c r="F5" s="2"/>
      <c r="G5" s="2"/>
      <c r="H5" s="35" t="s">
        <v>439</v>
      </c>
      <c r="I5" s="2"/>
      <c r="J5" s="34"/>
      <c r="K5" s="35" t="s">
        <v>439</v>
      </c>
      <c r="L5" s="2"/>
      <c r="M5" s="34"/>
      <c r="N5" s="35" t="s">
        <v>439</v>
      </c>
      <c r="O5" s="2"/>
      <c r="P5" s="34"/>
      <c r="Q5" s="35" t="s">
        <v>439</v>
      </c>
      <c r="R5" s="2"/>
      <c r="S5" s="34"/>
      <c r="T5" s="35" t="s">
        <v>439</v>
      </c>
      <c r="U5" s="2"/>
      <c r="V5" s="34"/>
      <c r="W5" s="2"/>
    </row>
    <row r="6" spans="1:23">
      <c r="A6" s="2"/>
      <c r="B6" s="2"/>
      <c r="C6" s="2"/>
      <c r="D6" s="2"/>
      <c r="E6" s="2"/>
      <c r="F6" s="2"/>
      <c r="G6" s="2"/>
      <c r="H6" s="29" t="s">
        <v>440</v>
      </c>
      <c r="I6" s="2"/>
      <c r="J6" s="34"/>
      <c r="K6" s="29" t="s">
        <v>441</v>
      </c>
      <c r="L6" s="2"/>
      <c r="M6" s="34"/>
      <c r="N6" s="29" t="s">
        <v>442</v>
      </c>
      <c r="O6" s="2"/>
      <c r="P6" s="34"/>
      <c r="Q6" s="29" t="s">
        <v>442</v>
      </c>
      <c r="R6" s="2"/>
      <c r="S6" s="34"/>
      <c r="T6" s="29"/>
      <c r="U6" s="2"/>
      <c r="V6" s="34"/>
      <c r="W6" s="2"/>
    </row>
    <row r="7" spans="1:23">
      <c r="A7" s="2"/>
      <c r="B7" s="2"/>
      <c r="C7" s="2"/>
      <c r="D7" s="2"/>
      <c r="E7" s="2"/>
      <c r="F7" s="2"/>
      <c r="G7" s="2"/>
      <c r="H7" s="29"/>
      <c r="I7" s="2"/>
      <c r="J7" s="34"/>
      <c r="K7" s="29" t="s">
        <v>443</v>
      </c>
      <c r="L7" s="2"/>
      <c r="M7" s="34"/>
      <c r="N7" s="29"/>
      <c r="O7" s="2"/>
      <c r="P7" s="34"/>
      <c r="Q7" s="29"/>
      <c r="R7" s="2"/>
      <c r="S7" s="34"/>
      <c r="T7" s="29"/>
      <c r="U7" s="2"/>
      <c r="V7" s="34"/>
      <c r="W7" s="2" t="s">
        <v>455</v>
      </c>
    </row>
    <row r="8" spans="1:23" ht="18">
      <c r="A8" s="28" t="s">
        <v>444</v>
      </c>
      <c r="B8" s="2"/>
      <c r="C8" s="2"/>
      <c r="D8" s="2"/>
      <c r="E8" s="1"/>
      <c r="F8" s="2"/>
      <c r="G8" s="2"/>
      <c r="H8" s="35" t="s">
        <v>445</v>
      </c>
      <c r="I8" s="36"/>
      <c r="J8" s="37" t="s">
        <v>446</v>
      </c>
      <c r="K8" s="35" t="s">
        <v>447</v>
      </c>
      <c r="L8" s="36"/>
      <c r="M8" s="37" t="s">
        <v>448</v>
      </c>
      <c r="N8" s="35" t="s">
        <v>449</v>
      </c>
      <c r="O8" s="36"/>
      <c r="P8" s="37" t="s">
        <v>450</v>
      </c>
      <c r="Q8" s="35" t="s">
        <v>485</v>
      </c>
      <c r="R8" s="36"/>
      <c r="S8" s="37" t="s">
        <v>452</v>
      </c>
      <c r="T8" s="35" t="s">
        <v>453</v>
      </c>
      <c r="U8" s="2"/>
      <c r="V8" s="38" t="s">
        <v>454</v>
      </c>
      <c r="W8" s="2" t="s">
        <v>455</v>
      </c>
    </row>
    <row r="9" spans="1:23">
      <c r="A9" s="39" t="s">
        <v>456</v>
      </c>
      <c r="B9" s="39" t="s">
        <v>457</v>
      </c>
      <c r="C9" s="39" t="s">
        <v>458</v>
      </c>
      <c r="D9" s="40" t="s">
        <v>15</v>
      </c>
      <c r="E9" s="40" t="s">
        <v>16</v>
      </c>
      <c r="F9" s="40" t="s">
        <v>17</v>
      </c>
      <c r="G9" s="1"/>
      <c r="H9" s="41" t="s">
        <v>421</v>
      </c>
      <c r="I9" s="1" t="s">
        <v>459</v>
      </c>
      <c r="J9" s="42" t="s">
        <v>460</v>
      </c>
      <c r="K9" s="41" t="s">
        <v>421</v>
      </c>
      <c r="L9" s="1" t="s">
        <v>459</v>
      </c>
      <c r="M9" s="42" t="s">
        <v>460</v>
      </c>
      <c r="N9" s="41" t="s">
        <v>421</v>
      </c>
      <c r="O9" s="1" t="s">
        <v>459</v>
      </c>
      <c r="P9" s="42" t="s">
        <v>460</v>
      </c>
      <c r="Q9" s="41" t="s">
        <v>421</v>
      </c>
      <c r="R9" s="1" t="s">
        <v>459</v>
      </c>
      <c r="S9" s="42" t="s">
        <v>460</v>
      </c>
      <c r="T9" s="41" t="s">
        <v>421</v>
      </c>
      <c r="U9" s="1" t="s">
        <v>459</v>
      </c>
      <c r="V9" s="42" t="s">
        <v>460</v>
      </c>
      <c r="W9" s="2" t="s">
        <v>455</v>
      </c>
    </row>
    <row r="10" spans="1:23">
      <c r="A10" s="43">
        <v>1</v>
      </c>
      <c r="B10" s="43" t="s">
        <v>19</v>
      </c>
      <c r="C10" s="43" t="s">
        <v>20</v>
      </c>
      <c r="D10" s="43">
        <v>0</v>
      </c>
      <c r="E10" s="43">
        <v>0</v>
      </c>
      <c r="F10" s="44">
        <f t="shared" ref="F10:F45" si="0">SUM(D10:E10)/2</f>
        <v>0</v>
      </c>
      <c r="G10" s="45"/>
      <c r="H10" s="46">
        <v>30</v>
      </c>
      <c r="I10" s="47">
        <f t="shared" ref="I10:I138" si="1">(H10-F10)^2</f>
        <v>900</v>
      </c>
      <c r="J10" s="48">
        <f t="shared" ref="J10:J138" si="2">ABS(H10-F10)</f>
        <v>30</v>
      </c>
      <c r="K10" s="46">
        <v>25</v>
      </c>
      <c r="L10" s="47">
        <f t="shared" ref="L10:L138" si="3">(K10-F10)^2</f>
        <v>625</v>
      </c>
      <c r="M10" s="48">
        <f t="shared" ref="M10:M138" si="4">ABS(K10-F10)</f>
        <v>25</v>
      </c>
      <c r="N10" s="46">
        <v>30</v>
      </c>
      <c r="O10" s="47">
        <f t="shared" ref="O10:O138" si="5">(N10-F10)^2</f>
        <v>900</v>
      </c>
      <c r="P10" s="48">
        <f t="shared" ref="P10:P138" si="6">ABS(N10-F10)</f>
        <v>30</v>
      </c>
      <c r="Q10" s="46">
        <v>35</v>
      </c>
      <c r="R10" s="47">
        <f t="shared" ref="R10:R138" si="7">(Q10-F10)^2</f>
        <v>1225</v>
      </c>
      <c r="S10" s="48">
        <f t="shared" ref="S10:S138" si="8">ABS(Q10-F10)</f>
        <v>35</v>
      </c>
      <c r="T10" s="29">
        <v>40</v>
      </c>
      <c r="U10" s="47">
        <f t="shared" ref="U10:U138" si="9">(T10-F10)^2</f>
        <v>1600</v>
      </c>
      <c r="V10" s="48">
        <f t="shared" ref="V10:V138" si="10">ABS(T10-F10)</f>
        <v>40</v>
      </c>
      <c r="W10" s="2"/>
    </row>
    <row r="11" spans="1:23">
      <c r="A11" s="49">
        <v>2</v>
      </c>
      <c r="B11" s="49" t="s">
        <v>19</v>
      </c>
      <c r="C11" s="49" t="s">
        <v>23</v>
      </c>
      <c r="D11" s="49">
        <v>20</v>
      </c>
      <c r="E11" s="49">
        <v>0</v>
      </c>
      <c r="F11" s="50">
        <f t="shared" si="0"/>
        <v>10</v>
      </c>
      <c r="G11" s="45"/>
      <c r="H11" s="46">
        <v>20</v>
      </c>
      <c r="I11" s="47">
        <f t="shared" si="1"/>
        <v>100</v>
      </c>
      <c r="J11" s="48">
        <f t="shared" si="2"/>
        <v>10</v>
      </c>
      <c r="K11" s="46">
        <v>35</v>
      </c>
      <c r="L11" s="47">
        <f t="shared" si="3"/>
        <v>625</v>
      </c>
      <c r="M11" s="48">
        <f t="shared" si="4"/>
        <v>25</v>
      </c>
      <c r="N11" s="46">
        <v>25</v>
      </c>
      <c r="O11" s="47">
        <f t="shared" si="5"/>
        <v>225</v>
      </c>
      <c r="P11" s="48">
        <f t="shared" si="6"/>
        <v>15</v>
      </c>
      <c r="Q11" s="46">
        <v>30</v>
      </c>
      <c r="R11" s="47">
        <f t="shared" si="7"/>
        <v>400</v>
      </c>
      <c r="S11" s="48">
        <f t="shared" si="8"/>
        <v>20</v>
      </c>
      <c r="T11" s="29">
        <v>20</v>
      </c>
      <c r="U11" s="47">
        <f t="shared" si="9"/>
        <v>100</v>
      </c>
      <c r="V11" s="48">
        <f t="shared" si="10"/>
        <v>10</v>
      </c>
      <c r="W11" s="2"/>
    </row>
    <row r="12" spans="1:23">
      <c r="A12" s="49">
        <v>3</v>
      </c>
      <c r="B12" s="49" t="s">
        <v>19</v>
      </c>
      <c r="C12" s="49" t="s">
        <v>26</v>
      </c>
      <c r="D12" s="49">
        <v>20</v>
      </c>
      <c r="E12" s="49">
        <v>15</v>
      </c>
      <c r="F12" s="50">
        <f t="shared" si="0"/>
        <v>17.5</v>
      </c>
      <c r="G12" s="45"/>
      <c r="H12" s="46">
        <v>20</v>
      </c>
      <c r="I12" s="47">
        <f t="shared" si="1"/>
        <v>6.25</v>
      </c>
      <c r="J12" s="48">
        <f t="shared" si="2"/>
        <v>2.5</v>
      </c>
      <c r="K12" s="46">
        <v>20</v>
      </c>
      <c r="L12" s="47">
        <f t="shared" si="3"/>
        <v>6.25</v>
      </c>
      <c r="M12" s="48">
        <f t="shared" si="4"/>
        <v>2.5</v>
      </c>
      <c r="N12" s="46">
        <v>25</v>
      </c>
      <c r="O12" s="47">
        <f t="shared" si="5"/>
        <v>56.25</v>
      </c>
      <c r="P12" s="48">
        <f t="shared" si="6"/>
        <v>7.5</v>
      </c>
      <c r="Q12" s="46">
        <v>25</v>
      </c>
      <c r="R12" s="47">
        <f t="shared" si="7"/>
        <v>56.25</v>
      </c>
      <c r="S12" s="48">
        <f t="shared" si="8"/>
        <v>7.5</v>
      </c>
      <c r="T12" s="29">
        <v>20</v>
      </c>
      <c r="U12" s="47">
        <f t="shared" si="9"/>
        <v>6.25</v>
      </c>
      <c r="V12" s="48">
        <f t="shared" si="10"/>
        <v>2.5</v>
      </c>
      <c r="W12" s="2"/>
    </row>
    <row r="13" spans="1:23">
      <c r="A13" s="51">
        <v>4</v>
      </c>
      <c r="B13" s="49" t="s">
        <v>19</v>
      </c>
      <c r="C13" s="50" t="s">
        <v>29</v>
      </c>
      <c r="D13" s="49">
        <v>40</v>
      </c>
      <c r="E13" s="49">
        <v>30</v>
      </c>
      <c r="F13" s="50">
        <f t="shared" si="0"/>
        <v>35</v>
      </c>
      <c r="G13" s="45"/>
      <c r="H13" s="46">
        <v>30</v>
      </c>
      <c r="I13" s="47">
        <f t="shared" si="1"/>
        <v>25</v>
      </c>
      <c r="J13" s="48">
        <f t="shared" si="2"/>
        <v>5</v>
      </c>
      <c r="K13" s="46">
        <v>35</v>
      </c>
      <c r="L13" s="47">
        <f t="shared" si="3"/>
        <v>0</v>
      </c>
      <c r="M13" s="48">
        <f t="shared" si="4"/>
        <v>0</v>
      </c>
      <c r="N13" s="46">
        <v>40</v>
      </c>
      <c r="O13" s="47">
        <f t="shared" si="5"/>
        <v>25</v>
      </c>
      <c r="P13" s="48">
        <f t="shared" si="6"/>
        <v>5</v>
      </c>
      <c r="Q13" s="46">
        <v>30</v>
      </c>
      <c r="R13" s="47">
        <f t="shared" si="7"/>
        <v>25</v>
      </c>
      <c r="S13" s="48">
        <f t="shared" si="8"/>
        <v>5</v>
      </c>
      <c r="T13" s="29">
        <v>35</v>
      </c>
      <c r="U13" s="47">
        <f t="shared" si="9"/>
        <v>0</v>
      </c>
      <c r="V13" s="48">
        <f t="shared" si="10"/>
        <v>0</v>
      </c>
      <c r="W13" s="2"/>
    </row>
    <row r="14" spans="1:23">
      <c r="A14" s="49">
        <v>5</v>
      </c>
      <c r="B14" s="49" t="s">
        <v>19</v>
      </c>
      <c r="C14" s="49" t="s">
        <v>32</v>
      </c>
      <c r="D14" s="49">
        <v>5</v>
      </c>
      <c r="E14" s="49">
        <v>10</v>
      </c>
      <c r="F14" s="50">
        <f t="shared" si="0"/>
        <v>7.5</v>
      </c>
      <c r="G14" s="45"/>
      <c r="H14" s="46">
        <v>10</v>
      </c>
      <c r="I14" s="47">
        <f t="shared" si="1"/>
        <v>6.25</v>
      </c>
      <c r="J14" s="48">
        <f t="shared" si="2"/>
        <v>2.5</v>
      </c>
      <c r="K14" s="29">
        <v>10</v>
      </c>
      <c r="L14" s="47">
        <f t="shared" si="3"/>
        <v>6.25</v>
      </c>
      <c r="M14" s="48">
        <f t="shared" si="4"/>
        <v>2.5</v>
      </c>
      <c r="N14" s="29">
        <v>15</v>
      </c>
      <c r="O14" s="47">
        <f t="shared" si="5"/>
        <v>56.25</v>
      </c>
      <c r="P14" s="48">
        <f t="shared" si="6"/>
        <v>7.5</v>
      </c>
      <c r="Q14" s="29">
        <v>25</v>
      </c>
      <c r="R14" s="47">
        <f t="shared" si="7"/>
        <v>306.25</v>
      </c>
      <c r="S14" s="48">
        <f t="shared" si="8"/>
        <v>17.5</v>
      </c>
      <c r="T14" s="29">
        <v>20</v>
      </c>
      <c r="U14" s="47">
        <f t="shared" si="9"/>
        <v>156.25</v>
      </c>
      <c r="V14" s="48">
        <f t="shared" si="10"/>
        <v>12.5</v>
      </c>
      <c r="W14" s="2"/>
    </row>
    <row r="15" spans="1:23">
      <c r="A15" s="49">
        <v>6</v>
      </c>
      <c r="B15" s="50" t="s">
        <v>19</v>
      </c>
      <c r="C15" s="50" t="s">
        <v>35</v>
      </c>
      <c r="D15" s="49">
        <v>5</v>
      </c>
      <c r="E15" s="49">
        <v>10</v>
      </c>
      <c r="F15" s="50">
        <f t="shared" si="0"/>
        <v>7.5</v>
      </c>
      <c r="G15" s="45"/>
      <c r="H15" s="46">
        <v>20</v>
      </c>
      <c r="I15" s="47">
        <f t="shared" si="1"/>
        <v>156.25</v>
      </c>
      <c r="J15" s="48">
        <f t="shared" si="2"/>
        <v>12.5</v>
      </c>
      <c r="K15" s="46">
        <v>20</v>
      </c>
      <c r="L15" s="47">
        <f t="shared" si="3"/>
        <v>156.25</v>
      </c>
      <c r="M15" s="48">
        <f t="shared" si="4"/>
        <v>12.5</v>
      </c>
      <c r="N15" s="46">
        <v>20</v>
      </c>
      <c r="O15" s="47">
        <f t="shared" si="5"/>
        <v>156.25</v>
      </c>
      <c r="P15" s="48">
        <f t="shared" si="6"/>
        <v>12.5</v>
      </c>
      <c r="Q15" s="46">
        <v>25</v>
      </c>
      <c r="R15" s="47">
        <f t="shared" si="7"/>
        <v>306.25</v>
      </c>
      <c r="S15" s="48">
        <f t="shared" si="8"/>
        <v>17.5</v>
      </c>
      <c r="T15" s="29">
        <v>20</v>
      </c>
      <c r="U15" s="47">
        <f t="shared" si="9"/>
        <v>156.25</v>
      </c>
      <c r="V15" s="48">
        <f t="shared" si="10"/>
        <v>12.5</v>
      </c>
      <c r="W15" s="2"/>
    </row>
    <row r="16" spans="1:23">
      <c r="A16" s="43">
        <v>7</v>
      </c>
      <c r="B16" s="49" t="s">
        <v>19</v>
      </c>
      <c r="C16" s="49" t="s">
        <v>37</v>
      </c>
      <c r="D16" s="49">
        <v>15</v>
      </c>
      <c r="E16" s="49">
        <v>15</v>
      </c>
      <c r="F16" s="50">
        <f t="shared" si="0"/>
        <v>15</v>
      </c>
      <c r="G16" s="45"/>
      <c r="H16" s="46">
        <v>20</v>
      </c>
      <c r="I16" s="47">
        <f t="shared" si="1"/>
        <v>25</v>
      </c>
      <c r="J16" s="48">
        <f t="shared" si="2"/>
        <v>5</v>
      </c>
      <c r="K16" s="46">
        <v>30</v>
      </c>
      <c r="L16" s="47">
        <f t="shared" si="3"/>
        <v>225</v>
      </c>
      <c r="M16" s="48">
        <f t="shared" si="4"/>
        <v>15</v>
      </c>
      <c r="N16" s="46">
        <v>30</v>
      </c>
      <c r="O16" s="47">
        <f t="shared" si="5"/>
        <v>225</v>
      </c>
      <c r="P16" s="48">
        <f t="shared" si="6"/>
        <v>15</v>
      </c>
      <c r="Q16" s="46">
        <v>30</v>
      </c>
      <c r="R16" s="47">
        <f t="shared" si="7"/>
        <v>225</v>
      </c>
      <c r="S16" s="48">
        <f t="shared" si="8"/>
        <v>15</v>
      </c>
      <c r="T16" s="29">
        <v>40</v>
      </c>
      <c r="U16" s="47">
        <f t="shared" si="9"/>
        <v>625</v>
      </c>
      <c r="V16" s="48">
        <f t="shared" si="10"/>
        <v>25</v>
      </c>
      <c r="W16" s="2"/>
    </row>
    <row r="17" spans="1:23">
      <c r="A17" s="49">
        <v>8</v>
      </c>
      <c r="B17" s="49" t="s">
        <v>19</v>
      </c>
      <c r="C17" s="50" t="s">
        <v>40</v>
      </c>
      <c r="D17" s="49">
        <v>25</v>
      </c>
      <c r="E17" s="49">
        <v>10</v>
      </c>
      <c r="F17" s="50">
        <f t="shared" si="0"/>
        <v>17.5</v>
      </c>
      <c r="G17" s="45"/>
      <c r="H17" s="46">
        <v>30</v>
      </c>
      <c r="I17" s="47">
        <f t="shared" si="1"/>
        <v>156.25</v>
      </c>
      <c r="J17" s="48">
        <f t="shared" si="2"/>
        <v>12.5</v>
      </c>
      <c r="K17" s="46">
        <v>25</v>
      </c>
      <c r="L17" s="47">
        <f t="shared" si="3"/>
        <v>56.25</v>
      </c>
      <c r="M17" s="48">
        <f t="shared" si="4"/>
        <v>7.5</v>
      </c>
      <c r="N17" s="46">
        <v>30</v>
      </c>
      <c r="O17" s="47">
        <f t="shared" si="5"/>
        <v>156.25</v>
      </c>
      <c r="P17" s="48">
        <f t="shared" si="6"/>
        <v>12.5</v>
      </c>
      <c r="Q17" s="46">
        <v>25</v>
      </c>
      <c r="R17" s="47">
        <f t="shared" si="7"/>
        <v>56.25</v>
      </c>
      <c r="S17" s="48">
        <f t="shared" si="8"/>
        <v>7.5</v>
      </c>
      <c r="T17" s="29">
        <v>20</v>
      </c>
      <c r="U17" s="47">
        <f t="shared" si="9"/>
        <v>6.25</v>
      </c>
      <c r="V17" s="48">
        <f t="shared" si="10"/>
        <v>2.5</v>
      </c>
      <c r="W17" s="2"/>
    </row>
    <row r="18" spans="1:23">
      <c r="A18" s="49">
        <v>9</v>
      </c>
      <c r="B18" s="49" t="s">
        <v>19</v>
      </c>
      <c r="C18" s="49" t="s">
        <v>43</v>
      </c>
      <c r="D18" s="49">
        <v>25</v>
      </c>
      <c r="E18" s="49">
        <v>25</v>
      </c>
      <c r="F18" s="50">
        <f t="shared" si="0"/>
        <v>25</v>
      </c>
      <c r="G18" s="45"/>
      <c r="H18" s="46">
        <v>20</v>
      </c>
      <c r="I18" s="47">
        <f t="shared" si="1"/>
        <v>25</v>
      </c>
      <c r="J18" s="48">
        <f t="shared" si="2"/>
        <v>5</v>
      </c>
      <c r="K18" s="46">
        <v>25</v>
      </c>
      <c r="L18" s="47">
        <f t="shared" si="3"/>
        <v>0</v>
      </c>
      <c r="M18" s="48">
        <f t="shared" si="4"/>
        <v>0</v>
      </c>
      <c r="N18" s="46">
        <v>25</v>
      </c>
      <c r="O18" s="47">
        <f t="shared" si="5"/>
        <v>0</v>
      </c>
      <c r="P18" s="48">
        <f t="shared" si="6"/>
        <v>0</v>
      </c>
      <c r="Q18" s="46">
        <v>30</v>
      </c>
      <c r="R18" s="47">
        <f t="shared" si="7"/>
        <v>25</v>
      </c>
      <c r="S18" s="48">
        <f t="shared" si="8"/>
        <v>5</v>
      </c>
      <c r="T18" s="29">
        <v>20</v>
      </c>
      <c r="U18" s="47">
        <f t="shared" si="9"/>
        <v>25</v>
      </c>
      <c r="V18" s="48">
        <f t="shared" si="10"/>
        <v>5</v>
      </c>
      <c r="W18" s="2"/>
    </row>
    <row r="19" spans="1:23">
      <c r="A19" s="51">
        <v>10</v>
      </c>
      <c r="B19" s="49" t="s">
        <v>19</v>
      </c>
      <c r="C19" s="49" t="s">
        <v>46</v>
      </c>
      <c r="D19" s="49">
        <v>40</v>
      </c>
      <c r="E19" s="49">
        <v>40</v>
      </c>
      <c r="F19" s="50">
        <f t="shared" si="0"/>
        <v>40</v>
      </c>
      <c r="G19" s="45"/>
      <c r="H19" s="46">
        <v>40</v>
      </c>
      <c r="I19" s="47">
        <f t="shared" si="1"/>
        <v>0</v>
      </c>
      <c r="J19" s="48">
        <f t="shared" si="2"/>
        <v>0</v>
      </c>
      <c r="K19" s="46">
        <v>40</v>
      </c>
      <c r="L19" s="47">
        <f t="shared" si="3"/>
        <v>0</v>
      </c>
      <c r="M19" s="48">
        <f t="shared" si="4"/>
        <v>0</v>
      </c>
      <c r="N19" s="46">
        <v>40</v>
      </c>
      <c r="O19" s="47">
        <f t="shared" si="5"/>
        <v>0</v>
      </c>
      <c r="P19" s="48">
        <f t="shared" si="6"/>
        <v>0</v>
      </c>
      <c r="Q19" s="46">
        <v>40</v>
      </c>
      <c r="R19" s="47">
        <f t="shared" si="7"/>
        <v>0</v>
      </c>
      <c r="S19" s="48">
        <f t="shared" si="8"/>
        <v>0</v>
      </c>
      <c r="T19" s="29">
        <v>40</v>
      </c>
      <c r="U19" s="47">
        <f t="shared" si="9"/>
        <v>0</v>
      </c>
      <c r="V19" s="48">
        <f t="shared" si="10"/>
        <v>0</v>
      </c>
      <c r="W19" s="2"/>
    </row>
    <row r="20" spans="1:23">
      <c r="A20" s="49">
        <v>11</v>
      </c>
      <c r="B20" s="50" t="s">
        <v>19</v>
      </c>
      <c r="C20" s="49" t="s">
        <v>49</v>
      </c>
      <c r="D20" s="49">
        <v>0</v>
      </c>
      <c r="E20" s="49">
        <v>0</v>
      </c>
      <c r="F20" s="50">
        <f t="shared" si="0"/>
        <v>0</v>
      </c>
      <c r="G20" s="45"/>
      <c r="H20" s="46">
        <v>30</v>
      </c>
      <c r="I20" s="47">
        <f t="shared" si="1"/>
        <v>900</v>
      </c>
      <c r="J20" s="48">
        <f t="shared" si="2"/>
        <v>30</v>
      </c>
      <c r="K20" s="46">
        <v>25</v>
      </c>
      <c r="L20" s="47">
        <f t="shared" si="3"/>
        <v>625</v>
      </c>
      <c r="M20" s="48">
        <f t="shared" si="4"/>
        <v>25</v>
      </c>
      <c r="N20" s="46">
        <v>25</v>
      </c>
      <c r="O20" s="47">
        <f t="shared" si="5"/>
        <v>625</v>
      </c>
      <c r="P20" s="48">
        <f t="shared" si="6"/>
        <v>25</v>
      </c>
      <c r="Q20" s="46">
        <v>25</v>
      </c>
      <c r="R20" s="47">
        <f t="shared" si="7"/>
        <v>625</v>
      </c>
      <c r="S20" s="48">
        <f t="shared" si="8"/>
        <v>25</v>
      </c>
      <c r="T20" s="29">
        <v>20</v>
      </c>
      <c r="U20" s="47">
        <f t="shared" si="9"/>
        <v>400</v>
      </c>
      <c r="V20" s="48">
        <f t="shared" si="10"/>
        <v>20</v>
      </c>
      <c r="W20" s="2"/>
    </row>
    <row r="21" spans="1:23">
      <c r="A21" s="49">
        <v>12</v>
      </c>
      <c r="B21" s="49" t="s">
        <v>19</v>
      </c>
      <c r="C21" s="49" t="s">
        <v>52</v>
      </c>
      <c r="D21" s="49">
        <v>40</v>
      </c>
      <c r="E21" s="49">
        <v>40</v>
      </c>
      <c r="F21" s="50">
        <f t="shared" si="0"/>
        <v>40</v>
      </c>
      <c r="G21" s="45"/>
      <c r="H21" s="46">
        <v>30</v>
      </c>
      <c r="I21" s="47">
        <f t="shared" si="1"/>
        <v>100</v>
      </c>
      <c r="J21" s="48">
        <f t="shared" si="2"/>
        <v>10</v>
      </c>
      <c r="K21" s="46">
        <v>40</v>
      </c>
      <c r="L21" s="47">
        <f t="shared" si="3"/>
        <v>0</v>
      </c>
      <c r="M21" s="48">
        <f t="shared" si="4"/>
        <v>0</v>
      </c>
      <c r="N21" s="46">
        <v>40</v>
      </c>
      <c r="O21" s="47">
        <f t="shared" si="5"/>
        <v>0</v>
      </c>
      <c r="P21" s="48">
        <f t="shared" si="6"/>
        <v>0</v>
      </c>
      <c r="Q21" s="46">
        <v>35</v>
      </c>
      <c r="R21" s="47">
        <f t="shared" si="7"/>
        <v>25</v>
      </c>
      <c r="S21" s="48">
        <f t="shared" si="8"/>
        <v>5</v>
      </c>
      <c r="T21" s="29">
        <v>35</v>
      </c>
      <c r="U21" s="47">
        <f t="shared" si="9"/>
        <v>25</v>
      </c>
      <c r="V21" s="48">
        <f t="shared" si="10"/>
        <v>5</v>
      </c>
      <c r="W21" s="2"/>
    </row>
    <row r="22" spans="1:23">
      <c r="A22" s="43">
        <v>13</v>
      </c>
      <c r="B22" s="50" t="s">
        <v>19</v>
      </c>
      <c r="C22" s="50" t="s">
        <v>55</v>
      </c>
      <c r="D22" s="49">
        <v>0</v>
      </c>
      <c r="E22" s="49">
        <v>10</v>
      </c>
      <c r="F22" s="50">
        <f t="shared" si="0"/>
        <v>5</v>
      </c>
      <c r="G22" s="45"/>
      <c r="H22" s="46">
        <v>20</v>
      </c>
      <c r="I22" s="47">
        <f t="shared" si="1"/>
        <v>225</v>
      </c>
      <c r="J22" s="48">
        <f t="shared" si="2"/>
        <v>15</v>
      </c>
      <c r="K22" s="46">
        <v>20</v>
      </c>
      <c r="L22" s="47">
        <f t="shared" si="3"/>
        <v>225</v>
      </c>
      <c r="M22" s="48">
        <f t="shared" si="4"/>
        <v>15</v>
      </c>
      <c r="N22" s="46">
        <v>20</v>
      </c>
      <c r="O22" s="47">
        <f t="shared" si="5"/>
        <v>225</v>
      </c>
      <c r="P22" s="48">
        <f t="shared" si="6"/>
        <v>15</v>
      </c>
      <c r="Q22" s="46">
        <v>20</v>
      </c>
      <c r="R22" s="47">
        <f t="shared" si="7"/>
        <v>225</v>
      </c>
      <c r="S22" s="48">
        <f t="shared" si="8"/>
        <v>15</v>
      </c>
      <c r="T22" s="29">
        <v>20</v>
      </c>
      <c r="U22" s="47">
        <f t="shared" si="9"/>
        <v>225</v>
      </c>
      <c r="V22" s="48">
        <f t="shared" si="10"/>
        <v>15</v>
      </c>
      <c r="W22" s="2"/>
    </row>
    <row r="23" spans="1:23">
      <c r="A23" s="49">
        <v>15</v>
      </c>
      <c r="B23" s="50" t="s">
        <v>19</v>
      </c>
      <c r="C23" s="49" t="s">
        <v>61</v>
      </c>
      <c r="D23" s="49">
        <v>27</v>
      </c>
      <c r="E23" s="49">
        <v>25</v>
      </c>
      <c r="F23" s="50">
        <f t="shared" si="0"/>
        <v>26</v>
      </c>
      <c r="G23" s="45"/>
      <c r="H23" s="46">
        <v>30</v>
      </c>
      <c r="I23" s="47">
        <f t="shared" si="1"/>
        <v>16</v>
      </c>
      <c r="J23" s="48">
        <f t="shared" si="2"/>
        <v>4</v>
      </c>
      <c r="K23" s="46">
        <v>30</v>
      </c>
      <c r="L23" s="47">
        <f t="shared" si="3"/>
        <v>16</v>
      </c>
      <c r="M23" s="48">
        <f t="shared" si="4"/>
        <v>4</v>
      </c>
      <c r="N23" s="46">
        <v>35</v>
      </c>
      <c r="O23" s="47">
        <f t="shared" si="5"/>
        <v>81</v>
      </c>
      <c r="P23" s="48">
        <f t="shared" si="6"/>
        <v>9</v>
      </c>
      <c r="Q23" s="46">
        <v>30</v>
      </c>
      <c r="R23" s="47">
        <f t="shared" si="7"/>
        <v>16</v>
      </c>
      <c r="S23" s="48">
        <f t="shared" si="8"/>
        <v>4</v>
      </c>
      <c r="T23" s="29">
        <v>35</v>
      </c>
      <c r="U23" s="47">
        <f t="shared" si="9"/>
        <v>81</v>
      </c>
      <c r="V23" s="48">
        <f t="shared" si="10"/>
        <v>9</v>
      </c>
      <c r="W23" s="2"/>
    </row>
    <row r="24" spans="1:23">
      <c r="A24" s="43">
        <v>16</v>
      </c>
      <c r="B24" s="50" t="s">
        <v>19</v>
      </c>
      <c r="C24" s="50" t="s">
        <v>64</v>
      </c>
      <c r="D24" s="49">
        <v>38</v>
      </c>
      <c r="E24" s="49">
        <v>35</v>
      </c>
      <c r="F24" s="50">
        <f t="shared" si="0"/>
        <v>36.5</v>
      </c>
      <c r="G24" s="45"/>
      <c r="H24" s="46">
        <v>30</v>
      </c>
      <c r="I24" s="47">
        <f t="shared" si="1"/>
        <v>42.25</v>
      </c>
      <c r="J24" s="48">
        <f t="shared" si="2"/>
        <v>6.5</v>
      </c>
      <c r="K24" s="46">
        <v>40</v>
      </c>
      <c r="L24" s="47">
        <f t="shared" si="3"/>
        <v>12.25</v>
      </c>
      <c r="M24" s="48">
        <f t="shared" si="4"/>
        <v>3.5</v>
      </c>
      <c r="N24" s="46">
        <v>40</v>
      </c>
      <c r="O24" s="47">
        <f t="shared" si="5"/>
        <v>12.25</v>
      </c>
      <c r="P24" s="48">
        <f t="shared" si="6"/>
        <v>3.5</v>
      </c>
      <c r="Q24" s="46">
        <v>35</v>
      </c>
      <c r="R24" s="47">
        <f t="shared" si="7"/>
        <v>2.25</v>
      </c>
      <c r="S24" s="48">
        <f t="shared" si="8"/>
        <v>1.5</v>
      </c>
      <c r="T24" s="29">
        <v>35</v>
      </c>
      <c r="U24" s="47">
        <f t="shared" si="9"/>
        <v>2.25</v>
      </c>
      <c r="V24" s="48">
        <f t="shared" si="10"/>
        <v>1.5</v>
      </c>
      <c r="W24" s="2"/>
    </row>
    <row r="25" spans="1:23">
      <c r="A25" s="49">
        <v>17</v>
      </c>
      <c r="B25" s="50" t="s">
        <v>19</v>
      </c>
      <c r="C25" s="50" t="s">
        <v>67</v>
      </c>
      <c r="D25" s="49">
        <v>20</v>
      </c>
      <c r="E25" s="49">
        <v>20</v>
      </c>
      <c r="F25" s="50">
        <f t="shared" si="0"/>
        <v>20</v>
      </c>
      <c r="G25" s="45"/>
      <c r="H25" s="46">
        <v>30</v>
      </c>
      <c r="I25" s="47">
        <f t="shared" si="1"/>
        <v>100</v>
      </c>
      <c r="J25" s="48">
        <f t="shared" si="2"/>
        <v>10</v>
      </c>
      <c r="K25" s="46">
        <v>40</v>
      </c>
      <c r="L25" s="47">
        <f t="shared" si="3"/>
        <v>400</v>
      </c>
      <c r="M25" s="48">
        <f t="shared" si="4"/>
        <v>20</v>
      </c>
      <c r="N25" s="46">
        <v>35</v>
      </c>
      <c r="O25" s="47">
        <f t="shared" si="5"/>
        <v>225</v>
      </c>
      <c r="P25" s="48">
        <f t="shared" si="6"/>
        <v>15</v>
      </c>
      <c r="Q25" s="46">
        <v>35</v>
      </c>
      <c r="R25" s="47">
        <f t="shared" si="7"/>
        <v>225</v>
      </c>
      <c r="S25" s="48">
        <f t="shared" si="8"/>
        <v>15</v>
      </c>
      <c r="T25" s="29">
        <v>40</v>
      </c>
      <c r="U25" s="47">
        <f t="shared" si="9"/>
        <v>400</v>
      </c>
      <c r="V25" s="48">
        <f t="shared" si="10"/>
        <v>20</v>
      </c>
      <c r="W25" s="2"/>
    </row>
    <row r="26" spans="1:23">
      <c r="A26" s="49">
        <v>18</v>
      </c>
      <c r="B26" s="50" t="s">
        <v>19</v>
      </c>
      <c r="C26" s="49" t="s">
        <v>70</v>
      </c>
      <c r="D26" s="49">
        <v>10</v>
      </c>
      <c r="E26" s="49">
        <v>15</v>
      </c>
      <c r="F26" s="50">
        <f t="shared" si="0"/>
        <v>12.5</v>
      </c>
      <c r="G26" s="45"/>
      <c r="H26" s="46">
        <v>30</v>
      </c>
      <c r="I26" s="47">
        <f t="shared" si="1"/>
        <v>306.25</v>
      </c>
      <c r="J26" s="48">
        <f t="shared" si="2"/>
        <v>17.5</v>
      </c>
      <c r="K26" s="46">
        <v>30</v>
      </c>
      <c r="L26" s="47">
        <f t="shared" si="3"/>
        <v>306.25</v>
      </c>
      <c r="M26" s="48">
        <f t="shared" si="4"/>
        <v>17.5</v>
      </c>
      <c r="N26" s="46">
        <v>30</v>
      </c>
      <c r="O26" s="47">
        <f t="shared" si="5"/>
        <v>306.25</v>
      </c>
      <c r="P26" s="48">
        <f t="shared" si="6"/>
        <v>17.5</v>
      </c>
      <c r="Q26" s="46">
        <v>30</v>
      </c>
      <c r="R26" s="47">
        <f t="shared" si="7"/>
        <v>306.25</v>
      </c>
      <c r="S26" s="48">
        <f t="shared" si="8"/>
        <v>17.5</v>
      </c>
      <c r="T26" s="29">
        <v>30</v>
      </c>
      <c r="U26" s="47">
        <f t="shared" si="9"/>
        <v>306.25</v>
      </c>
      <c r="V26" s="48">
        <f t="shared" si="10"/>
        <v>17.5</v>
      </c>
      <c r="W26" s="2"/>
    </row>
    <row r="27" spans="1:23">
      <c r="A27" s="51">
        <v>19</v>
      </c>
      <c r="B27" s="50" t="s">
        <v>19</v>
      </c>
      <c r="C27" s="50" t="s">
        <v>73</v>
      </c>
      <c r="D27" s="49">
        <v>20</v>
      </c>
      <c r="E27" s="49">
        <v>0</v>
      </c>
      <c r="F27" s="50">
        <f t="shared" si="0"/>
        <v>10</v>
      </c>
      <c r="G27" s="45"/>
      <c r="H27" s="46">
        <v>20</v>
      </c>
      <c r="I27" s="47">
        <f t="shared" si="1"/>
        <v>100</v>
      </c>
      <c r="J27" s="48">
        <f t="shared" si="2"/>
        <v>10</v>
      </c>
      <c r="K27" s="46">
        <v>20</v>
      </c>
      <c r="L27" s="47">
        <f t="shared" si="3"/>
        <v>100</v>
      </c>
      <c r="M27" s="48">
        <f t="shared" si="4"/>
        <v>10</v>
      </c>
      <c r="N27" s="46">
        <v>20</v>
      </c>
      <c r="O27" s="47">
        <f t="shared" si="5"/>
        <v>100</v>
      </c>
      <c r="P27" s="48">
        <f t="shared" si="6"/>
        <v>10</v>
      </c>
      <c r="Q27" s="46">
        <v>25</v>
      </c>
      <c r="R27" s="47">
        <f t="shared" si="7"/>
        <v>225</v>
      </c>
      <c r="S27" s="48">
        <f t="shared" si="8"/>
        <v>15</v>
      </c>
      <c r="T27" s="29">
        <v>20</v>
      </c>
      <c r="U27" s="47">
        <f t="shared" si="9"/>
        <v>100</v>
      </c>
      <c r="V27" s="48">
        <f t="shared" si="10"/>
        <v>10</v>
      </c>
      <c r="W27" s="2"/>
    </row>
    <row r="28" spans="1:23">
      <c r="A28" s="49">
        <v>20</v>
      </c>
      <c r="B28" s="50" t="s">
        <v>19</v>
      </c>
      <c r="C28" s="50" t="s">
        <v>76</v>
      </c>
      <c r="D28" s="49">
        <v>30</v>
      </c>
      <c r="E28" s="49">
        <v>25</v>
      </c>
      <c r="F28" s="50">
        <f t="shared" si="0"/>
        <v>27.5</v>
      </c>
      <c r="G28" s="45"/>
      <c r="H28" s="46">
        <v>30</v>
      </c>
      <c r="I28" s="47">
        <f t="shared" si="1"/>
        <v>6.25</v>
      </c>
      <c r="J28" s="48">
        <f t="shared" si="2"/>
        <v>2.5</v>
      </c>
      <c r="K28" s="46">
        <v>35</v>
      </c>
      <c r="L28" s="47">
        <f t="shared" si="3"/>
        <v>56.25</v>
      </c>
      <c r="M28" s="48">
        <f t="shared" si="4"/>
        <v>7.5</v>
      </c>
      <c r="N28" s="46">
        <v>35</v>
      </c>
      <c r="O28" s="47">
        <f t="shared" si="5"/>
        <v>56.25</v>
      </c>
      <c r="P28" s="48">
        <f t="shared" si="6"/>
        <v>7.5</v>
      </c>
      <c r="Q28" s="46">
        <v>35</v>
      </c>
      <c r="R28" s="47">
        <f t="shared" si="7"/>
        <v>56.25</v>
      </c>
      <c r="S28" s="48">
        <f t="shared" si="8"/>
        <v>7.5</v>
      </c>
      <c r="T28" s="29">
        <v>30</v>
      </c>
      <c r="U28" s="47">
        <f t="shared" si="9"/>
        <v>6.25</v>
      </c>
      <c r="V28" s="48">
        <f t="shared" si="10"/>
        <v>2.5</v>
      </c>
      <c r="W28" s="2"/>
    </row>
    <row r="29" spans="1:23">
      <c r="A29" s="49">
        <v>21</v>
      </c>
      <c r="B29" s="50" t="s">
        <v>19</v>
      </c>
      <c r="C29" s="50" t="s">
        <v>79</v>
      </c>
      <c r="D29" s="49">
        <v>20</v>
      </c>
      <c r="E29" s="49">
        <v>10</v>
      </c>
      <c r="F29" s="50">
        <f t="shared" si="0"/>
        <v>15</v>
      </c>
      <c r="G29" s="45"/>
      <c r="H29" s="46">
        <v>30</v>
      </c>
      <c r="I29" s="47">
        <f t="shared" si="1"/>
        <v>225</v>
      </c>
      <c r="J29" s="48">
        <f t="shared" si="2"/>
        <v>15</v>
      </c>
      <c r="K29" s="46">
        <v>30</v>
      </c>
      <c r="L29" s="47">
        <f t="shared" si="3"/>
        <v>225</v>
      </c>
      <c r="M29" s="48">
        <f t="shared" si="4"/>
        <v>15</v>
      </c>
      <c r="N29" s="46">
        <v>10</v>
      </c>
      <c r="O29" s="47">
        <f t="shared" si="5"/>
        <v>25</v>
      </c>
      <c r="P29" s="48">
        <f t="shared" si="6"/>
        <v>5</v>
      </c>
      <c r="Q29" s="46">
        <v>35</v>
      </c>
      <c r="R29" s="47">
        <f t="shared" si="7"/>
        <v>400</v>
      </c>
      <c r="S29" s="48">
        <f t="shared" si="8"/>
        <v>20</v>
      </c>
      <c r="T29" s="29">
        <v>20</v>
      </c>
      <c r="U29" s="47">
        <f t="shared" si="9"/>
        <v>25</v>
      </c>
      <c r="V29" s="48">
        <f t="shared" si="10"/>
        <v>5</v>
      </c>
      <c r="W29" s="2"/>
    </row>
    <row r="30" spans="1:23">
      <c r="A30" s="43">
        <v>22</v>
      </c>
      <c r="B30" s="49" t="s">
        <v>19</v>
      </c>
      <c r="C30" s="50" t="s">
        <v>82</v>
      </c>
      <c r="D30" s="49">
        <v>20</v>
      </c>
      <c r="E30" s="49">
        <v>20</v>
      </c>
      <c r="F30" s="50">
        <f t="shared" si="0"/>
        <v>20</v>
      </c>
      <c r="G30" s="45"/>
      <c r="H30" s="46">
        <v>30</v>
      </c>
      <c r="I30" s="47">
        <f t="shared" si="1"/>
        <v>100</v>
      </c>
      <c r="J30" s="48">
        <f t="shared" si="2"/>
        <v>10</v>
      </c>
      <c r="K30" s="46">
        <v>35</v>
      </c>
      <c r="L30" s="47">
        <f t="shared" si="3"/>
        <v>225</v>
      </c>
      <c r="M30" s="48">
        <f t="shared" si="4"/>
        <v>15</v>
      </c>
      <c r="N30" s="46">
        <v>35</v>
      </c>
      <c r="O30" s="47">
        <f t="shared" si="5"/>
        <v>225</v>
      </c>
      <c r="P30" s="48">
        <f t="shared" si="6"/>
        <v>15</v>
      </c>
      <c r="Q30" s="46">
        <v>30</v>
      </c>
      <c r="R30" s="47">
        <f t="shared" si="7"/>
        <v>100</v>
      </c>
      <c r="S30" s="48">
        <f t="shared" si="8"/>
        <v>10</v>
      </c>
      <c r="T30" s="29">
        <v>35</v>
      </c>
      <c r="U30" s="47">
        <f t="shared" si="9"/>
        <v>225</v>
      </c>
      <c r="V30" s="48">
        <f t="shared" si="10"/>
        <v>15</v>
      </c>
      <c r="W30" s="2"/>
    </row>
    <row r="31" spans="1:23">
      <c r="A31" s="49">
        <v>23</v>
      </c>
      <c r="B31" s="50" t="s">
        <v>19</v>
      </c>
      <c r="C31" s="50" t="s">
        <v>85</v>
      </c>
      <c r="D31" s="49">
        <v>40</v>
      </c>
      <c r="E31" s="49">
        <v>35</v>
      </c>
      <c r="F31" s="50">
        <f t="shared" si="0"/>
        <v>37.5</v>
      </c>
      <c r="G31" s="45"/>
      <c r="H31" s="46">
        <v>30</v>
      </c>
      <c r="I31" s="47">
        <f t="shared" si="1"/>
        <v>56.25</v>
      </c>
      <c r="J31" s="48">
        <f t="shared" si="2"/>
        <v>7.5</v>
      </c>
      <c r="K31" s="46">
        <v>25</v>
      </c>
      <c r="L31" s="47">
        <f t="shared" si="3"/>
        <v>156.25</v>
      </c>
      <c r="M31" s="48">
        <f t="shared" si="4"/>
        <v>12.5</v>
      </c>
      <c r="N31" s="46">
        <v>35</v>
      </c>
      <c r="O31" s="47">
        <f t="shared" si="5"/>
        <v>6.25</v>
      </c>
      <c r="P31" s="48">
        <f t="shared" si="6"/>
        <v>2.5</v>
      </c>
      <c r="Q31" s="46">
        <v>30</v>
      </c>
      <c r="R31" s="47">
        <f t="shared" si="7"/>
        <v>56.25</v>
      </c>
      <c r="S31" s="48">
        <f t="shared" si="8"/>
        <v>7.5</v>
      </c>
      <c r="T31" s="29">
        <v>40</v>
      </c>
      <c r="U31" s="47">
        <f t="shared" si="9"/>
        <v>6.25</v>
      </c>
      <c r="V31" s="48">
        <f t="shared" si="10"/>
        <v>2.5</v>
      </c>
      <c r="W31" s="2"/>
    </row>
    <row r="32" spans="1:23">
      <c r="A32" s="49">
        <v>24</v>
      </c>
      <c r="B32" s="50" t="s">
        <v>19</v>
      </c>
      <c r="C32" s="50" t="s">
        <v>88</v>
      </c>
      <c r="D32" s="49">
        <v>15</v>
      </c>
      <c r="E32" s="49">
        <v>20</v>
      </c>
      <c r="F32" s="50">
        <f t="shared" si="0"/>
        <v>17.5</v>
      </c>
      <c r="G32" s="45"/>
      <c r="H32" s="46">
        <v>30</v>
      </c>
      <c r="I32" s="47">
        <f t="shared" si="1"/>
        <v>156.25</v>
      </c>
      <c r="J32" s="48">
        <f t="shared" si="2"/>
        <v>12.5</v>
      </c>
      <c r="K32" s="46">
        <v>35</v>
      </c>
      <c r="L32" s="47">
        <f t="shared" si="3"/>
        <v>306.25</v>
      </c>
      <c r="M32" s="48">
        <f t="shared" si="4"/>
        <v>17.5</v>
      </c>
      <c r="N32" s="46">
        <v>30</v>
      </c>
      <c r="O32" s="47">
        <f t="shared" si="5"/>
        <v>156.25</v>
      </c>
      <c r="P32" s="48">
        <f t="shared" si="6"/>
        <v>12.5</v>
      </c>
      <c r="Q32" s="46">
        <v>35</v>
      </c>
      <c r="R32" s="47">
        <f t="shared" si="7"/>
        <v>306.25</v>
      </c>
      <c r="S32" s="48">
        <f t="shared" si="8"/>
        <v>17.5</v>
      </c>
      <c r="T32" s="29">
        <v>40</v>
      </c>
      <c r="U32" s="47">
        <f t="shared" si="9"/>
        <v>506.25</v>
      </c>
      <c r="V32" s="48">
        <f t="shared" si="10"/>
        <v>22.5</v>
      </c>
      <c r="W32" s="2"/>
    </row>
    <row r="33" spans="1:23">
      <c r="A33" s="51">
        <v>25</v>
      </c>
      <c r="B33" s="50" t="s">
        <v>19</v>
      </c>
      <c r="C33" s="49" t="s">
        <v>91</v>
      </c>
      <c r="D33" s="49">
        <v>40</v>
      </c>
      <c r="E33" s="49">
        <v>40</v>
      </c>
      <c r="F33" s="50">
        <f t="shared" si="0"/>
        <v>40</v>
      </c>
      <c r="G33" s="45"/>
      <c r="H33" s="46">
        <v>20</v>
      </c>
      <c r="I33" s="47">
        <f t="shared" si="1"/>
        <v>400</v>
      </c>
      <c r="J33" s="48">
        <f t="shared" si="2"/>
        <v>20</v>
      </c>
      <c r="K33" s="46">
        <v>40</v>
      </c>
      <c r="L33" s="47">
        <f t="shared" si="3"/>
        <v>0</v>
      </c>
      <c r="M33" s="48">
        <f t="shared" si="4"/>
        <v>0</v>
      </c>
      <c r="N33" s="46">
        <v>30</v>
      </c>
      <c r="O33" s="47">
        <f t="shared" si="5"/>
        <v>100</v>
      </c>
      <c r="P33" s="48">
        <f t="shared" si="6"/>
        <v>10</v>
      </c>
      <c r="Q33" s="46">
        <v>35</v>
      </c>
      <c r="R33" s="47">
        <f t="shared" si="7"/>
        <v>25</v>
      </c>
      <c r="S33" s="48">
        <f t="shared" si="8"/>
        <v>5</v>
      </c>
      <c r="T33" s="29">
        <v>40</v>
      </c>
      <c r="U33" s="47">
        <f t="shared" si="9"/>
        <v>0</v>
      </c>
      <c r="V33" s="48">
        <f t="shared" si="10"/>
        <v>0</v>
      </c>
      <c r="W33" s="2"/>
    </row>
    <row r="34" spans="1:23">
      <c r="A34" s="49">
        <v>26</v>
      </c>
      <c r="B34" s="50" t="s">
        <v>19</v>
      </c>
      <c r="C34" s="49" t="s">
        <v>94</v>
      </c>
      <c r="D34" s="49">
        <v>40</v>
      </c>
      <c r="E34" s="49">
        <v>40</v>
      </c>
      <c r="F34" s="50">
        <f t="shared" si="0"/>
        <v>40</v>
      </c>
      <c r="G34" s="45"/>
      <c r="H34" s="46">
        <v>30</v>
      </c>
      <c r="I34" s="47">
        <f t="shared" si="1"/>
        <v>100</v>
      </c>
      <c r="J34" s="48">
        <f t="shared" si="2"/>
        <v>10</v>
      </c>
      <c r="K34" s="46">
        <v>40</v>
      </c>
      <c r="L34" s="47">
        <f t="shared" si="3"/>
        <v>0</v>
      </c>
      <c r="M34" s="48">
        <f t="shared" si="4"/>
        <v>0</v>
      </c>
      <c r="N34" s="46">
        <v>35</v>
      </c>
      <c r="O34" s="47">
        <f t="shared" si="5"/>
        <v>25</v>
      </c>
      <c r="P34" s="48">
        <f t="shared" si="6"/>
        <v>5</v>
      </c>
      <c r="Q34" s="46">
        <v>35</v>
      </c>
      <c r="R34" s="47">
        <f t="shared" si="7"/>
        <v>25</v>
      </c>
      <c r="S34" s="48">
        <f t="shared" si="8"/>
        <v>5</v>
      </c>
      <c r="T34" s="29">
        <v>35</v>
      </c>
      <c r="U34" s="47">
        <f t="shared" si="9"/>
        <v>25</v>
      </c>
      <c r="V34" s="48">
        <f t="shared" si="10"/>
        <v>5</v>
      </c>
      <c r="W34" s="2"/>
    </row>
    <row r="35" spans="1:23">
      <c r="A35" s="51">
        <v>28</v>
      </c>
      <c r="B35" s="49" t="s">
        <v>19</v>
      </c>
      <c r="C35" s="50" t="s">
        <v>100</v>
      </c>
      <c r="D35" s="49">
        <v>20</v>
      </c>
      <c r="E35" s="49">
        <v>35</v>
      </c>
      <c r="F35" s="50">
        <f t="shared" si="0"/>
        <v>27.5</v>
      </c>
      <c r="G35" s="45"/>
      <c r="H35" s="46">
        <v>30</v>
      </c>
      <c r="I35" s="47">
        <f t="shared" si="1"/>
        <v>6.25</v>
      </c>
      <c r="J35" s="48">
        <f t="shared" si="2"/>
        <v>2.5</v>
      </c>
      <c r="K35" s="46">
        <v>35</v>
      </c>
      <c r="L35" s="47">
        <f t="shared" si="3"/>
        <v>56.25</v>
      </c>
      <c r="M35" s="48">
        <f t="shared" si="4"/>
        <v>7.5</v>
      </c>
      <c r="N35" s="46">
        <v>40</v>
      </c>
      <c r="O35" s="47">
        <f t="shared" si="5"/>
        <v>156.25</v>
      </c>
      <c r="P35" s="48">
        <f t="shared" si="6"/>
        <v>12.5</v>
      </c>
      <c r="Q35" s="46">
        <v>35</v>
      </c>
      <c r="R35" s="47">
        <f t="shared" si="7"/>
        <v>56.25</v>
      </c>
      <c r="S35" s="48">
        <f t="shared" si="8"/>
        <v>7.5</v>
      </c>
      <c r="T35" s="29">
        <v>35</v>
      </c>
      <c r="U35" s="47">
        <f t="shared" si="9"/>
        <v>56.25</v>
      </c>
      <c r="V35" s="48">
        <f t="shared" si="10"/>
        <v>7.5</v>
      </c>
      <c r="W35" s="2"/>
    </row>
    <row r="36" spans="1:23">
      <c r="A36" s="49">
        <v>29</v>
      </c>
      <c r="B36" s="50" t="s">
        <v>19</v>
      </c>
      <c r="C36" s="49" t="s">
        <v>103</v>
      </c>
      <c r="D36" s="49">
        <v>20</v>
      </c>
      <c r="E36" s="49">
        <v>25</v>
      </c>
      <c r="F36" s="50">
        <f t="shared" si="0"/>
        <v>22.5</v>
      </c>
      <c r="G36" s="45"/>
      <c r="H36" s="46">
        <v>20</v>
      </c>
      <c r="I36" s="47">
        <f t="shared" si="1"/>
        <v>6.25</v>
      </c>
      <c r="J36" s="48">
        <f t="shared" si="2"/>
        <v>2.5</v>
      </c>
      <c r="K36" s="46">
        <v>10</v>
      </c>
      <c r="L36" s="47">
        <f t="shared" si="3"/>
        <v>156.25</v>
      </c>
      <c r="M36" s="48">
        <f t="shared" si="4"/>
        <v>12.5</v>
      </c>
      <c r="N36" s="46">
        <v>10</v>
      </c>
      <c r="O36" s="47">
        <f t="shared" si="5"/>
        <v>156.25</v>
      </c>
      <c r="P36" s="48">
        <f t="shared" si="6"/>
        <v>12.5</v>
      </c>
      <c r="Q36" s="46">
        <v>25</v>
      </c>
      <c r="R36" s="47">
        <f t="shared" si="7"/>
        <v>6.25</v>
      </c>
      <c r="S36" s="48">
        <f t="shared" si="8"/>
        <v>2.5</v>
      </c>
      <c r="T36" s="29">
        <v>30</v>
      </c>
      <c r="U36" s="47">
        <f t="shared" si="9"/>
        <v>56.25</v>
      </c>
      <c r="V36" s="48">
        <f t="shared" si="10"/>
        <v>7.5</v>
      </c>
      <c r="W36" s="2"/>
    </row>
    <row r="37" spans="1:23">
      <c r="A37" s="49">
        <v>30</v>
      </c>
      <c r="B37" s="50" t="s">
        <v>19</v>
      </c>
      <c r="C37" s="49" t="s">
        <v>106</v>
      </c>
      <c r="D37" s="49">
        <v>35</v>
      </c>
      <c r="E37" s="49">
        <v>30</v>
      </c>
      <c r="F37" s="50">
        <f t="shared" si="0"/>
        <v>32.5</v>
      </c>
      <c r="G37" s="45"/>
      <c r="H37" s="46">
        <v>20</v>
      </c>
      <c r="I37" s="47">
        <f t="shared" si="1"/>
        <v>156.25</v>
      </c>
      <c r="J37" s="48">
        <f t="shared" si="2"/>
        <v>12.5</v>
      </c>
      <c r="K37" s="46">
        <v>30</v>
      </c>
      <c r="L37" s="47">
        <f t="shared" si="3"/>
        <v>6.25</v>
      </c>
      <c r="M37" s="48">
        <f t="shared" si="4"/>
        <v>2.5</v>
      </c>
      <c r="N37" s="46">
        <v>25</v>
      </c>
      <c r="O37" s="47">
        <f t="shared" si="5"/>
        <v>56.25</v>
      </c>
      <c r="P37" s="48">
        <f t="shared" si="6"/>
        <v>7.5</v>
      </c>
      <c r="Q37" s="46">
        <v>35</v>
      </c>
      <c r="R37" s="47">
        <f t="shared" si="7"/>
        <v>6.25</v>
      </c>
      <c r="S37" s="48">
        <f t="shared" si="8"/>
        <v>2.5</v>
      </c>
      <c r="T37" s="29">
        <v>30</v>
      </c>
      <c r="U37" s="47">
        <f t="shared" si="9"/>
        <v>6.25</v>
      </c>
      <c r="V37" s="48">
        <f t="shared" si="10"/>
        <v>2.5</v>
      </c>
      <c r="W37" s="2"/>
    </row>
    <row r="38" spans="1:23">
      <c r="A38" s="43">
        <v>31</v>
      </c>
      <c r="B38" s="50" t="s">
        <v>19</v>
      </c>
      <c r="C38" s="49" t="s">
        <v>109</v>
      </c>
      <c r="D38" s="49">
        <v>30</v>
      </c>
      <c r="E38" s="49">
        <v>35</v>
      </c>
      <c r="F38" s="50">
        <f t="shared" si="0"/>
        <v>32.5</v>
      </c>
      <c r="G38" s="45"/>
      <c r="H38" s="46">
        <v>10</v>
      </c>
      <c r="I38" s="47">
        <f t="shared" si="1"/>
        <v>506.25</v>
      </c>
      <c r="J38" s="48">
        <f t="shared" si="2"/>
        <v>22.5</v>
      </c>
      <c r="K38" s="46">
        <v>15</v>
      </c>
      <c r="L38" s="47">
        <f t="shared" si="3"/>
        <v>306.25</v>
      </c>
      <c r="M38" s="48">
        <f t="shared" si="4"/>
        <v>17.5</v>
      </c>
      <c r="N38" s="46">
        <v>10</v>
      </c>
      <c r="O38" s="47">
        <f t="shared" si="5"/>
        <v>506.25</v>
      </c>
      <c r="P38" s="48">
        <f t="shared" si="6"/>
        <v>22.5</v>
      </c>
      <c r="Q38" s="46">
        <v>20</v>
      </c>
      <c r="R38" s="47">
        <f t="shared" si="7"/>
        <v>156.25</v>
      </c>
      <c r="S38" s="48">
        <f t="shared" si="8"/>
        <v>12.5</v>
      </c>
      <c r="T38" s="29">
        <v>20</v>
      </c>
      <c r="U38" s="47">
        <f t="shared" si="9"/>
        <v>156.25</v>
      </c>
      <c r="V38" s="48">
        <f t="shared" si="10"/>
        <v>12.5</v>
      </c>
      <c r="W38" s="2"/>
    </row>
    <row r="39" spans="1:23">
      <c r="A39" s="49">
        <v>32</v>
      </c>
      <c r="B39" s="50" t="s">
        <v>19</v>
      </c>
      <c r="C39" s="49" t="s">
        <v>112</v>
      </c>
      <c r="D39" s="49">
        <v>20</v>
      </c>
      <c r="E39" s="49">
        <v>25</v>
      </c>
      <c r="F39" s="50">
        <f t="shared" si="0"/>
        <v>22.5</v>
      </c>
      <c r="G39" s="45"/>
      <c r="H39" s="46">
        <v>30</v>
      </c>
      <c r="I39" s="47">
        <f t="shared" si="1"/>
        <v>56.25</v>
      </c>
      <c r="J39" s="48">
        <f t="shared" si="2"/>
        <v>7.5</v>
      </c>
      <c r="K39" s="46">
        <v>25</v>
      </c>
      <c r="L39" s="47">
        <f t="shared" si="3"/>
        <v>6.25</v>
      </c>
      <c r="M39" s="48">
        <f t="shared" si="4"/>
        <v>2.5</v>
      </c>
      <c r="N39" s="46">
        <v>35</v>
      </c>
      <c r="O39" s="47">
        <f t="shared" si="5"/>
        <v>156.25</v>
      </c>
      <c r="P39" s="48">
        <f t="shared" si="6"/>
        <v>12.5</v>
      </c>
      <c r="Q39" s="46">
        <v>30</v>
      </c>
      <c r="R39" s="47">
        <f t="shared" si="7"/>
        <v>56.25</v>
      </c>
      <c r="S39" s="48">
        <f t="shared" si="8"/>
        <v>7.5</v>
      </c>
      <c r="T39" s="29">
        <v>20</v>
      </c>
      <c r="U39" s="47">
        <f t="shared" si="9"/>
        <v>6.25</v>
      </c>
      <c r="V39" s="48">
        <f t="shared" si="10"/>
        <v>2.5</v>
      </c>
      <c r="W39" s="2"/>
    </row>
    <row r="40" spans="1:23">
      <c r="A40" s="49">
        <v>33</v>
      </c>
      <c r="B40" s="50" t="s">
        <v>19</v>
      </c>
      <c r="C40" s="50" t="s">
        <v>115</v>
      </c>
      <c r="D40" s="49">
        <v>10</v>
      </c>
      <c r="E40" s="49">
        <v>10</v>
      </c>
      <c r="F40" s="50">
        <f t="shared" si="0"/>
        <v>10</v>
      </c>
      <c r="G40" s="45"/>
      <c r="H40" s="46">
        <v>20</v>
      </c>
      <c r="I40" s="47">
        <f t="shared" si="1"/>
        <v>100</v>
      </c>
      <c r="J40" s="48">
        <f t="shared" si="2"/>
        <v>10</v>
      </c>
      <c r="K40" s="46">
        <v>35</v>
      </c>
      <c r="L40" s="47">
        <f t="shared" si="3"/>
        <v>625</v>
      </c>
      <c r="M40" s="48">
        <f t="shared" si="4"/>
        <v>25</v>
      </c>
      <c r="N40" s="46">
        <v>30</v>
      </c>
      <c r="O40" s="47">
        <f t="shared" si="5"/>
        <v>400</v>
      </c>
      <c r="P40" s="48">
        <f t="shared" si="6"/>
        <v>20</v>
      </c>
      <c r="Q40" s="46">
        <v>35</v>
      </c>
      <c r="R40" s="47">
        <f t="shared" si="7"/>
        <v>625</v>
      </c>
      <c r="S40" s="48">
        <f t="shared" si="8"/>
        <v>25</v>
      </c>
      <c r="T40" s="29">
        <v>40</v>
      </c>
      <c r="U40" s="47">
        <f t="shared" si="9"/>
        <v>900</v>
      </c>
      <c r="V40" s="48">
        <f t="shared" si="10"/>
        <v>30</v>
      </c>
      <c r="W40" s="2"/>
    </row>
    <row r="41" spans="1:23">
      <c r="A41" s="51">
        <v>34</v>
      </c>
      <c r="B41" s="50" t="s">
        <v>19</v>
      </c>
      <c r="C41" s="49" t="s">
        <v>118</v>
      </c>
      <c r="D41" s="49">
        <v>0</v>
      </c>
      <c r="E41" s="49">
        <v>0</v>
      </c>
      <c r="F41" s="50">
        <f t="shared" si="0"/>
        <v>0</v>
      </c>
      <c r="G41" s="45"/>
      <c r="H41" s="46">
        <v>20</v>
      </c>
      <c r="I41" s="47">
        <f t="shared" si="1"/>
        <v>400</v>
      </c>
      <c r="J41" s="48">
        <f t="shared" si="2"/>
        <v>20</v>
      </c>
      <c r="K41" s="46">
        <v>30</v>
      </c>
      <c r="L41" s="47">
        <f t="shared" si="3"/>
        <v>900</v>
      </c>
      <c r="M41" s="48">
        <f t="shared" si="4"/>
        <v>30</v>
      </c>
      <c r="N41" s="46">
        <v>15</v>
      </c>
      <c r="O41" s="47">
        <f t="shared" si="5"/>
        <v>225</v>
      </c>
      <c r="P41" s="48">
        <f t="shared" si="6"/>
        <v>15</v>
      </c>
      <c r="Q41" s="46">
        <v>25</v>
      </c>
      <c r="R41" s="47">
        <f t="shared" si="7"/>
        <v>625</v>
      </c>
      <c r="S41" s="48">
        <f t="shared" si="8"/>
        <v>25</v>
      </c>
      <c r="T41" s="29">
        <v>20</v>
      </c>
      <c r="U41" s="47">
        <f t="shared" si="9"/>
        <v>400</v>
      </c>
      <c r="V41" s="48">
        <f t="shared" si="10"/>
        <v>20</v>
      </c>
      <c r="W41" s="2"/>
    </row>
    <row r="42" spans="1:23">
      <c r="A42" s="49">
        <v>35</v>
      </c>
      <c r="B42" s="50" t="s">
        <v>19</v>
      </c>
      <c r="C42" s="50" t="s">
        <v>121</v>
      </c>
      <c r="D42" s="49">
        <v>40</v>
      </c>
      <c r="E42" s="49">
        <v>40</v>
      </c>
      <c r="F42" s="50">
        <f t="shared" si="0"/>
        <v>40</v>
      </c>
      <c r="G42" s="45"/>
      <c r="H42" s="46">
        <v>30</v>
      </c>
      <c r="I42" s="47">
        <f t="shared" si="1"/>
        <v>100</v>
      </c>
      <c r="J42" s="48">
        <f t="shared" si="2"/>
        <v>10</v>
      </c>
      <c r="K42" s="46">
        <v>40</v>
      </c>
      <c r="L42" s="47">
        <f t="shared" si="3"/>
        <v>0</v>
      </c>
      <c r="M42" s="48">
        <f t="shared" si="4"/>
        <v>0</v>
      </c>
      <c r="N42" s="46">
        <v>40</v>
      </c>
      <c r="O42" s="47">
        <f t="shared" si="5"/>
        <v>0</v>
      </c>
      <c r="P42" s="48">
        <f t="shared" si="6"/>
        <v>0</v>
      </c>
      <c r="Q42" s="46">
        <v>35</v>
      </c>
      <c r="R42" s="47">
        <f t="shared" si="7"/>
        <v>25</v>
      </c>
      <c r="S42" s="48">
        <f t="shared" si="8"/>
        <v>5</v>
      </c>
      <c r="T42" s="29">
        <v>40</v>
      </c>
      <c r="U42" s="47">
        <f t="shared" si="9"/>
        <v>0</v>
      </c>
      <c r="V42" s="48">
        <f t="shared" si="10"/>
        <v>0</v>
      </c>
      <c r="W42" s="2"/>
    </row>
    <row r="43" spans="1:23">
      <c r="A43" s="49">
        <v>36</v>
      </c>
      <c r="B43" s="50" t="s">
        <v>19</v>
      </c>
      <c r="C43" s="49" t="s">
        <v>124</v>
      </c>
      <c r="D43" s="49">
        <v>40</v>
      </c>
      <c r="E43" s="49">
        <v>40</v>
      </c>
      <c r="F43" s="50">
        <f t="shared" si="0"/>
        <v>40</v>
      </c>
      <c r="G43" s="45"/>
      <c r="H43" s="46">
        <v>20</v>
      </c>
      <c r="I43" s="47">
        <f t="shared" si="1"/>
        <v>400</v>
      </c>
      <c r="J43" s="48">
        <f t="shared" si="2"/>
        <v>20</v>
      </c>
      <c r="K43" s="46">
        <v>30</v>
      </c>
      <c r="L43" s="47">
        <f t="shared" si="3"/>
        <v>100</v>
      </c>
      <c r="M43" s="48">
        <f t="shared" si="4"/>
        <v>10</v>
      </c>
      <c r="N43" s="46">
        <v>35</v>
      </c>
      <c r="O43" s="47">
        <f t="shared" si="5"/>
        <v>25</v>
      </c>
      <c r="P43" s="48">
        <f t="shared" si="6"/>
        <v>5</v>
      </c>
      <c r="Q43" s="46">
        <v>30</v>
      </c>
      <c r="R43" s="47">
        <f t="shared" si="7"/>
        <v>100</v>
      </c>
      <c r="S43" s="48">
        <f t="shared" si="8"/>
        <v>10</v>
      </c>
      <c r="T43" s="29">
        <v>30</v>
      </c>
      <c r="U43" s="47">
        <f t="shared" si="9"/>
        <v>100</v>
      </c>
      <c r="V43" s="48">
        <f t="shared" si="10"/>
        <v>10</v>
      </c>
      <c r="W43" s="2"/>
    </row>
    <row r="44" spans="1:23">
      <c r="A44" s="49">
        <v>38</v>
      </c>
      <c r="B44" s="49" t="s">
        <v>19</v>
      </c>
      <c r="C44" s="50" t="s">
        <v>129</v>
      </c>
      <c r="D44" s="49">
        <v>40</v>
      </c>
      <c r="E44" s="49">
        <v>30</v>
      </c>
      <c r="F44" s="50">
        <f t="shared" si="0"/>
        <v>35</v>
      </c>
      <c r="G44" s="45"/>
      <c r="H44" s="46">
        <v>20</v>
      </c>
      <c r="I44" s="47">
        <f t="shared" si="1"/>
        <v>225</v>
      </c>
      <c r="J44" s="48">
        <f t="shared" si="2"/>
        <v>15</v>
      </c>
      <c r="K44" s="46">
        <v>25</v>
      </c>
      <c r="L44" s="47">
        <f t="shared" si="3"/>
        <v>100</v>
      </c>
      <c r="M44" s="48">
        <f t="shared" si="4"/>
        <v>10</v>
      </c>
      <c r="N44" s="46">
        <v>30</v>
      </c>
      <c r="O44" s="47">
        <f t="shared" si="5"/>
        <v>25</v>
      </c>
      <c r="P44" s="48">
        <f t="shared" si="6"/>
        <v>5</v>
      </c>
      <c r="Q44" s="46">
        <v>25</v>
      </c>
      <c r="R44" s="47">
        <f t="shared" si="7"/>
        <v>100</v>
      </c>
      <c r="S44" s="48">
        <f t="shared" si="8"/>
        <v>10</v>
      </c>
      <c r="T44" s="29">
        <v>20</v>
      </c>
      <c r="U44" s="47">
        <f t="shared" si="9"/>
        <v>225</v>
      </c>
      <c r="V44" s="48">
        <f t="shared" si="10"/>
        <v>15</v>
      </c>
      <c r="W44" s="2"/>
    </row>
    <row r="45" spans="1:23">
      <c r="A45" s="49">
        <v>39</v>
      </c>
      <c r="B45" s="49" t="s">
        <v>19</v>
      </c>
      <c r="C45" s="49" t="s">
        <v>132</v>
      </c>
      <c r="D45" s="49">
        <v>10</v>
      </c>
      <c r="E45" s="49">
        <v>10</v>
      </c>
      <c r="F45" s="50">
        <f t="shared" si="0"/>
        <v>10</v>
      </c>
      <c r="G45" s="45"/>
      <c r="H45" s="46">
        <v>20</v>
      </c>
      <c r="I45" s="47">
        <f t="shared" si="1"/>
        <v>100</v>
      </c>
      <c r="J45" s="48">
        <f t="shared" si="2"/>
        <v>10</v>
      </c>
      <c r="K45" s="46">
        <v>20</v>
      </c>
      <c r="L45" s="47">
        <f t="shared" si="3"/>
        <v>100</v>
      </c>
      <c r="M45" s="48">
        <f t="shared" si="4"/>
        <v>10</v>
      </c>
      <c r="N45" s="46">
        <v>20</v>
      </c>
      <c r="O45" s="47">
        <f t="shared" si="5"/>
        <v>100</v>
      </c>
      <c r="P45" s="48">
        <f t="shared" si="6"/>
        <v>10</v>
      </c>
      <c r="Q45" s="46">
        <v>20</v>
      </c>
      <c r="R45" s="47">
        <f t="shared" si="7"/>
        <v>100</v>
      </c>
      <c r="S45" s="48">
        <f t="shared" si="8"/>
        <v>10</v>
      </c>
      <c r="T45" s="29">
        <v>20</v>
      </c>
      <c r="U45" s="47">
        <f t="shared" si="9"/>
        <v>100</v>
      </c>
      <c r="V45" s="48">
        <f t="shared" si="10"/>
        <v>10</v>
      </c>
      <c r="W45" s="2"/>
    </row>
    <row r="46" spans="1:23">
      <c r="A46" s="43">
        <v>40</v>
      </c>
      <c r="B46" s="49" t="s">
        <v>19</v>
      </c>
      <c r="C46" s="49" t="s">
        <v>135</v>
      </c>
      <c r="D46" s="49">
        <v>0</v>
      </c>
      <c r="E46" s="49">
        <v>0</v>
      </c>
      <c r="F46" s="49">
        <v>0</v>
      </c>
      <c r="G46" s="45"/>
      <c r="H46" s="46">
        <v>20</v>
      </c>
      <c r="I46" s="47">
        <f t="shared" si="1"/>
        <v>400</v>
      </c>
      <c r="J46" s="48">
        <f t="shared" si="2"/>
        <v>20</v>
      </c>
      <c r="K46" s="46">
        <v>20</v>
      </c>
      <c r="L46" s="47">
        <f t="shared" si="3"/>
        <v>400</v>
      </c>
      <c r="M46" s="48">
        <f t="shared" si="4"/>
        <v>20</v>
      </c>
      <c r="N46" s="46">
        <v>10</v>
      </c>
      <c r="O46" s="47">
        <f t="shared" si="5"/>
        <v>100</v>
      </c>
      <c r="P46" s="48">
        <f t="shared" si="6"/>
        <v>10</v>
      </c>
      <c r="Q46" s="46">
        <v>25</v>
      </c>
      <c r="R46" s="47">
        <f t="shared" si="7"/>
        <v>625</v>
      </c>
      <c r="S46" s="48">
        <f t="shared" si="8"/>
        <v>25</v>
      </c>
      <c r="T46" s="29">
        <v>20</v>
      </c>
      <c r="U46" s="47">
        <f t="shared" si="9"/>
        <v>400</v>
      </c>
      <c r="V46" s="48">
        <f t="shared" si="10"/>
        <v>20</v>
      </c>
      <c r="W46" s="2"/>
    </row>
    <row r="47" spans="1:23">
      <c r="A47" s="49">
        <v>41</v>
      </c>
      <c r="B47" s="50" t="s">
        <v>19</v>
      </c>
      <c r="C47" s="50" t="s">
        <v>138</v>
      </c>
      <c r="D47" s="49">
        <v>0</v>
      </c>
      <c r="E47" s="49">
        <v>0</v>
      </c>
      <c r="F47" s="50">
        <f t="shared" ref="F47:F137" si="11">SUM(D47:E47)/2</f>
        <v>0</v>
      </c>
      <c r="G47" s="45"/>
      <c r="H47" s="46">
        <v>30</v>
      </c>
      <c r="I47" s="47">
        <f t="shared" si="1"/>
        <v>900</v>
      </c>
      <c r="J47" s="48">
        <f t="shared" si="2"/>
        <v>30</v>
      </c>
      <c r="K47" s="46">
        <v>35</v>
      </c>
      <c r="L47" s="47">
        <f t="shared" si="3"/>
        <v>1225</v>
      </c>
      <c r="M47" s="48">
        <f t="shared" si="4"/>
        <v>35</v>
      </c>
      <c r="N47" s="46">
        <v>15</v>
      </c>
      <c r="O47" s="47">
        <f t="shared" si="5"/>
        <v>225</v>
      </c>
      <c r="P47" s="48">
        <f t="shared" si="6"/>
        <v>15</v>
      </c>
      <c r="Q47" s="46">
        <v>30</v>
      </c>
      <c r="R47" s="47">
        <f t="shared" si="7"/>
        <v>900</v>
      </c>
      <c r="S47" s="48">
        <f t="shared" si="8"/>
        <v>30</v>
      </c>
      <c r="T47" s="29">
        <v>30</v>
      </c>
      <c r="U47" s="47">
        <f t="shared" si="9"/>
        <v>900</v>
      </c>
      <c r="V47" s="48">
        <f t="shared" si="10"/>
        <v>30</v>
      </c>
      <c r="W47" s="2"/>
    </row>
    <row r="48" spans="1:23">
      <c r="A48" s="49">
        <v>42</v>
      </c>
      <c r="B48" s="50" t="s">
        <v>19</v>
      </c>
      <c r="C48" s="50" t="s">
        <v>141</v>
      </c>
      <c r="D48" s="49">
        <v>15</v>
      </c>
      <c r="E48" s="49">
        <v>15</v>
      </c>
      <c r="F48" s="50">
        <f t="shared" si="11"/>
        <v>15</v>
      </c>
      <c r="G48" s="45"/>
      <c r="H48" s="46">
        <v>20</v>
      </c>
      <c r="I48" s="47">
        <f t="shared" si="1"/>
        <v>25</v>
      </c>
      <c r="J48" s="48">
        <f t="shared" si="2"/>
        <v>5</v>
      </c>
      <c r="K48" s="46">
        <v>20</v>
      </c>
      <c r="L48" s="47">
        <f t="shared" si="3"/>
        <v>25</v>
      </c>
      <c r="M48" s="48">
        <f t="shared" si="4"/>
        <v>5</v>
      </c>
      <c r="N48" s="46">
        <v>25</v>
      </c>
      <c r="O48" s="47">
        <f t="shared" si="5"/>
        <v>100</v>
      </c>
      <c r="P48" s="48">
        <f t="shared" si="6"/>
        <v>10</v>
      </c>
      <c r="Q48" s="46">
        <v>25</v>
      </c>
      <c r="R48" s="47">
        <f t="shared" si="7"/>
        <v>100</v>
      </c>
      <c r="S48" s="48">
        <f t="shared" si="8"/>
        <v>10</v>
      </c>
      <c r="T48" s="29">
        <v>30</v>
      </c>
      <c r="U48" s="47">
        <f t="shared" si="9"/>
        <v>225</v>
      </c>
      <c r="V48" s="48">
        <f t="shared" si="10"/>
        <v>15</v>
      </c>
      <c r="W48" s="2"/>
    </row>
    <row r="49" spans="1:23">
      <c r="A49" s="51">
        <v>43</v>
      </c>
      <c r="B49" s="50" t="s">
        <v>19</v>
      </c>
      <c r="C49" s="50" t="s">
        <v>144</v>
      </c>
      <c r="D49" s="49">
        <v>40</v>
      </c>
      <c r="E49" s="49">
        <v>40</v>
      </c>
      <c r="F49" s="50">
        <f t="shared" si="11"/>
        <v>40</v>
      </c>
      <c r="G49" s="45"/>
      <c r="H49" s="46">
        <v>30</v>
      </c>
      <c r="I49" s="47">
        <f t="shared" si="1"/>
        <v>100</v>
      </c>
      <c r="J49" s="48">
        <f t="shared" si="2"/>
        <v>10</v>
      </c>
      <c r="K49" s="46">
        <v>40</v>
      </c>
      <c r="L49" s="47">
        <f t="shared" si="3"/>
        <v>0</v>
      </c>
      <c r="M49" s="48">
        <f t="shared" si="4"/>
        <v>0</v>
      </c>
      <c r="N49" s="46">
        <v>35</v>
      </c>
      <c r="O49" s="47">
        <f t="shared" si="5"/>
        <v>25</v>
      </c>
      <c r="P49" s="48">
        <f t="shared" si="6"/>
        <v>5</v>
      </c>
      <c r="Q49" s="46">
        <v>35</v>
      </c>
      <c r="R49" s="47">
        <f t="shared" si="7"/>
        <v>25</v>
      </c>
      <c r="S49" s="48">
        <f t="shared" si="8"/>
        <v>5</v>
      </c>
      <c r="T49" s="29">
        <v>40</v>
      </c>
      <c r="U49" s="47">
        <f t="shared" si="9"/>
        <v>0</v>
      </c>
      <c r="V49" s="48">
        <f t="shared" si="10"/>
        <v>0</v>
      </c>
      <c r="W49" s="2"/>
    </row>
    <row r="50" spans="1:23">
      <c r="A50" s="49">
        <v>44</v>
      </c>
      <c r="B50" s="50" t="s">
        <v>19</v>
      </c>
      <c r="C50" s="50" t="s">
        <v>147</v>
      </c>
      <c r="D50" s="49">
        <v>30</v>
      </c>
      <c r="E50" s="49">
        <v>20</v>
      </c>
      <c r="F50" s="50">
        <f t="shared" si="11"/>
        <v>25</v>
      </c>
      <c r="G50" s="45"/>
      <c r="H50" s="46">
        <v>20</v>
      </c>
      <c r="I50" s="47">
        <f t="shared" si="1"/>
        <v>25</v>
      </c>
      <c r="J50" s="48">
        <f t="shared" si="2"/>
        <v>5</v>
      </c>
      <c r="K50" s="46">
        <v>20</v>
      </c>
      <c r="L50" s="47">
        <f t="shared" si="3"/>
        <v>25</v>
      </c>
      <c r="M50" s="48">
        <f t="shared" si="4"/>
        <v>5</v>
      </c>
      <c r="N50" s="46">
        <v>20</v>
      </c>
      <c r="O50" s="47">
        <f t="shared" si="5"/>
        <v>25</v>
      </c>
      <c r="P50" s="48">
        <f t="shared" si="6"/>
        <v>5</v>
      </c>
      <c r="Q50" s="46">
        <v>25</v>
      </c>
      <c r="R50" s="47">
        <f t="shared" si="7"/>
        <v>0</v>
      </c>
      <c r="S50" s="48">
        <f t="shared" si="8"/>
        <v>0</v>
      </c>
      <c r="T50" s="29">
        <v>20</v>
      </c>
      <c r="U50" s="47">
        <f t="shared" si="9"/>
        <v>25</v>
      </c>
      <c r="V50" s="48">
        <f t="shared" si="10"/>
        <v>5</v>
      </c>
      <c r="W50" s="2"/>
    </row>
    <row r="51" spans="1:23" ht="18.75" customHeight="1">
      <c r="A51" s="49">
        <v>45</v>
      </c>
      <c r="B51" s="50" t="s">
        <v>19</v>
      </c>
      <c r="C51" s="49" t="s">
        <v>150</v>
      </c>
      <c r="D51" s="49">
        <v>25</v>
      </c>
      <c r="E51" s="49">
        <v>20</v>
      </c>
      <c r="F51" s="50">
        <f t="shared" si="11"/>
        <v>22.5</v>
      </c>
      <c r="G51" s="45"/>
      <c r="H51" s="46">
        <v>20</v>
      </c>
      <c r="I51" s="47">
        <f t="shared" si="1"/>
        <v>6.25</v>
      </c>
      <c r="J51" s="48">
        <f t="shared" si="2"/>
        <v>2.5</v>
      </c>
      <c r="K51" s="46">
        <v>25</v>
      </c>
      <c r="L51" s="47">
        <f t="shared" si="3"/>
        <v>6.25</v>
      </c>
      <c r="M51" s="48">
        <f t="shared" si="4"/>
        <v>2.5</v>
      </c>
      <c r="N51" s="46">
        <v>25</v>
      </c>
      <c r="O51" s="47">
        <f t="shared" si="5"/>
        <v>6.25</v>
      </c>
      <c r="P51" s="48">
        <f t="shared" si="6"/>
        <v>2.5</v>
      </c>
      <c r="Q51" s="46">
        <v>30</v>
      </c>
      <c r="R51" s="47">
        <f t="shared" si="7"/>
        <v>56.25</v>
      </c>
      <c r="S51" s="48">
        <f t="shared" si="8"/>
        <v>7.5</v>
      </c>
      <c r="T51" s="29">
        <v>40</v>
      </c>
      <c r="U51" s="47">
        <f t="shared" si="9"/>
        <v>306.25</v>
      </c>
      <c r="V51" s="48">
        <f t="shared" si="10"/>
        <v>17.5</v>
      </c>
      <c r="W51" s="2"/>
    </row>
    <row r="52" spans="1:23">
      <c r="A52" s="43">
        <v>46</v>
      </c>
      <c r="B52" s="49" t="s">
        <v>19</v>
      </c>
      <c r="C52" s="50" t="s">
        <v>153</v>
      </c>
      <c r="D52" s="49">
        <v>15</v>
      </c>
      <c r="E52" s="49">
        <v>30</v>
      </c>
      <c r="F52" s="50">
        <f t="shared" si="11"/>
        <v>22.5</v>
      </c>
      <c r="G52" s="45"/>
      <c r="H52" s="46">
        <v>30</v>
      </c>
      <c r="I52" s="47">
        <f t="shared" si="1"/>
        <v>56.25</v>
      </c>
      <c r="J52" s="48">
        <f t="shared" si="2"/>
        <v>7.5</v>
      </c>
      <c r="K52" s="46">
        <v>30</v>
      </c>
      <c r="L52" s="47">
        <f t="shared" si="3"/>
        <v>56.25</v>
      </c>
      <c r="M52" s="48">
        <f t="shared" si="4"/>
        <v>7.5</v>
      </c>
      <c r="N52" s="46">
        <v>35</v>
      </c>
      <c r="O52" s="47">
        <f t="shared" si="5"/>
        <v>156.25</v>
      </c>
      <c r="P52" s="48">
        <f t="shared" si="6"/>
        <v>12.5</v>
      </c>
      <c r="Q52" s="46">
        <v>30</v>
      </c>
      <c r="R52" s="47">
        <f t="shared" si="7"/>
        <v>56.25</v>
      </c>
      <c r="S52" s="48">
        <f t="shared" si="8"/>
        <v>7.5</v>
      </c>
      <c r="T52" s="29">
        <v>40</v>
      </c>
      <c r="U52" s="47">
        <f t="shared" si="9"/>
        <v>306.25</v>
      </c>
      <c r="V52" s="48">
        <f t="shared" si="10"/>
        <v>17.5</v>
      </c>
      <c r="W52" s="2"/>
    </row>
    <row r="53" spans="1:23">
      <c r="A53" s="49">
        <v>47</v>
      </c>
      <c r="B53" s="50" t="s">
        <v>19</v>
      </c>
      <c r="C53" s="49" t="s">
        <v>156</v>
      </c>
      <c r="D53" s="49">
        <v>30</v>
      </c>
      <c r="E53" s="49">
        <v>30</v>
      </c>
      <c r="F53" s="50">
        <f t="shared" si="11"/>
        <v>30</v>
      </c>
      <c r="G53" s="45"/>
      <c r="H53" s="46">
        <v>30</v>
      </c>
      <c r="I53" s="47">
        <f t="shared" si="1"/>
        <v>0</v>
      </c>
      <c r="J53" s="48">
        <f t="shared" si="2"/>
        <v>0</v>
      </c>
      <c r="K53" s="46">
        <v>40</v>
      </c>
      <c r="L53" s="47">
        <f t="shared" si="3"/>
        <v>100</v>
      </c>
      <c r="M53" s="48">
        <f t="shared" si="4"/>
        <v>10</v>
      </c>
      <c r="N53" s="46">
        <v>40</v>
      </c>
      <c r="O53" s="47">
        <f t="shared" si="5"/>
        <v>100</v>
      </c>
      <c r="P53" s="48">
        <f t="shared" si="6"/>
        <v>10</v>
      </c>
      <c r="Q53" s="46">
        <v>35</v>
      </c>
      <c r="R53" s="47">
        <f t="shared" si="7"/>
        <v>25</v>
      </c>
      <c r="S53" s="48">
        <f t="shared" si="8"/>
        <v>5</v>
      </c>
      <c r="T53" s="29">
        <v>40</v>
      </c>
      <c r="U53" s="47">
        <f t="shared" si="9"/>
        <v>100</v>
      </c>
      <c r="V53" s="48">
        <f t="shared" si="10"/>
        <v>10</v>
      </c>
      <c r="W53" s="2"/>
    </row>
    <row r="54" spans="1:23">
      <c r="A54" s="49">
        <v>48</v>
      </c>
      <c r="B54" s="50" t="s">
        <v>19</v>
      </c>
      <c r="C54" s="49" t="s">
        <v>159</v>
      </c>
      <c r="D54" s="49">
        <v>35</v>
      </c>
      <c r="E54" s="49">
        <v>35</v>
      </c>
      <c r="F54" s="50">
        <f t="shared" si="11"/>
        <v>35</v>
      </c>
      <c r="G54" s="45"/>
      <c r="H54" s="46">
        <v>30</v>
      </c>
      <c r="I54" s="47">
        <f t="shared" si="1"/>
        <v>25</v>
      </c>
      <c r="J54" s="48">
        <f t="shared" si="2"/>
        <v>5</v>
      </c>
      <c r="K54" s="46">
        <v>30</v>
      </c>
      <c r="L54" s="47">
        <f t="shared" si="3"/>
        <v>25</v>
      </c>
      <c r="M54" s="48">
        <f t="shared" si="4"/>
        <v>5</v>
      </c>
      <c r="N54" s="46">
        <v>35</v>
      </c>
      <c r="O54" s="47">
        <f t="shared" si="5"/>
        <v>0</v>
      </c>
      <c r="P54" s="48">
        <f t="shared" si="6"/>
        <v>0</v>
      </c>
      <c r="Q54" s="46">
        <v>30</v>
      </c>
      <c r="R54" s="47">
        <f t="shared" si="7"/>
        <v>25</v>
      </c>
      <c r="S54" s="48">
        <f t="shared" si="8"/>
        <v>5</v>
      </c>
      <c r="T54" s="29">
        <v>40</v>
      </c>
      <c r="U54" s="47">
        <f t="shared" si="9"/>
        <v>25</v>
      </c>
      <c r="V54" s="48">
        <f t="shared" si="10"/>
        <v>5</v>
      </c>
      <c r="W54" s="2"/>
    </row>
    <row r="55" spans="1:23">
      <c r="A55" s="51">
        <v>49</v>
      </c>
      <c r="B55" s="50" t="s">
        <v>19</v>
      </c>
      <c r="C55" s="49" t="s">
        <v>162</v>
      </c>
      <c r="D55" s="49">
        <v>10</v>
      </c>
      <c r="E55" s="49">
        <v>10</v>
      </c>
      <c r="F55" s="50">
        <f t="shared" si="11"/>
        <v>10</v>
      </c>
      <c r="G55" s="45"/>
      <c r="H55" s="46">
        <v>20</v>
      </c>
      <c r="I55" s="47">
        <f t="shared" si="1"/>
        <v>100</v>
      </c>
      <c r="J55" s="48">
        <f t="shared" si="2"/>
        <v>10</v>
      </c>
      <c r="K55" s="46">
        <v>25</v>
      </c>
      <c r="L55" s="47">
        <f t="shared" si="3"/>
        <v>225</v>
      </c>
      <c r="M55" s="48">
        <f t="shared" si="4"/>
        <v>15</v>
      </c>
      <c r="N55" s="46">
        <v>15</v>
      </c>
      <c r="O55" s="47">
        <f t="shared" si="5"/>
        <v>25</v>
      </c>
      <c r="P55" s="48">
        <f t="shared" si="6"/>
        <v>5</v>
      </c>
      <c r="Q55" s="46">
        <v>30</v>
      </c>
      <c r="R55" s="47">
        <f t="shared" si="7"/>
        <v>400</v>
      </c>
      <c r="S55" s="48">
        <f t="shared" si="8"/>
        <v>20</v>
      </c>
      <c r="T55" s="29">
        <v>20</v>
      </c>
      <c r="U55" s="47">
        <f t="shared" si="9"/>
        <v>100</v>
      </c>
      <c r="V55" s="48">
        <f t="shared" si="10"/>
        <v>10</v>
      </c>
      <c r="W55" s="2"/>
    </row>
    <row r="56" spans="1:23">
      <c r="A56" s="49">
        <v>50</v>
      </c>
      <c r="B56" s="50" t="s">
        <v>19</v>
      </c>
      <c r="C56" s="50" t="s">
        <v>165</v>
      </c>
      <c r="D56" s="49">
        <v>10</v>
      </c>
      <c r="E56" s="49">
        <v>15</v>
      </c>
      <c r="F56" s="50">
        <f t="shared" si="11"/>
        <v>12.5</v>
      </c>
      <c r="G56" s="45"/>
      <c r="H56" s="46">
        <v>20</v>
      </c>
      <c r="I56" s="47">
        <f t="shared" si="1"/>
        <v>56.25</v>
      </c>
      <c r="J56" s="48">
        <f t="shared" si="2"/>
        <v>7.5</v>
      </c>
      <c r="K56" s="46">
        <v>25</v>
      </c>
      <c r="L56" s="47">
        <f t="shared" si="3"/>
        <v>156.25</v>
      </c>
      <c r="M56" s="48">
        <f t="shared" si="4"/>
        <v>12.5</v>
      </c>
      <c r="N56" s="46">
        <v>20</v>
      </c>
      <c r="O56" s="47">
        <f t="shared" si="5"/>
        <v>56.25</v>
      </c>
      <c r="P56" s="48">
        <f t="shared" si="6"/>
        <v>7.5</v>
      </c>
      <c r="Q56" s="46">
        <v>25</v>
      </c>
      <c r="R56" s="47">
        <f t="shared" si="7"/>
        <v>156.25</v>
      </c>
      <c r="S56" s="48">
        <f t="shared" si="8"/>
        <v>12.5</v>
      </c>
      <c r="T56" s="29">
        <v>20</v>
      </c>
      <c r="U56" s="47">
        <f t="shared" si="9"/>
        <v>56.25</v>
      </c>
      <c r="V56" s="48">
        <f t="shared" si="10"/>
        <v>7.5</v>
      </c>
      <c r="W56" s="2"/>
    </row>
    <row r="57" spans="1:23">
      <c r="A57" s="49">
        <v>51</v>
      </c>
      <c r="B57" s="50" t="s">
        <v>19</v>
      </c>
      <c r="C57" s="50" t="s">
        <v>168</v>
      </c>
      <c r="D57" s="49">
        <v>30</v>
      </c>
      <c r="E57" s="49">
        <v>35</v>
      </c>
      <c r="F57" s="50">
        <f t="shared" si="11"/>
        <v>32.5</v>
      </c>
      <c r="G57" s="45"/>
      <c r="H57" s="46">
        <v>30</v>
      </c>
      <c r="I57" s="47">
        <f t="shared" si="1"/>
        <v>6.25</v>
      </c>
      <c r="J57" s="48">
        <f t="shared" si="2"/>
        <v>2.5</v>
      </c>
      <c r="K57" s="46">
        <v>35</v>
      </c>
      <c r="L57" s="47">
        <f t="shared" si="3"/>
        <v>6.25</v>
      </c>
      <c r="M57" s="48">
        <f t="shared" si="4"/>
        <v>2.5</v>
      </c>
      <c r="N57" s="46">
        <v>30</v>
      </c>
      <c r="O57" s="47">
        <f t="shared" si="5"/>
        <v>6.25</v>
      </c>
      <c r="P57" s="48">
        <f t="shared" si="6"/>
        <v>2.5</v>
      </c>
      <c r="Q57" s="46">
        <v>35</v>
      </c>
      <c r="R57" s="47">
        <f t="shared" si="7"/>
        <v>6.25</v>
      </c>
      <c r="S57" s="48">
        <f t="shared" si="8"/>
        <v>2.5</v>
      </c>
      <c r="T57" s="29">
        <v>30</v>
      </c>
      <c r="U57" s="47">
        <f t="shared" si="9"/>
        <v>6.25</v>
      </c>
      <c r="V57" s="48">
        <f t="shared" si="10"/>
        <v>2.5</v>
      </c>
      <c r="W57" s="2"/>
    </row>
    <row r="58" spans="1:23">
      <c r="A58" s="43">
        <v>52</v>
      </c>
      <c r="B58" s="50" t="s">
        <v>19</v>
      </c>
      <c r="C58" s="49" t="s">
        <v>171</v>
      </c>
      <c r="D58" s="49">
        <v>40</v>
      </c>
      <c r="E58" s="49">
        <v>35</v>
      </c>
      <c r="F58" s="50">
        <f t="shared" si="11"/>
        <v>37.5</v>
      </c>
      <c r="G58" s="45"/>
      <c r="H58" s="46">
        <v>30</v>
      </c>
      <c r="I58" s="47">
        <f t="shared" si="1"/>
        <v>56.25</v>
      </c>
      <c r="J58" s="48">
        <f t="shared" si="2"/>
        <v>7.5</v>
      </c>
      <c r="K58" s="46">
        <v>40</v>
      </c>
      <c r="L58" s="47">
        <f t="shared" si="3"/>
        <v>6.25</v>
      </c>
      <c r="M58" s="48">
        <f t="shared" si="4"/>
        <v>2.5</v>
      </c>
      <c r="N58" s="46">
        <v>40</v>
      </c>
      <c r="O58" s="47">
        <f t="shared" si="5"/>
        <v>6.25</v>
      </c>
      <c r="P58" s="48">
        <f t="shared" si="6"/>
        <v>2.5</v>
      </c>
      <c r="Q58" s="46">
        <v>35</v>
      </c>
      <c r="R58" s="47">
        <f t="shared" si="7"/>
        <v>6.25</v>
      </c>
      <c r="S58" s="48">
        <f t="shared" si="8"/>
        <v>2.5</v>
      </c>
      <c r="T58" s="29">
        <v>40</v>
      </c>
      <c r="U58" s="47">
        <f t="shared" si="9"/>
        <v>6.25</v>
      </c>
      <c r="V58" s="48">
        <f t="shared" si="10"/>
        <v>2.5</v>
      </c>
      <c r="W58" s="2"/>
    </row>
    <row r="59" spans="1:23">
      <c r="A59" s="49">
        <v>53</v>
      </c>
      <c r="B59" s="50" t="s">
        <v>19</v>
      </c>
      <c r="C59" s="49" t="s">
        <v>174</v>
      </c>
      <c r="D59" s="49">
        <v>20</v>
      </c>
      <c r="E59" s="49">
        <v>25</v>
      </c>
      <c r="F59" s="50">
        <f t="shared" si="11"/>
        <v>22.5</v>
      </c>
      <c r="G59" s="45"/>
      <c r="H59" s="46">
        <v>30</v>
      </c>
      <c r="I59" s="47">
        <f t="shared" si="1"/>
        <v>56.25</v>
      </c>
      <c r="J59" s="48">
        <f t="shared" si="2"/>
        <v>7.5</v>
      </c>
      <c r="K59" s="46">
        <v>25</v>
      </c>
      <c r="L59" s="47">
        <f t="shared" si="3"/>
        <v>6.25</v>
      </c>
      <c r="M59" s="48">
        <f t="shared" si="4"/>
        <v>2.5</v>
      </c>
      <c r="N59" s="46">
        <v>30</v>
      </c>
      <c r="O59" s="47">
        <f t="shared" si="5"/>
        <v>56.25</v>
      </c>
      <c r="P59" s="48">
        <f t="shared" si="6"/>
        <v>7.5</v>
      </c>
      <c r="Q59" s="46">
        <v>35</v>
      </c>
      <c r="R59" s="47">
        <f t="shared" si="7"/>
        <v>156.25</v>
      </c>
      <c r="S59" s="48">
        <f t="shared" si="8"/>
        <v>12.5</v>
      </c>
      <c r="T59" s="29">
        <v>30</v>
      </c>
      <c r="U59" s="47">
        <f t="shared" si="9"/>
        <v>56.25</v>
      </c>
      <c r="V59" s="48">
        <f t="shared" si="10"/>
        <v>7.5</v>
      </c>
      <c r="W59" s="2"/>
    </row>
    <row r="60" spans="1:23">
      <c r="A60" s="49">
        <v>54</v>
      </c>
      <c r="B60" s="50" t="s">
        <v>19</v>
      </c>
      <c r="C60" s="49" t="s">
        <v>177</v>
      </c>
      <c r="D60" s="49">
        <v>27</v>
      </c>
      <c r="E60" s="49">
        <v>28</v>
      </c>
      <c r="F60" s="50">
        <f t="shared" si="11"/>
        <v>27.5</v>
      </c>
      <c r="G60" s="45"/>
      <c r="H60" s="46">
        <v>30</v>
      </c>
      <c r="I60" s="47">
        <f t="shared" si="1"/>
        <v>6.25</v>
      </c>
      <c r="J60" s="48">
        <f t="shared" si="2"/>
        <v>2.5</v>
      </c>
      <c r="K60" s="46">
        <v>35</v>
      </c>
      <c r="L60" s="47">
        <f t="shared" si="3"/>
        <v>56.25</v>
      </c>
      <c r="M60" s="48">
        <f t="shared" si="4"/>
        <v>7.5</v>
      </c>
      <c r="N60" s="46">
        <v>40</v>
      </c>
      <c r="O60" s="47">
        <f t="shared" si="5"/>
        <v>156.25</v>
      </c>
      <c r="P60" s="48">
        <f t="shared" si="6"/>
        <v>12.5</v>
      </c>
      <c r="Q60" s="46">
        <v>30</v>
      </c>
      <c r="R60" s="47">
        <f t="shared" si="7"/>
        <v>6.25</v>
      </c>
      <c r="S60" s="48">
        <f t="shared" si="8"/>
        <v>2.5</v>
      </c>
      <c r="T60" s="29">
        <v>35</v>
      </c>
      <c r="U60" s="47">
        <f t="shared" si="9"/>
        <v>56.25</v>
      </c>
      <c r="V60" s="48">
        <f t="shared" si="10"/>
        <v>7.5</v>
      </c>
      <c r="W60" s="2"/>
    </row>
    <row r="61" spans="1:23">
      <c r="A61" s="51">
        <v>55</v>
      </c>
      <c r="B61" s="50" t="s">
        <v>19</v>
      </c>
      <c r="C61" s="49" t="s">
        <v>180</v>
      </c>
      <c r="D61" s="49">
        <v>40</v>
      </c>
      <c r="E61" s="49">
        <v>40</v>
      </c>
      <c r="F61" s="50">
        <f t="shared" si="11"/>
        <v>40</v>
      </c>
      <c r="G61" s="45"/>
      <c r="H61" s="46">
        <v>30</v>
      </c>
      <c r="I61" s="47">
        <f t="shared" si="1"/>
        <v>100</v>
      </c>
      <c r="J61" s="48">
        <f t="shared" si="2"/>
        <v>10</v>
      </c>
      <c r="K61" s="46">
        <v>40</v>
      </c>
      <c r="L61" s="47">
        <f t="shared" si="3"/>
        <v>0</v>
      </c>
      <c r="M61" s="48">
        <f t="shared" si="4"/>
        <v>0</v>
      </c>
      <c r="N61" s="46">
        <v>40</v>
      </c>
      <c r="O61" s="47">
        <f t="shared" si="5"/>
        <v>0</v>
      </c>
      <c r="P61" s="48">
        <f t="shared" si="6"/>
        <v>0</v>
      </c>
      <c r="Q61" s="46">
        <v>35</v>
      </c>
      <c r="R61" s="47">
        <f t="shared" si="7"/>
        <v>25</v>
      </c>
      <c r="S61" s="48">
        <f t="shared" si="8"/>
        <v>5</v>
      </c>
      <c r="T61" s="29">
        <v>40</v>
      </c>
      <c r="U61" s="47">
        <f t="shared" si="9"/>
        <v>0</v>
      </c>
      <c r="V61" s="48">
        <f t="shared" si="10"/>
        <v>0</v>
      </c>
      <c r="W61" s="2"/>
    </row>
    <row r="62" spans="1:23">
      <c r="A62" s="49">
        <v>56</v>
      </c>
      <c r="B62" s="50" t="s">
        <v>19</v>
      </c>
      <c r="C62" s="50" t="s">
        <v>183</v>
      </c>
      <c r="D62" s="49">
        <v>25</v>
      </c>
      <c r="E62" s="49">
        <v>20</v>
      </c>
      <c r="F62" s="50">
        <f t="shared" si="11"/>
        <v>22.5</v>
      </c>
      <c r="G62" s="45"/>
      <c r="H62" s="46">
        <v>20</v>
      </c>
      <c r="I62" s="47">
        <f t="shared" si="1"/>
        <v>6.25</v>
      </c>
      <c r="J62" s="48">
        <f t="shared" si="2"/>
        <v>2.5</v>
      </c>
      <c r="K62" s="46">
        <v>25</v>
      </c>
      <c r="L62" s="47">
        <f t="shared" si="3"/>
        <v>6.25</v>
      </c>
      <c r="M62" s="48">
        <f t="shared" si="4"/>
        <v>2.5</v>
      </c>
      <c r="N62" s="46">
        <v>25</v>
      </c>
      <c r="O62" s="47">
        <f t="shared" si="5"/>
        <v>6.25</v>
      </c>
      <c r="P62" s="48">
        <f t="shared" si="6"/>
        <v>2.5</v>
      </c>
      <c r="Q62" s="46">
        <v>25</v>
      </c>
      <c r="R62" s="47">
        <f t="shared" si="7"/>
        <v>6.25</v>
      </c>
      <c r="S62" s="48">
        <f t="shared" si="8"/>
        <v>2.5</v>
      </c>
      <c r="T62" s="29">
        <v>20</v>
      </c>
      <c r="U62" s="47">
        <f t="shared" si="9"/>
        <v>6.25</v>
      </c>
      <c r="V62" s="48">
        <f t="shared" si="10"/>
        <v>2.5</v>
      </c>
      <c r="W62" s="2"/>
    </row>
    <row r="63" spans="1:23">
      <c r="A63" s="49">
        <v>57</v>
      </c>
      <c r="B63" s="49" t="s">
        <v>19</v>
      </c>
      <c r="C63" s="49" t="s">
        <v>186</v>
      </c>
      <c r="D63" s="49">
        <v>30</v>
      </c>
      <c r="E63" s="49">
        <v>30</v>
      </c>
      <c r="F63" s="50">
        <f t="shared" si="11"/>
        <v>30</v>
      </c>
      <c r="G63" s="45"/>
      <c r="H63" s="46">
        <v>30</v>
      </c>
      <c r="I63" s="47">
        <f t="shared" si="1"/>
        <v>0</v>
      </c>
      <c r="J63" s="48">
        <f t="shared" si="2"/>
        <v>0</v>
      </c>
      <c r="K63" s="46">
        <v>25</v>
      </c>
      <c r="L63" s="47">
        <f t="shared" si="3"/>
        <v>25</v>
      </c>
      <c r="M63" s="48">
        <f t="shared" si="4"/>
        <v>5</v>
      </c>
      <c r="N63" s="46">
        <v>30</v>
      </c>
      <c r="O63" s="47">
        <f t="shared" si="5"/>
        <v>0</v>
      </c>
      <c r="P63" s="48">
        <f t="shared" si="6"/>
        <v>0</v>
      </c>
      <c r="Q63" s="46">
        <v>30</v>
      </c>
      <c r="R63" s="47">
        <f t="shared" si="7"/>
        <v>0</v>
      </c>
      <c r="S63" s="48">
        <f t="shared" si="8"/>
        <v>0</v>
      </c>
      <c r="T63" s="29">
        <v>40</v>
      </c>
      <c r="U63" s="47">
        <f t="shared" si="9"/>
        <v>100</v>
      </c>
      <c r="V63" s="48">
        <f t="shared" si="10"/>
        <v>10</v>
      </c>
      <c r="W63" s="2"/>
    </row>
    <row r="64" spans="1:23">
      <c r="A64" s="43">
        <v>58</v>
      </c>
      <c r="B64" s="50" t="s">
        <v>19</v>
      </c>
      <c r="C64" s="50" t="s">
        <v>189</v>
      </c>
      <c r="D64" s="49">
        <v>0</v>
      </c>
      <c r="E64" s="49">
        <v>0</v>
      </c>
      <c r="F64" s="50">
        <f t="shared" si="11"/>
        <v>0</v>
      </c>
      <c r="G64" s="45"/>
      <c r="H64" s="46">
        <v>20</v>
      </c>
      <c r="I64" s="47">
        <f t="shared" si="1"/>
        <v>400</v>
      </c>
      <c r="J64" s="48">
        <f t="shared" si="2"/>
        <v>20</v>
      </c>
      <c r="K64" s="46">
        <v>20</v>
      </c>
      <c r="L64" s="47">
        <f t="shared" si="3"/>
        <v>400</v>
      </c>
      <c r="M64" s="48">
        <f t="shared" si="4"/>
        <v>20</v>
      </c>
      <c r="N64" s="46">
        <v>20</v>
      </c>
      <c r="O64" s="47">
        <f t="shared" si="5"/>
        <v>400</v>
      </c>
      <c r="P64" s="48">
        <f t="shared" si="6"/>
        <v>20</v>
      </c>
      <c r="Q64" s="46">
        <v>20</v>
      </c>
      <c r="R64" s="47">
        <f t="shared" si="7"/>
        <v>400</v>
      </c>
      <c r="S64" s="48">
        <f t="shared" si="8"/>
        <v>20</v>
      </c>
      <c r="T64" s="29">
        <v>20</v>
      </c>
      <c r="U64" s="47">
        <f t="shared" si="9"/>
        <v>400</v>
      </c>
      <c r="V64" s="48">
        <f t="shared" si="10"/>
        <v>20</v>
      </c>
      <c r="W64" s="2"/>
    </row>
    <row r="65" spans="1:23">
      <c r="A65" s="49">
        <v>59</v>
      </c>
      <c r="B65" s="50" t="s">
        <v>19</v>
      </c>
      <c r="C65" s="50" t="s">
        <v>192</v>
      </c>
      <c r="D65" s="49">
        <v>30</v>
      </c>
      <c r="E65" s="49">
        <v>30</v>
      </c>
      <c r="F65" s="50">
        <f t="shared" si="11"/>
        <v>30</v>
      </c>
      <c r="G65" s="45"/>
      <c r="H65" s="46">
        <v>20</v>
      </c>
      <c r="I65" s="47">
        <f t="shared" si="1"/>
        <v>100</v>
      </c>
      <c r="J65" s="48">
        <f t="shared" si="2"/>
        <v>10</v>
      </c>
      <c r="K65" s="46">
        <v>25</v>
      </c>
      <c r="L65" s="47">
        <f t="shared" si="3"/>
        <v>25</v>
      </c>
      <c r="M65" s="48">
        <f t="shared" si="4"/>
        <v>5</v>
      </c>
      <c r="N65" s="46">
        <v>25</v>
      </c>
      <c r="O65" s="47">
        <f t="shared" si="5"/>
        <v>25</v>
      </c>
      <c r="P65" s="48">
        <f t="shared" si="6"/>
        <v>5</v>
      </c>
      <c r="Q65" s="46">
        <v>25</v>
      </c>
      <c r="R65" s="47">
        <f t="shared" si="7"/>
        <v>25</v>
      </c>
      <c r="S65" s="48">
        <f t="shared" si="8"/>
        <v>5</v>
      </c>
      <c r="T65" s="29">
        <v>20</v>
      </c>
      <c r="U65" s="47">
        <f t="shared" si="9"/>
        <v>100</v>
      </c>
      <c r="V65" s="48">
        <f t="shared" si="10"/>
        <v>10</v>
      </c>
      <c r="W65" s="2"/>
    </row>
    <row r="66" spans="1:23">
      <c r="A66" s="49">
        <v>60</v>
      </c>
      <c r="B66" s="50" t="s">
        <v>19</v>
      </c>
      <c r="C66" s="50" t="s">
        <v>195</v>
      </c>
      <c r="D66" s="49">
        <v>40</v>
      </c>
      <c r="E66" s="49">
        <v>40</v>
      </c>
      <c r="F66" s="50">
        <f t="shared" si="11"/>
        <v>40</v>
      </c>
      <c r="G66" s="45"/>
      <c r="H66" s="46">
        <v>30</v>
      </c>
      <c r="I66" s="47">
        <f t="shared" si="1"/>
        <v>100</v>
      </c>
      <c r="J66" s="48">
        <f t="shared" si="2"/>
        <v>10</v>
      </c>
      <c r="K66" s="46">
        <v>40</v>
      </c>
      <c r="L66" s="47">
        <f t="shared" si="3"/>
        <v>0</v>
      </c>
      <c r="M66" s="48">
        <f t="shared" si="4"/>
        <v>0</v>
      </c>
      <c r="N66" s="46">
        <v>40</v>
      </c>
      <c r="O66" s="47">
        <f t="shared" si="5"/>
        <v>0</v>
      </c>
      <c r="P66" s="48">
        <f t="shared" si="6"/>
        <v>0</v>
      </c>
      <c r="Q66" s="46">
        <v>35</v>
      </c>
      <c r="R66" s="47">
        <f t="shared" si="7"/>
        <v>25</v>
      </c>
      <c r="S66" s="48">
        <f t="shared" si="8"/>
        <v>5</v>
      </c>
      <c r="T66" s="29">
        <v>30</v>
      </c>
      <c r="U66" s="47">
        <f t="shared" si="9"/>
        <v>100</v>
      </c>
      <c r="V66" s="48">
        <f t="shared" si="10"/>
        <v>10</v>
      </c>
      <c r="W66" s="2"/>
    </row>
    <row r="67" spans="1:23">
      <c r="A67" s="51">
        <v>61</v>
      </c>
      <c r="B67" s="50" t="s">
        <v>19</v>
      </c>
      <c r="C67" s="49" t="s">
        <v>198</v>
      </c>
      <c r="D67" s="49">
        <v>10</v>
      </c>
      <c r="E67" s="49">
        <v>10</v>
      </c>
      <c r="F67" s="50">
        <f t="shared" si="11"/>
        <v>10</v>
      </c>
      <c r="G67" s="45"/>
      <c r="H67" s="46">
        <v>20</v>
      </c>
      <c r="I67" s="47">
        <f t="shared" si="1"/>
        <v>100</v>
      </c>
      <c r="J67" s="48">
        <f t="shared" si="2"/>
        <v>10</v>
      </c>
      <c r="K67" s="46">
        <v>20</v>
      </c>
      <c r="L67" s="47">
        <f t="shared" si="3"/>
        <v>100</v>
      </c>
      <c r="M67" s="48">
        <f t="shared" si="4"/>
        <v>10</v>
      </c>
      <c r="N67" s="46">
        <v>20</v>
      </c>
      <c r="O67" s="47">
        <f t="shared" si="5"/>
        <v>100</v>
      </c>
      <c r="P67" s="48">
        <f t="shared" si="6"/>
        <v>10</v>
      </c>
      <c r="Q67" s="46">
        <v>35</v>
      </c>
      <c r="R67" s="47">
        <f t="shared" si="7"/>
        <v>625</v>
      </c>
      <c r="S67" s="48">
        <f t="shared" si="8"/>
        <v>25</v>
      </c>
      <c r="T67" s="29">
        <v>20</v>
      </c>
      <c r="U67" s="47">
        <f t="shared" si="9"/>
        <v>100</v>
      </c>
      <c r="V67" s="48">
        <f t="shared" si="10"/>
        <v>10</v>
      </c>
      <c r="W67" s="2"/>
    </row>
    <row r="68" spans="1:23">
      <c r="A68" s="49">
        <v>62</v>
      </c>
      <c r="B68" s="50" t="s">
        <v>19</v>
      </c>
      <c r="C68" s="49" t="s">
        <v>201</v>
      </c>
      <c r="D68" s="49">
        <v>10</v>
      </c>
      <c r="E68" s="49">
        <v>0</v>
      </c>
      <c r="F68" s="50">
        <f t="shared" si="11"/>
        <v>5</v>
      </c>
      <c r="G68" s="45"/>
      <c r="H68" s="46">
        <v>20</v>
      </c>
      <c r="I68" s="47">
        <f t="shared" si="1"/>
        <v>225</v>
      </c>
      <c r="J68" s="48">
        <f t="shared" si="2"/>
        <v>15</v>
      </c>
      <c r="K68" s="46">
        <v>20</v>
      </c>
      <c r="L68" s="47">
        <f t="shared" si="3"/>
        <v>225</v>
      </c>
      <c r="M68" s="48">
        <f t="shared" si="4"/>
        <v>15</v>
      </c>
      <c r="N68" s="46">
        <v>20</v>
      </c>
      <c r="O68" s="47">
        <f t="shared" si="5"/>
        <v>225</v>
      </c>
      <c r="P68" s="48">
        <f t="shared" si="6"/>
        <v>15</v>
      </c>
      <c r="Q68" s="46">
        <v>25</v>
      </c>
      <c r="R68" s="47">
        <f t="shared" si="7"/>
        <v>400</v>
      </c>
      <c r="S68" s="48">
        <f t="shared" si="8"/>
        <v>20</v>
      </c>
      <c r="T68" s="29">
        <v>20</v>
      </c>
      <c r="U68" s="47">
        <f t="shared" si="9"/>
        <v>225</v>
      </c>
      <c r="V68" s="48">
        <f t="shared" si="10"/>
        <v>15</v>
      </c>
      <c r="W68" s="2"/>
    </row>
    <row r="69" spans="1:23">
      <c r="A69" s="49">
        <v>63</v>
      </c>
      <c r="B69" s="50" t="s">
        <v>19</v>
      </c>
      <c r="C69" s="50" t="s">
        <v>204</v>
      </c>
      <c r="D69" s="49">
        <v>30</v>
      </c>
      <c r="E69" s="49">
        <v>30</v>
      </c>
      <c r="F69" s="50">
        <f t="shared" si="11"/>
        <v>30</v>
      </c>
      <c r="G69" s="45"/>
      <c r="H69" s="46">
        <v>30</v>
      </c>
      <c r="I69" s="47">
        <f t="shared" si="1"/>
        <v>0</v>
      </c>
      <c r="J69" s="48">
        <f t="shared" si="2"/>
        <v>0</v>
      </c>
      <c r="K69" s="46">
        <v>30</v>
      </c>
      <c r="L69" s="47">
        <f t="shared" si="3"/>
        <v>0</v>
      </c>
      <c r="M69" s="48">
        <f t="shared" si="4"/>
        <v>0</v>
      </c>
      <c r="N69" s="46">
        <v>30</v>
      </c>
      <c r="O69" s="47">
        <f t="shared" si="5"/>
        <v>0</v>
      </c>
      <c r="P69" s="48">
        <f t="shared" si="6"/>
        <v>0</v>
      </c>
      <c r="Q69" s="46">
        <v>35</v>
      </c>
      <c r="R69" s="47">
        <f t="shared" si="7"/>
        <v>25</v>
      </c>
      <c r="S69" s="48">
        <f t="shared" si="8"/>
        <v>5</v>
      </c>
      <c r="T69" s="29">
        <v>40</v>
      </c>
      <c r="U69" s="47">
        <f t="shared" si="9"/>
        <v>100</v>
      </c>
      <c r="V69" s="48">
        <f t="shared" si="10"/>
        <v>10</v>
      </c>
      <c r="W69" s="2"/>
    </row>
    <row r="70" spans="1:23">
      <c r="A70" s="43">
        <v>64</v>
      </c>
      <c r="B70" s="49" t="s">
        <v>19</v>
      </c>
      <c r="C70" s="49" t="s">
        <v>207</v>
      </c>
      <c r="D70" s="49">
        <v>25</v>
      </c>
      <c r="E70" s="49">
        <v>20</v>
      </c>
      <c r="F70" s="50">
        <f t="shared" si="11"/>
        <v>22.5</v>
      </c>
      <c r="G70" s="45"/>
      <c r="H70" s="46">
        <v>30</v>
      </c>
      <c r="I70" s="47">
        <f t="shared" si="1"/>
        <v>56.25</v>
      </c>
      <c r="J70" s="48">
        <f t="shared" si="2"/>
        <v>7.5</v>
      </c>
      <c r="K70" s="46">
        <v>35</v>
      </c>
      <c r="L70" s="47">
        <f t="shared" si="3"/>
        <v>156.25</v>
      </c>
      <c r="M70" s="48">
        <f t="shared" si="4"/>
        <v>12.5</v>
      </c>
      <c r="N70" s="46">
        <v>35</v>
      </c>
      <c r="O70" s="47">
        <f t="shared" si="5"/>
        <v>156.25</v>
      </c>
      <c r="P70" s="48">
        <f t="shared" si="6"/>
        <v>12.5</v>
      </c>
      <c r="Q70" s="46">
        <v>25</v>
      </c>
      <c r="R70" s="47">
        <f t="shared" si="7"/>
        <v>6.25</v>
      </c>
      <c r="S70" s="48">
        <f t="shared" si="8"/>
        <v>2.5</v>
      </c>
      <c r="T70" s="29">
        <v>30</v>
      </c>
      <c r="U70" s="47">
        <f t="shared" si="9"/>
        <v>56.25</v>
      </c>
      <c r="V70" s="48">
        <f t="shared" si="10"/>
        <v>7.5</v>
      </c>
      <c r="W70" s="2"/>
    </row>
    <row r="71" spans="1:23">
      <c r="A71" s="49">
        <v>65</v>
      </c>
      <c r="B71" s="49" t="s">
        <v>19</v>
      </c>
      <c r="C71" s="49" t="s">
        <v>124</v>
      </c>
      <c r="D71" s="49">
        <v>40</v>
      </c>
      <c r="E71" s="49">
        <v>40</v>
      </c>
      <c r="F71" s="50">
        <f t="shared" si="11"/>
        <v>40</v>
      </c>
      <c r="G71" s="45"/>
      <c r="H71" s="46">
        <v>30</v>
      </c>
      <c r="I71" s="47">
        <f t="shared" si="1"/>
        <v>100</v>
      </c>
      <c r="J71" s="48">
        <f t="shared" si="2"/>
        <v>10</v>
      </c>
      <c r="K71" s="46">
        <v>30</v>
      </c>
      <c r="L71" s="47">
        <f t="shared" si="3"/>
        <v>100</v>
      </c>
      <c r="M71" s="48">
        <f t="shared" si="4"/>
        <v>10</v>
      </c>
      <c r="N71" s="46">
        <v>35</v>
      </c>
      <c r="O71" s="47">
        <f t="shared" si="5"/>
        <v>25</v>
      </c>
      <c r="P71" s="48">
        <f t="shared" si="6"/>
        <v>5</v>
      </c>
      <c r="Q71" s="46">
        <v>30</v>
      </c>
      <c r="R71" s="47">
        <f t="shared" si="7"/>
        <v>100</v>
      </c>
      <c r="S71" s="48">
        <f t="shared" si="8"/>
        <v>10</v>
      </c>
      <c r="T71" s="29">
        <v>40</v>
      </c>
      <c r="U71" s="47">
        <f t="shared" si="9"/>
        <v>0</v>
      </c>
      <c r="V71" s="48">
        <f t="shared" si="10"/>
        <v>0</v>
      </c>
      <c r="W71" s="2"/>
    </row>
    <row r="72" spans="1:23">
      <c r="A72" s="49">
        <v>66</v>
      </c>
      <c r="B72" s="49" t="s">
        <v>19</v>
      </c>
      <c r="C72" s="50" t="s">
        <v>212</v>
      </c>
      <c r="D72" s="49">
        <v>10</v>
      </c>
      <c r="E72" s="49">
        <v>25</v>
      </c>
      <c r="F72" s="50">
        <f t="shared" si="11"/>
        <v>17.5</v>
      </c>
      <c r="G72" s="45"/>
      <c r="H72" s="46">
        <v>10</v>
      </c>
      <c r="I72" s="47">
        <f t="shared" si="1"/>
        <v>56.25</v>
      </c>
      <c r="J72" s="48">
        <f t="shared" si="2"/>
        <v>7.5</v>
      </c>
      <c r="K72" s="46">
        <v>25</v>
      </c>
      <c r="L72" s="47">
        <f t="shared" si="3"/>
        <v>56.25</v>
      </c>
      <c r="M72" s="48">
        <f t="shared" si="4"/>
        <v>7.5</v>
      </c>
      <c r="N72" s="46">
        <v>10</v>
      </c>
      <c r="O72" s="47">
        <f t="shared" si="5"/>
        <v>56.25</v>
      </c>
      <c r="P72" s="48">
        <f t="shared" si="6"/>
        <v>7.5</v>
      </c>
      <c r="Q72" s="46">
        <v>25</v>
      </c>
      <c r="R72" s="47">
        <f t="shared" si="7"/>
        <v>56.25</v>
      </c>
      <c r="S72" s="48">
        <f t="shared" si="8"/>
        <v>7.5</v>
      </c>
      <c r="T72" s="29">
        <v>20</v>
      </c>
      <c r="U72" s="47">
        <f t="shared" si="9"/>
        <v>6.25</v>
      </c>
      <c r="V72" s="48">
        <f t="shared" si="10"/>
        <v>2.5</v>
      </c>
      <c r="W72" s="2"/>
    </row>
    <row r="73" spans="1:23">
      <c r="A73" s="51">
        <v>67</v>
      </c>
      <c r="B73" s="50" t="s">
        <v>19</v>
      </c>
      <c r="C73" s="50" t="s">
        <v>215</v>
      </c>
      <c r="D73" s="49">
        <v>0</v>
      </c>
      <c r="E73" s="49">
        <v>0</v>
      </c>
      <c r="F73" s="50">
        <f t="shared" si="11"/>
        <v>0</v>
      </c>
      <c r="G73" s="45"/>
      <c r="H73" s="46">
        <v>30</v>
      </c>
      <c r="I73" s="47">
        <f t="shared" si="1"/>
        <v>900</v>
      </c>
      <c r="J73" s="48">
        <f t="shared" si="2"/>
        <v>30</v>
      </c>
      <c r="K73" s="46">
        <v>25</v>
      </c>
      <c r="L73" s="47">
        <f t="shared" si="3"/>
        <v>625</v>
      </c>
      <c r="M73" s="48">
        <f t="shared" si="4"/>
        <v>25</v>
      </c>
      <c r="N73" s="46">
        <v>20</v>
      </c>
      <c r="O73" s="47">
        <f t="shared" si="5"/>
        <v>400</v>
      </c>
      <c r="P73" s="48">
        <f t="shared" si="6"/>
        <v>20</v>
      </c>
      <c r="Q73" s="46">
        <v>35</v>
      </c>
      <c r="R73" s="47">
        <f t="shared" si="7"/>
        <v>1225</v>
      </c>
      <c r="S73" s="48">
        <f t="shared" si="8"/>
        <v>35</v>
      </c>
      <c r="T73" s="29">
        <v>40</v>
      </c>
      <c r="U73" s="47">
        <f t="shared" si="9"/>
        <v>1600</v>
      </c>
      <c r="V73" s="48">
        <f t="shared" si="10"/>
        <v>40</v>
      </c>
      <c r="W73" s="2"/>
    </row>
    <row r="74" spans="1:23">
      <c r="A74" s="49">
        <v>68</v>
      </c>
      <c r="B74" s="50" t="s">
        <v>19</v>
      </c>
      <c r="C74" s="50" t="s">
        <v>218</v>
      </c>
      <c r="D74" s="49">
        <v>10</v>
      </c>
      <c r="E74" s="49">
        <v>10</v>
      </c>
      <c r="F74" s="50">
        <f t="shared" si="11"/>
        <v>10</v>
      </c>
      <c r="G74" s="45"/>
      <c r="H74" s="46">
        <v>30</v>
      </c>
      <c r="I74" s="47">
        <f t="shared" si="1"/>
        <v>400</v>
      </c>
      <c r="J74" s="48">
        <f t="shared" si="2"/>
        <v>20</v>
      </c>
      <c r="K74" s="46">
        <v>40</v>
      </c>
      <c r="L74" s="47">
        <f t="shared" si="3"/>
        <v>900</v>
      </c>
      <c r="M74" s="48">
        <f t="shared" si="4"/>
        <v>30</v>
      </c>
      <c r="N74" s="46">
        <v>20</v>
      </c>
      <c r="O74" s="47">
        <f t="shared" si="5"/>
        <v>100</v>
      </c>
      <c r="P74" s="48">
        <f t="shared" si="6"/>
        <v>10</v>
      </c>
      <c r="Q74" s="46">
        <v>35</v>
      </c>
      <c r="R74" s="47">
        <f t="shared" si="7"/>
        <v>625</v>
      </c>
      <c r="S74" s="48">
        <f t="shared" si="8"/>
        <v>25</v>
      </c>
      <c r="T74" s="29">
        <v>30</v>
      </c>
      <c r="U74" s="47">
        <f t="shared" si="9"/>
        <v>400</v>
      </c>
      <c r="V74" s="48">
        <f t="shared" si="10"/>
        <v>20</v>
      </c>
      <c r="W74" s="2"/>
    </row>
    <row r="75" spans="1:23">
      <c r="A75" s="51">
        <v>70</v>
      </c>
      <c r="B75" s="50" t="s">
        <v>19</v>
      </c>
      <c r="C75" s="49" t="s">
        <v>223</v>
      </c>
      <c r="D75" s="49">
        <v>20</v>
      </c>
      <c r="E75" s="49">
        <v>20</v>
      </c>
      <c r="F75" s="50">
        <f t="shared" si="11"/>
        <v>20</v>
      </c>
      <c r="G75" s="45"/>
      <c r="H75" s="46">
        <v>10</v>
      </c>
      <c r="I75" s="47">
        <f t="shared" si="1"/>
        <v>100</v>
      </c>
      <c r="J75" s="48">
        <f t="shared" si="2"/>
        <v>10</v>
      </c>
      <c r="K75" s="46">
        <v>25</v>
      </c>
      <c r="L75" s="47">
        <f t="shared" si="3"/>
        <v>25</v>
      </c>
      <c r="M75" s="48">
        <f t="shared" si="4"/>
        <v>5</v>
      </c>
      <c r="N75" s="46">
        <v>35</v>
      </c>
      <c r="O75" s="47">
        <f t="shared" si="5"/>
        <v>225</v>
      </c>
      <c r="P75" s="48">
        <f t="shared" si="6"/>
        <v>15</v>
      </c>
      <c r="Q75" s="46">
        <v>25</v>
      </c>
      <c r="R75" s="47">
        <f t="shared" si="7"/>
        <v>25</v>
      </c>
      <c r="S75" s="48">
        <f t="shared" si="8"/>
        <v>5</v>
      </c>
      <c r="T75" s="29">
        <v>20</v>
      </c>
      <c r="U75" s="47">
        <f t="shared" si="9"/>
        <v>0</v>
      </c>
      <c r="V75" s="48">
        <f t="shared" si="10"/>
        <v>0</v>
      </c>
      <c r="W75" s="2"/>
    </row>
    <row r="76" spans="1:23">
      <c r="A76" s="49">
        <v>71</v>
      </c>
      <c r="B76" s="50" t="s">
        <v>19</v>
      </c>
      <c r="C76" s="50" t="s">
        <v>226</v>
      </c>
      <c r="D76" s="49">
        <v>20</v>
      </c>
      <c r="E76" s="49">
        <v>30</v>
      </c>
      <c r="F76" s="50">
        <f t="shared" si="11"/>
        <v>25</v>
      </c>
      <c r="G76" s="45"/>
      <c r="H76" s="46">
        <v>20</v>
      </c>
      <c r="I76" s="47">
        <f t="shared" si="1"/>
        <v>25</v>
      </c>
      <c r="J76" s="48">
        <f t="shared" si="2"/>
        <v>5</v>
      </c>
      <c r="K76" s="46">
        <v>10</v>
      </c>
      <c r="L76" s="47">
        <f t="shared" si="3"/>
        <v>225</v>
      </c>
      <c r="M76" s="48">
        <f t="shared" si="4"/>
        <v>15</v>
      </c>
      <c r="N76" s="46">
        <v>30</v>
      </c>
      <c r="O76" s="47">
        <f t="shared" si="5"/>
        <v>25</v>
      </c>
      <c r="P76" s="48">
        <f t="shared" si="6"/>
        <v>5</v>
      </c>
      <c r="Q76" s="46">
        <v>25</v>
      </c>
      <c r="R76" s="47">
        <f t="shared" si="7"/>
        <v>0</v>
      </c>
      <c r="S76" s="48">
        <f t="shared" si="8"/>
        <v>0</v>
      </c>
      <c r="T76" s="29">
        <v>20</v>
      </c>
      <c r="U76" s="47">
        <f t="shared" si="9"/>
        <v>25</v>
      </c>
      <c r="V76" s="48">
        <f t="shared" si="10"/>
        <v>5</v>
      </c>
      <c r="W76" s="2"/>
    </row>
    <row r="77" spans="1:23">
      <c r="A77" s="49">
        <v>72</v>
      </c>
      <c r="B77" s="50" t="s">
        <v>19</v>
      </c>
      <c r="C77" s="50" t="s">
        <v>229</v>
      </c>
      <c r="D77" s="49">
        <v>5</v>
      </c>
      <c r="E77" s="49">
        <v>10</v>
      </c>
      <c r="F77" s="50">
        <f t="shared" si="11"/>
        <v>7.5</v>
      </c>
      <c r="G77" s="45"/>
      <c r="H77" s="46">
        <v>20</v>
      </c>
      <c r="I77" s="47">
        <f t="shared" si="1"/>
        <v>156.25</v>
      </c>
      <c r="J77" s="48">
        <f t="shared" si="2"/>
        <v>12.5</v>
      </c>
      <c r="K77" s="46">
        <v>25</v>
      </c>
      <c r="L77" s="47">
        <f t="shared" si="3"/>
        <v>306.25</v>
      </c>
      <c r="M77" s="48">
        <f t="shared" si="4"/>
        <v>17.5</v>
      </c>
      <c r="N77" s="46">
        <v>35</v>
      </c>
      <c r="O77" s="47">
        <f t="shared" si="5"/>
        <v>756.25</v>
      </c>
      <c r="P77" s="48">
        <f t="shared" si="6"/>
        <v>27.5</v>
      </c>
      <c r="Q77" s="46">
        <v>30</v>
      </c>
      <c r="R77" s="47">
        <f t="shared" si="7"/>
        <v>506.25</v>
      </c>
      <c r="S77" s="48">
        <f t="shared" si="8"/>
        <v>22.5</v>
      </c>
      <c r="T77" s="29">
        <v>40</v>
      </c>
      <c r="U77" s="47">
        <f t="shared" si="9"/>
        <v>1056.25</v>
      </c>
      <c r="V77" s="48">
        <f t="shared" si="10"/>
        <v>32.5</v>
      </c>
      <c r="W77" s="2"/>
    </row>
    <row r="78" spans="1:23">
      <c r="A78" s="43">
        <v>73</v>
      </c>
      <c r="B78" s="50" t="s">
        <v>19</v>
      </c>
      <c r="C78" s="50" t="s">
        <v>232</v>
      </c>
      <c r="D78" s="49">
        <v>10</v>
      </c>
      <c r="E78" s="49">
        <v>20</v>
      </c>
      <c r="F78" s="50">
        <f t="shared" si="11"/>
        <v>15</v>
      </c>
      <c r="G78" s="45"/>
      <c r="H78" s="46">
        <v>10</v>
      </c>
      <c r="I78" s="47">
        <f t="shared" si="1"/>
        <v>25</v>
      </c>
      <c r="J78" s="48">
        <f t="shared" si="2"/>
        <v>5</v>
      </c>
      <c r="K78" s="46">
        <v>10</v>
      </c>
      <c r="L78" s="47">
        <f t="shared" si="3"/>
        <v>25</v>
      </c>
      <c r="M78" s="48">
        <f t="shared" si="4"/>
        <v>5</v>
      </c>
      <c r="N78" s="46">
        <v>10</v>
      </c>
      <c r="O78" s="47">
        <f t="shared" si="5"/>
        <v>25</v>
      </c>
      <c r="P78" s="48">
        <f t="shared" si="6"/>
        <v>5</v>
      </c>
      <c r="Q78" s="46">
        <v>15</v>
      </c>
      <c r="R78" s="47">
        <f t="shared" si="7"/>
        <v>0</v>
      </c>
      <c r="S78" s="48">
        <f t="shared" si="8"/>
        <v>0</v>
      </c>
      <c r="T78" s="29">
        <v>20</v>
      </c>
      <c r="U78" s="47">
        <f t="shared" si="9"/>
        <v>25</v>
      </c>
      <c r="V78" s="48">
        <f t="shared" si="10"/>
        <v>5</v>
      </c>
      <c r="W78" s="2"/>
    </row>
    <row r="79" spans="1:23">
      <c r="A79" s="49">
        <v>74</v>
      </c>
      <c r="B79" s="50" t="s">
        <v>19</v>
      </c>
      <c r="C79" s="50" t="s">
        <v>235</v>
      </c>
      <c r="D79" s="49">
        <v>20</v>
      </c>
      <c r="E79" s="49">
        <v>20</v>
      </c>
      <c r="F79" s="50">
        <f t="shared" si="11"/>
        <v>20</v>
      </c>
      <c r="G79" s="45"/>
      <c r="H79" s="46">
        <v>30</v>
      </c>
      <c r="I79" s="47">
        <f t="shared" si="1"/>
        <v>100</v>
      </c>
      <c r="J79" s="48">
        <f t="shared" si="2"/>
        <v>10</v>
      </c>
      <c r="K79" s="46">
        <v>40</v>
      </c>
      <c r="L79" s="47">
        <f t="shared" si="3"/>
        <v>400</v>
      </c>
      <c r="M79" s="48">
        <f t="shared" si="4"/>
        <v>20</v>
      </c>
      <c r="N79" s="46">
        <v>40</v>
      </c>
      <c r="O79" s="47">
        <f t="shared" si="5"/>
        <v>400</v>
      </c>
      <c r="P79" s="48">
        <f t="shared" si="6"/>
        <v>20</v>
      </c>
      <c r="Q79" s="46">
        <v>35</v>
      </c>
      <c r="R79" s="47">
        <f t="shared" si="7"/>
        <v>225</v>
      </c>
      <c r="S79" s="48">
        <f t="shared" si="8"/>
        <v>15</v>
      </c>
      <c r="T79" s="29">
        <v>35</v>
      </c>
      <c r="U79" s="47">
        <f t="shared" si="9"/>
        <v>225</v>
      </c>
      <c r="V79" s="48">
        <f t="shared" si="10"/>
        <v>15</v>
      </c>
      <c r="W79" s="2"/>
    </row>
    <row r="80" spans="1:23">
      <c r="A80" s="49">
        <v>75</v>
      </c>
      <c r="B80" s="50" t="s">
        <v>19</v>
      </c>
      <c r="C80" s="50" t="s">
        <v>238</v>
      </c>
      <c r="D80" s="49">
        <v>0</v>
      </c>
      <c r="E80" s="49">
        <v>0</v>
      </c>
      <c r="F80" s="50">
        <f t="shared" si="11"/>
        <v>0</v>
      </c>
      <c r="G80" s="45"/>
      <c r="H80" s="46">
        <v>20</v>
      </c>
      <c r="I80" s="47">
        <f t="shared" si="1"/>
        <v>400</v>
      </c>
      <c r="J80" s="48">
        <f t="shared" si="2"/>
        <v>20</v>
      </c>
      <c r="K80" s="46">
        <v>20</v>
      </c>
      <c r="L80" s="47">
        <f t="shared" si="3"/>
        <v>400</v>
      </c>
      <c r="M80" s="48">
        <f t="shared" si="4"/>
        <v>20</v>
      </c>
      <c r="N80" s="46">
        <v>20</v>
      </c>
      <c r="O80" s="47">
        <f t="shared" si="5"/>
        <v>400</v>
      </c>
      <c r="P80" s="48">
        <f t="shared" si="6"/>
        <v>20</v>
      </c>
      <c r="Q80" s="46">
        <v>20</v>
      </c>
      <c r="R80" s="47">
        <f t="shared" si="7"/>
        <v>400</v>
      </c>
      <c r="S80" s="48">
        <f t="shared" si="8"/>
        <v>20</v>
      </c>
      <c r="T80" s="29">
        <v>20</v>
      </c>
      <c r="U80" s="47">
        <f t="shared" si="9"/>
        <v>400</v>
      </c>
      <c r="V80" s="48">
        <f t="shared" si="10"/>
        <v>20</v>
      </c>
      <c r="W80" s="2"/>
    </row>
    <row r="81" spans="1:23">
      <c r="A81" s="51">
        <v>76</v>
      </c>
      <c r="B81" s="50" t="s">
        <v>19</v>
      </c>
      <c r="C81" s="50" t="s">
        <v>241</v>
      </c>
      <c r="D81" s="49">
        <v>40</v>
      </c>
      <c r="E81" s="49">
        <v>40</v>
      </c>
      <c r="F81" s="50">
        <f t="shared" si="11"/>
        <v>40</v>
      </c>
      <c r="G81" s="45"/>
      <c r="H81" s="46">
        <v>30</v>
      </c>
      <c r="I81" s="47">
        <f t="shared" si="1"/>
        <v>100</v>
      </c>
      <c r="J81" s="48">
        <f t="shared" si="2"/>
        <v>10</v>
      </c>
      <c r="K81" s="46">
        <v>25</v>
      </c>
      <c r="L81" s="47">
        <f t="shared" si="3"/>
        <v>225</v>
      </c>
      <c r="M81" s="48">
        <f t="shared" si="4"/>
        <v>15</v>
      </c>
      <c r="N81" s="46">
        <v>25</v>
      </c>
      <c r="O81" s="47">
        <f t="shared" si="5"/>
        <v>225</v>
      </c>
      <c r="P81" s="48">
        <f t="shared" si="6"/>
        <v>15</v>
      </c>
      <c r="Q81" s="46">
        <v>35</v>
      </c>
      <c r="R81" s="47">
        <f t="shared" si="7"/>
        <v>25</v>
      </c>
      <c r="S81" s="48">
        <f t="shared" si="8"/>
        <v>5</v>
      </c>
      <c r="T81" s="29">
        <v>20</v>
      </c>
      <c r="U81" s="47">
        <f t="shared" si="9"/>
        <v>400</v>
      </c>
      <c r="V81" s="48">
        <f t="shared" si="10"/>
        <v>20</v>
      </c>
      <c r="W81" s="2"/>
    </row>
    <row r="82" spans="1:23">
      <c r="A82" s="49">
        <v>77</v>
      </c>
      <c r="B82" s="50" t="s">
        <v>19</v>
      </c>
      <c r="C82" s="50" t="s">
        <v>244</v>
      </c>
      <c r="D82" s="49">
        <v>40</v>
      </c>
      <c r="E82" s="49">
        <v>40</v>
      </c>
      <c r="F82" s="50">
        <f t="shared" si="11"/>
        <v>40</v>
      </c>
      <c r="G82" s="45"/>
      <c r="H82" s="46">
        <v>30</v>
      </c>
      <c r="I82" s="47">
        <f t="shared" si="1"/>
        <v>100</v>
      </c>
      <c r="J82" s="48">
        <f t="shared" si="2"/>
        <v>10</v>
      </c>
      <c r="K82" s="46">
        <v>35</v>
      </c>
      <c r="L82" s="47">
        <f t="shared" si="3"/>
        <v>25</v>
      </c>
      <c r="M82" s="48">
        <f t="shared" si="4"/>
        <v>5</v>
      </c>
      <c r="N82" s="46">
        <v>40</v>
      </c>
      <c r="O82" s="47">
        <f t="shared" si="5"/>
        <v>0</v>
      </c>
      <c r="P82" s="48">
        <f t="shared" si="6"/>
        <v>0</v>
      </c>
      <c r="Q82" s="46">
        <v>35</v>
      </c>
      <c r="R82" s="47">
        <f t="shared" si="7"/>
        <v>25</v>
      </c>
      <c r="S82" s="48">
        <f t="shared" si="8"/>
        <v>5</v>
      </c>
      <c r="T82" s="29">
        <v>40</v>
      </c>
      <c r="U82" s="47">
        <f t="shared" si="9"/>
        <v>0</v>
      </c>
      <c r="V82" s="48">
        <f t="shared" si="10"/>
        <v>0</v>
      </c>
      <c r="W82" s="2"/>
    </row>
    <row r="83" spans="1:23">
      <c r="A83" s="49">
        <v>78</v>
      </c>
      <c r="B83" s="50" t="s">
        <v>19</v>
      </c>
      <c r="C83" s="50" t="s">
        <v>247</v>
      </c>
      <c r="D83" s="49">
        <v>40</v>
      </c>
      <c r="E83" s="49">
        <v>40</v>
      </c>
      <c r="F83" s="50">
        <f t="shared" si="11"/>
        <v>40</v>
      </c>
      <c r="G83" s="45"/>
      <c r="H83" s="46">
        <v>30</v>
      </c>
      <c r="I83" s="47">
        <f t="shared" si="1"/>
        <v>100</v>
      </c>
      <c r="J83" s="48">
        <f t="shared" si="2"/>
        <v>10</v>
      </c>
      <c r="K83" s="46">
        <v>35</v>
      </c>
      <c r="L83" s="47">
        <f t="shared" si="3"/>
        <v>25</v>
      </c>
      <c r="M83" s="48">
        <f t="shared" si="4"/>
        <v>5</v>
      </c>
      <c r="N83" s="46">
        <v>40</v>
      </c>
      <c r="O83" s="47">
        <f t="shared" si="5"/>
        <v>0</v>
      </c>
      <c r="P83" s="48">
        <f t="shared" si="6"/>
        <v>0</v>
      </c>
      <c r="Q83" s="46">
        <v>35</v>
      </c>
      <c r="R83" s="47">
        <f t="shared" si="7"/>
        <v>25</v>
      </c>
      <c r="S83" s="48">
        <f t="shared" si="8"/>
        <v>5</v>
      </c>
      <c r="T83" s="29">
        <v>35</v>
      </c>
      <c r="U83" s="47">
        <f t="shared" si="9"/>
        <v>25</v>
      </c>
      <c r="V83" s="48">
        <f t="shared" si="10"/>
        <v>5</v>
      </c>
      <c r="W83" s="2"/>
    </row>
    <row r="84" spans="1:23">
      <c r="A84" s="49">
        <v>80</v>
      </c>
      <c r="B84" s="50" t="s">
        <v>19</v>
      </c>
      <c r="C84" s="49" t="s">
        <v>252</v>
      </c>
      <c r="D84" s="49">
        <v>0</v>
      </c>
      <c r="E84" s="49">
        <v>5</v>
      </c>
      <c r="F84" s="50">
        <f t="shared" si="11"/>
        <v>2.5</v>
      </c>
      <c r="G84" s="45"/>
      <c r="H84" s="46">
        <v>30</v>
      </c>
      <c r="I84" s="47">
        <f t="shared" si="1"/>
        <v>756.25</v>
      </c>
      <c r="J84" s="48">
        <f t="shared" si="2"/>
        <v>27.5</v>
      </c>
      <c r="K84" s="46">
        <v>30</v>
      </c>
      <c r="L84" s="47">
        <f t="shared" si="3"/>
        <v>756.25</v>
      </c>
      <c r="M84" s="48">
        <f t="shared" si="4"/>
        <v>27.5</v>
      </c>
      <c r="N84" s="46">
        <v>30</v>
      </c>
      <c r="O84" s="47">
        <f t="shared" si="5"/>
        <v>756.25</v>
      </c>
      <c r="P84" s="48">
        <f t="shared" si="6"/>
        <v>27.5</v>
      </c>
      <c r="Q84" s="46">
        <v>35</v>
      </c>
      <c r="R84" s="47">
        <f t="shared" si="7"/>
        <v>1056.25</v>
      </c>
      <c r="S84" s="48">
        <f t="shared" si="8"/>
        <v>32.5</v>
      </c>
      <c r="T84" s="29">
        <v>20</v>
      </c>
      <c r="U84" s="47">
        <f t="shared" si="9"/>
        <v>306.25</v>
      </c>
      <c r="V84" s="48">
        <f t="shared" si="10"/>
        <v>17.5</v>
      </c>
      <c r="W84" s="2"/>
    </row>
    <row r="85" spans="1:23">
      <c r="A85" s="49">
        <v>81</v>
      </c>
      <c r="B85" s="50" t="s">
        <v>19</v>
      </c>
      <c r="C85" s="49" t="s">
        <v>255</v>
      </c>
      <c r="D85" s="49">
        <v>10</v>
      </c>
      <c r="E85" s="49">
        <v>10</v>
      </c>
      <c r="F85" s="50">
        <f t="shared" si="11"/>
        <v>10</v>
      </c>
      <c r="G85" s="45"/>
      <c r="H85" s="46">
        <v>20</v>
      </c>
      <c r="I85" s="47">
        <f t="shared" si="1"/>
        <v>100</v>
      </c>
      <c r="J85" s="48">
        <f t="shared" si="2"/>
        <v>10</v>
      </c>
      <c r="K85" s="46">
        <v>20</v>
      </c>
      <c r="L85" s="47">
        <f t="shared" si="3"/>
        <v>100</v>
      </c>
      <c r="M85" s="48">
        <f t="shared" si="4"/>
        <v>10</v>
      </c>
      <c r="N85" s="46">
        <v>15</v>
      </c>
      <c r="O85" s="47">
        <f t="shared" si="5"/>
        <v>25</v>
      </c>
      <c r="P85" s="48">
        <f t="shared" si="6"/>
        <v>5</v>
      </c>
      <c r="Q85" s="46">
        <v>25</v>
      </c>
      <c r="R85" s="47">
        <f t="shared" si="7"/>
        <v>225</v>
      </c>
      <c r="S85" s="48">
        <f t="shared" si="8"/>
        <v>15</v>
      </c>
      <c r="T85" s="29">
        <v>20</v>
      </c>
      <c r="U85" s="47">
        <f t="shared" si="9"/>
        <v>100</v>
      </c>
      <c r="V85" s="48">
        <f t="shared" si="10"/>
        <v>10</v>
      </c>
      <c r="W85" s="2"/>
    </row>
    <row r="86" spans="1:23">
      <c r="A86" s="43">
        <v>82</v>
      </c>
      <c r="B86" s="50" t="s">
        <v>19</v>
      </c>
      <c r="C86" s="49" t="s">
        <v>258</v>
      </c>
      <c r="D86" s="49">
        <v>30</v>
      </c>
      <c r="E86" s="49">
        <v>32</v>
      </c>
      <c r="F86" s="50">
        <f t="shared" si="11"/>
        <v>31</v>
      </c>
      <c r="G86" s="45"/>
      <c r="H86" s="46">
        <v>30</v>
      </c>
      <c r="I86" s="47">
        <f t="shared" si="1"/>
        <v>1</v>
      </c>
      <c r="J86" s="48">
        <f t="shared" si="2"/>
        <v>1</v>
      </c>
      <c r="K86" s="46">
        <v>35</v>
      </c>
      <c r="L86" s="47">
        <f t="shared" si="3"/>
        <v>16</v>
      </c>
      <c r="M86" s="48">
        <f t="shared" si="4"/>
        <v>4</v>
      </c>
      <c r="N86" s="46">
        <v>40</v>
      </c>
      <c r="O86" s="47">
        <f t="shared" si="5"/>
        <v>81</v>
      </c>
      <c r="P86" s="48">
        <f t="shared" si="6"/>
        <v>9</v>
      </c>
      <c r="Q86" s="46">
        <v>35</v>
      </c>
      <c r="R86" s="47">
        <f t="shared" si="7"/>
        <v>16</v>
      </c>
      <c r="S86" s="48">
        <f t="shared" si="8"/>
        <v>4</v>
      </c>
      <c r="T86" s="29">
        <v>30</v>
      </c>
      <c r="U86" s="47">
        <f t="shared" si="9"/>
        <v>1</v>
      </c>
      <c r="V86" s="48">
        <f t="shared" si="10"/>
        <v>1</v>
      </c>
      <c r="W86" s="2"/>
    </row>
    <row r="87" spans="1:23">
      <c r="A87" s="49">
        <v>83</v>
      </c>
      <c r="B87" s="50" t="s">
        <v>19</v>
      </c>
      <c r="C87" s="50" t="s">
        <v>261</v>
      </c>
      <c r="D87" s="49">
        <v>0</v>
      </c>
      <c r="E87" s="49">
        <v>0</v>
      </c>
      <c r="F87" s="50">
        <f t="shared" si="11"/>
        <v>0</v>
      </c>
      <c r="G87" s="45"/>
      <c r="H87" s="46">
        <v>20</v>
      </c>
      <c r="I87" s="47">
        <f t="shared" si="1"/>
        <v>400</v>
      </c>
      <c r="J87" s="48">
        <f t="shared" si="2"/>
        <v>20</v>
      </c>
      <c r="K87" s="46">
        <v>20</v>
      </c>
      <c r="L87" s="47">
        <f t="shared" si="3"/>
        <v>400</v>
      </c>
      <c r="M87" s="48">
        <f t="shared" si="4"/>
        <v>20</v>
      </c>
      <c r="N87" s="46">
        <v>10</v>
      </c>
      <c r="O87" s="47">
        <f t="shared" si="5"/>
        <v>100</v>
      </c>
      <c r="P87" s="48">
        <f t="shared" si="6"/>
        <v>10</v>
      </c>
      <c r="Q87" s="46">
        <v>25</v>
      </c>
      <c r="R87" s="47">
        <f t="shared" si="7"/>
        <v>625</v>
      </c>
      <c r="S87" s="48">
        <f t="shared" si="8"/>
        <v>25</v>
      </c>
      <c r="T87" s="29">
        <v>20</v>
      </c>
      <c r="U87" s="47">
        <f t="shared" si="9"/>
        <v>400</v>
      </c>
      <c r="V87" s="48">
        <f t="shared" si="10"/>
        <v>20</v>
      </c>
      <c r="W87" s="2"/>
    </row>
    <row r="88" spans="1:23">
      <c r="A88" s="49">
        <v>84</v>
      </c>
      <c r="B88" s="50" t="s">
        <v>19</v>
      </c>
      <c r="C88" s="50" t="s">
        <v>264</v>
      </c>
      <c r="D88" s="49">
        <v>30</v>
      </c>
      <c r="E88" s="49">
        <v>35</v>
      </c>
      <c r="F88" s="50">
        <f t="shared" si="11"/>
        <v>32.5</v>
      </c>
      <c r="G88" s="45"/>
      <c r="H88" s="46">
        <v>30</v>
      </c>
      <c r="I88" s="47">
        <f t="shared" si="1"/>
        <v>6.25</v>
      </c>
      <c r="J88" s="48">
        <f t="shared" si="2"/>
        <v>2.5</v>
      </c>
      <c r="K88" s="46">
        <v>35</v>
      </c>
      <c r="L88" s="47">
        <f t="shared" si="3"/>
        <v>6.25</v>
      </c>
      <c r="M88" s="48">
        <f t="shared" si="4"/>
        <v>2.5</v>
      </c>
      <c r="N88" s="46">
        <v>40</v>
      </c>
      <c r="O88" s="47">
        <f t="shared" si="5"/>
        <v>56.25</v>
      </c>
      <c r="P88" s="48">
        <f t="shared" si="6"/>
        <v>7.5</v>
      </c>
      <c r="Q88" s="46">
        <v>35</v>
      </c>
      <c r="R88" s="47">
        <f t="shared" si="7"/>
        <v>6.25</v>
      </c>
      <c r="S88" s="48">
        <f t="shared" si="8"/>
        <v>2.5</v>
      </c>
      <c r="T88" s="29">
        <v>35</v>
      </c>
      <c r="U88" s="47">
        <f t="shared" si="9"/>
        <v>6.25</v>
      </c>
      <c r="V88" s="48">
        <f t="shared" si="10"/>
        <v>2.5</v>
      </c>
      <c r="W88" s="2"/>
    </row>
    <row r="89" spans="1:23">
      <c r="A89" s="51">
        <v>85</v>
      </c>
      <c r="B89" s="50" t="s">
        <v>19</v>
      </c>
      <c r="C89" s="50" t="s">
        <v>267</v>
      </c>
      <c r="D89" s="49">
        <v>40</v>
      </c>
      <c r="E89" s="49">
        <v>40</v>
      </c>
      <c r="F89" s="50">
        <f t="shared" si="11"/>
        <v>40</v>
      </c>
      <c r="G89" s="45"/>
      <c r="H89" s="46">
        <v>30</v>
      </c>
      <c r="I89" s="47">
        <f t="shared" si="1"/>
        <v>100</v>
      </c>
      <c r="J89" s="48">
        <f t="shared" si="2"/>
        <v>10</v>
      </c>
      <c r="K89" s="46">
        <v>40</v>
      </c>
      <c r="L89" s="47">
        <f t="shared" si="3"/>
        <v>0</v>
      </c>
      <c r="M89" s="48">
        <f t="shared" si="4"/>
        <v>0</v>
      </c>
      <c r="N89" s="46">
        <v>40</v>
      </c>
      <c r="O89" s="47">
        <f t="shared" si="5"/>
        <v>0</v>
      </c>
      <c r="P89" s="48">
        <f t="shared" si="6"/>
        <v>0</v>
      </c>
      <c r="Q89" s="46">
        <v>35</v>
      </c>
      <c r="R89" s="47">
        <f t="shared" si="7"/>
        <v>25</v>
      </c>
      <c r="S89" s="48">
        <f t="shared" si="8"/>
        <v>5</v>
      </c>
      <c r="T89" s="29">
        <v>35</v>
      </c>
      <c r="U89" s="47">
        <f t="shared" si="9"/>
        <v>25</v>
      </c>
      <c r="V89" s="48">
        <f t="shared" si="10"/>
        <v>5</v>
      </c>
      <c r="W89" s="2"/>
    </row>
    <row r="90" spans="1:23">
      <c r="A90" s="49">
        <v>86</v>
      </c>
      <c r="B90" s="49" t="s">
        <v>19</v>
      </c>
      <c r="C90" s="50" t="s">
        <v>270</v>
      </c>
      <c r="D90" s="49">
        <v>0.5</v>
      </c>
      <c r="E90" s="49">
        <v>0</v>
      </c>
      <c r="F90" s="50">
        <f t="shared" si="11"/>
        <v>0.25</v>
      </c>
      <c r="G90" s="45"/>
      <c r="H90" s="46">
        <v>20</v>
      </c>
      <c r="I90" s="47">
        <f t="shared" si="1"/>
        <v>390.0625</v>
      </c>
      <c r="J90" s="48">
        <f t="shared" si="2"/>
        <v>19.75</v>
      </c>
      <c r="K90" s="46">
        <v>20</v>
      </c>
      <c r="L90" s="47">
        <f t="shared" si="3"/>
        <v>390.0625</v>
      </c>
      <c r="M90" s="48">
        <f t="shared" si="4"/>
        <v>19.75</v>
      </c>
      <c r="N90" s="46">
        <v>20</v>
      </c>
      <c r="O90" s="47">
        <f t="shared" si="5"/>
        <v>390.0625</v>
      </c>
      <c r="P90" s="48">
        <f t="shared" si="6"/>
        <v>19.75</v>
      </c>
      <c r="Q90" s="46">
        <v>15</v>
      </c>
      <c r="R90" s="47">
        <f t="shared" si="7"/>
        <v>217.5625</v>
      </c>
      <c r="S90" s="48">
        <f t="shared" si="8"/>
        <v>14.75</v>
      </c>
      <c r="T90" s="29">
        <v>15</v>
      </c>
      <c r="U90" s="47">
        <f t="shared" si="9"/>
        <v>217.5625</v>
      </c>
      <c r="V90" s="48">
        <f t="shared" si="10"/>
        <v>14.75</v>
      </c>
      <c r="W90" s="2"/>
    </row>
    <row r="91" spans="1:23">
      <c r="A91" s="49">
        <v>87</v>
      </c>
      <c r="B91" s="50" t="s">
        <v>19</v>
      </c>
      <c r="C91" s="50" t="s">
        <v>273</v>
      </c>
      <c r="D91" s="49">
        <v>40</v>
      </c>
      <c r="E91" s="49">
        <v>40</v>
      </c>
      <c r="F91" s="50">
        <f t="shared" si="11"/>
        <v>40</v>
      </c>
      <c r="G91" s="45"/>
      <c r="H91" s="46">
        <v>30</v>
      </c>
      <c r="I91" s="47">
        <f t="shared" si="1"/>
        <v>100</v>
      </c>
      <c r="J91" s="48">
        <f t="shared" si="2"/>
        <v>10</v>
      </c>
      <c r="K91" s="46">
        <v>35</v>
      </c>
      <c r="L91" s="47">
        <f t="shared" si="3"/>
        <v>25</v>
      </c>
      <c r="M91" s="48">
        <f t="shared" si="4"/>
        <v>5</v>
      </c>
      <c r="N91" s="46">
        <v>40</v>
      </c>
      <c r="O91" s="47">
        <f t="shared" si="5"/>
        <v>0</v>
      </c>
      <c r="P91" s="48">
        <f t="shared" si="6"/>
        <v>0</v>
      </c>
      <c r="Q91" s="46">
        <v>35</v>
      </c>
      <c r="R91" s="47">
        <f t="shared" si="7"/>
        <v>25</v>
      </c>
      <c r="S91" s="48">
        <f t="shared" si="8"/>
        <v>5</v>
      </c>
      <c r="T91" s="29">
        <v>30</v>
      </c>
      <c r="U91" s="47">
        <f t="shared" si="9"/>
        <v>100</v>
      </c>
      <c r="V91" s="48">
        <f t="shared" si="10"/>
        <v>10</v>
      </c>
      <c r="W91" s="2"/>
    </row>
    <row r="92" spans="1:23">
      <c r="A92" s="43">
        <v>88</v>
      </c>
      <c r="B92" s="49" t="s">
        <v>19</v>
      </c>
      <c r="C92" s="50" t="s">
        <v>276</v>
      </c>
      <c r="D92" s="49">
        <v>20</v>
      </c>
      <c r="E92" s="49">
        <v>30</v>
      </c>
      <c r="F92" s="50">
        <f t="shared" si="11"/>
        <v>25</v>
      </c>
      <c r="G92" s="45"/>
      <c r="H92" s="46">
        <v>30</v>
      </c>
      <c r="I92" s="47">
        <f t="shared" si="1"/>
        <v>25</v>
      </c>
      <c r="J92" s="48">
        <f t="shared" si="2"/>
        <v>5</v>
      </c>
      <c r="K92" s="46">
        <v>25</v>
      </c>
      <c r="L92" s="47">
        <f t="shared" si="3"/>
        <v>0</v>
      </c>
      <c r="M92" s="48">
        <f t="shared" si="4"/>
        <v>0</v>
      </c>
      <c r="N92" s="46">
        <v>30</v>
      </c>
      <c r="O92" s="47">
        <f t="shared" si="5"/>
        <v>25</v>
      </c>
      <c r="P92" s="48">
        <f t="shared" si="6"/>
        <v>5</v>
      </c>
      <c r="Q92" s="46">
        <v>30</v>
      </c>
      <c r="R92" s="47">
        <f t="shared" si="7"/>
        <v>25</v>
      </c>
      <c r="S92" s="48">
        <f t="shared" si="8"/>
        <v>5</v>
      </c>
      <c r="T92" s="29">
        <v>35</v>
      </c>
      <c r="U92" s="47">
        <f t="shared" si="9"/>
        <v>100</v>
      </c>
      <c r="V92" s="48">
        <f t="shared" si="10"/>
        <v>10</v>
      </c>
      <c r="W92" s="2"/>
    </row>
    <row r="93" spans="1:23">
      <c r="A93" s="49">
        <v>89</v>
      </c>
      <c r="B93" s="50" t="s">
        <v>19</v>
      </c>
      <c r="C93" s="50" t="s">
        <v>279</v>
      </c>
      <c r="D93" s="49">
        <v>0</v>
      </c>
      <c r="E93" s="49">
        <v>0</v>
      </c>
      <c r="F93" s="50">
        <f t="shared" si="11"/>
        <v>0</v>
      </c>
      <c r="G93" s="45"/>
      <c r="H93" s="46">
        <v>30</v>
      </c>
      <c r="I93" s="47">
        <f t="shared" si="1"/>
        <v>900</v>
      </c>
      <c r="J93" s="48">
        <f t="shared" si="2"/>
        <v>30</v>
      </c>
      <c r="K93" s="46">
        <v>30</v>
      </c>
      <c r="L93" s="47">
        <f t="shared" si="3"/>
        <v>900</v>
      </c>
      <c r="M93" s="48">
        <f t="shared" si="4"/>
        <v>30</v>
      </c>
      <c r="N93" s="46">
        <v>25</v>
      </c>
      <c r="O93" s="47">
        <f t="shared" si="5"/>
        <v>625</v>
      </c>
      <c r="P93" s="48">
        <f t="shared" si="6"/>
        <v>25</v>
      </c>
      <c r="Q93" s="46">
        <v>35</v>
      </c>
      <c r="R93" s="47">
        <f t="shared" si="7"/>
        <v>1225</v>
      </c>
      <c r="S93" s="48">
        <f t="shared" si="8"/>
        <v>35</v>
      </c>
      <c r="T93" s="29">
        <v>35</v>
      </c>
      <c r="U93" s="47">
        <f t="shared" si="9"/>
        <v>1225</v>
      </c>
      <c r="V93" s="48">
        <f t="shared" si="10"/>
        <v>35</v>
      </c>
      <c r="W93" s="2"/>
    </row>
    <row r="94" spans="1:23">
      <c r="A94" s="49">
        <v>90</v>
      </c>
      <c r="B94" s="50" t="s">
        <v>19</v>
      </c>
      <c r="C94" s="50" t="s">
        <v>282</v>
      </c>
      <c r="D94" s="49">
        <v>30</v>
      </c>
      <c r="E94" s="49">
        <v>30</v>
      </c>
      <c r="F94" s="50">
        <f t="shared" si="11"/>
        <v>30</v>
      </c>
      <c r="G94" s="45"/>
      <c r="H94" s="46">
        <v>30</v>
      </c>
      <c r="I94" s="47">
        <f t="shared" si="1"/>
        <v>0</v>
      </c>
      <c r="J94" s="48">
        <f t="shared" si="2"/>
        <v>0</v>
      </c>
      <c r="K94" s="46">
        <v>40</v>
      </c>
      <c r="L94" s="47">
        <f t="shared" si="3"/>
        <v>100</v>
      </c>
      <c r="M94" s="48">
        <f t="shared" si="4"/>
        <v>10</v>
      </c>
      <c r="N94" s="46">
        <v>30</v>
      </c>
      <c r="O94" s="47">
        <f t="shared" si="5"/>
        <v>0</v>
      </c>
      <c r="P94" s="48">
        <f t="shared" si="6"/>
        <v>0</v>
      </c>
      <c r="Q94" s="46">
        <v>35</v>
      </c>
      <c r="R94" s="47">
        <f t="shared" si="7"/>
        <v>25</v>
      </c>
      <c r="S94" s="48">
        <f t="shared" si="8"/>
        <v>5</v>
      </c>
      <c r="T94" s="29">
        <v>35</v>
      </c>
      <c r="U94" s="47">
        <f t="shared" si="9"/>
        <v>25</v>
      </c>
      <c r="V94" s="48">
        <f t="shared" si="10"/>
        <v>5</v>
      </c>
      <c r="W94" s="2"/>
    </row>
    <row r="95" spans="1:23">
      <c r="A95" s="51">
        <v>91</v>
      </c>
      <c r="B95" s="50" t="s">
        <v>19</v>
      </c>
      <c r="C95" s="50" t="s">
        <v>285</v>
      </c>
      <c r="D95" s="49">
        <v>40</v>
      </c>
      <c r="E95" s="49">
        <v>40</v>
      </c>
      <c r="F95" s="50">
        <f t="shared" si="11"/>
        <v>40</v>
      </c>
      <c r="G95" s="45"/>
      <c r="H95" s="46">
        <v>30</v>
      </c>
      <c r="I95" s="47">
        <f t="shared" si="1"/>
        <v>100</v>
      </c>
      <c r="J95" s="48">
        <f t="shared" si="2"/>
        <v>10</v>
      </c>
      <c r="K95" s="46">
        <v>30</v>
      </c>
      <c r="L95" s="47">
        <f t="shared" si="3"/>
        <v>100</v>
      </c>
      <c r="M95" s="48">
        <f t="shared" si="4"/>
        <v>10</v>
      </c>
      <c r="N95" s="46">
        <v>40</v>
      </c>
      <c r="O95" s="47">
        <f t="shared" si="5"/>
        <v>0</v>
      </c>
      <c r="P95" s="48">
        <f t="shared" si="6"/>
        <v>0</v>
      </c>
      <c r="Q95" s="46">
        <v>35</v>
      </c>
      <c r="R95" s="47">
        <f t="shared" si="7"/>
        <v>25</v>
      </c>
      <c r="S95" s="48">
        <f t="shared" si="8"/>
        <v>5</v>
      </c>
      <c r="T95" s="29">
        <v>35</v>
      </c>
      <c r="U95" s="47">
        <f t="shared" si="9"/>
        <v>25</v>
      </c>
      <c r="V95" s="48">
        <f t="shared" si="10"/>
        <v>5</v>
      </c>
      <c r="W95" s="2"/>
    </row>
    <row r="96" spans="1:23">
      <c r="A96" s="49">
        <v>92</v>
      </c>
      <c r="B96" s="50" t="s">
        <v>19</v>
      </c>
      <c r="C96" s="50" t="s">
        <v>288</v>
      </c>
      <c r="D96" s="49">
        <v>30</v>
      </c>
      <c r="E96" s="49">
        <v>30</v>
      </c>
      <c r="F96" s="50">
        <f t="shared" si="11"/>
        <v>30</v>
      </c>
      <c r="G96" s="45"/>
      <c r="H96" s="46">
        <v>30</v>
      </c>
      <c r="I96" s="47">
        <f t="shared" si="1"/>
        <v>0</v>
      </c>
      <c r="J96" s="48">
        <f t="shared" si="2"/>
        <v>0</v>
      </c>
      <c r="K96" s="46">
        <v>25</v>
      </c>
      <c r="L96" s="47">
        <f t="shared" si="3"/>
        <v>25</v>
      </c>
      <c r="M96" s="48">
        <f t="shared" si="4"/>
        <v>5</v>
      </c>
      <c r="N96" s="46">
        <v>30</v>
      </c>
      <c r="O96" s="47">
        <f t="shared" si="5"/>
        <v>0</v>
      </c>
      <c r="P96" s="48">
        <f t="shared" si="6"/>
        <v>0</v>
      </c>
      <c r="Q96" s="46">
        <v>35</v>
      </c>
      <c r="R96" s="47">
        <f t="shared" si="7"/>
        <v>25</v>
      </c>
      <c r="S96" s="48">
        <f t="shared" si="8"/>
        <v>5</v>
      </c>
      <c r="T96" s="29">
        <v>40</v>
      </c>
      <c r="U96" s="47">
        <f t="shared" si="9"/>
        <v>100</v>
      </c>
      <c r="V96" s="48">
        <f t="shared" si="10"/>
        <v>10</v>
      </c>
      <c r="W96" s="2"/>
    </row>
    <row r="97" spans="1:23">
      <c r="A97" s="49">
        <v>93</v>
      </c>
      <c r="B97" s="50" t="s">
        <v>19</v>
      </c>
      <c r="C97" s="50" t="s">
        <v>291</v>
      </c>
      <c r="D97" s="49">
        <v>10</v>
      </c>
      <c r="E97" s="49">
        <v>0</v>
      </c>
      <c r="F97" s="50">
        <f t="shared" si="11"/>
        <v>5</v>
      </c>
      <c r="G97" s="45"/>
      <c r="H97" s="46">
        <v>30</v>
      </c>
      <c r="I97" s="47">
        <f t="shared" si="1"/>
        <v>625</v>
      </c>
      <c r="J97" s="48">
        <f t="shared" si="2"/>
        <v>25</v>
      </c>
      <c r="K97" s="46">
        <v>20</v>
      </c>
      <c r="L97" s="47">
        <f t="shared" si="3"/>
        <v>225</v>
      </c>
      <c r="M97" s="48">
        <f t="shared" si="4"/>
        <v>15</v>
      </c>
      <c r="N97" s="46">
        <v>20</v>
      </c>
      <c r="O97" s="47">
        <f t="shared" si="5"/>
        <v>225</v>
      </c>
      <c r="P97" s="48">
        <f t="shared" si="6"/>
        <v>15</v>
      </c>
      <c r="Q97" s="46">
        <v>25</v>
      </c>
      <c r="R97" s="47">
        <f t="shared" si="7"/>
        <v>400</v>
      </c>
      <c r="S97" s="48">
        <f t="shared" si="8"/>
        <v>20</v>
      </c>
      <c r="T97" s="29">
        <v>20</v>
      </c>
      <c r="U97" s="47">
        <f t="shared" si="9"/>
        <v>225</v>
      </c>
      <c r="V97" s="48">
        <f t="shared" si="10"/>
        <v>15</v>
      </c>
      <c r="W97" s="2"/>
    </row>
    <row r="98" spans="1:23">
      <c r="A98" s="43">
        <v>94</v>
      </c>
      <c r="B98" s="50" t="s">
        <v>19</v>
      </c>
      <c r="C98" s="50" t="s">
        <v>294</v>
      </c>
      <c r="D98" s="49">
        <v>30</v>
      </c>
      <c r="E98" s="49">
        <v>30</v>
      </c>
      <c r="F98" s="50">
        <f t="shared" si="11"/>
        <v>30</v>
      </c>
      <c r="G98" s="45"/>
      <c r="H98" s="46">
        <v>20</v>
      </c>
      <c r="I98" s="47">
        <f t="shared" si="1"/>
        <v>100</v>
      </c>
      <c r="J98" s="48">
        <f t="shared" si="2"/>
        <v>10</v>
      </c>
      <c r="K98" s="46">
        <v>25</v>
      </c>
      <c r="L98" s="47">
        <f t="shared" si="3"/>
        <v>25</v>
      </c>
      <c r="M98" s="48">
        <f t="shared" si="4"/>
        <v>5</v>
      </c>
      <c r="N98" s="46">
        <v>30</v>
      </c>
      <c r="O98" s="47">
        <f t="shared" si="5"/>
        <v>0</v>
      </c>
      <c r="P98" s="48">
        <f t="shared" si="6"/>
        <v>0</v>
      </c>
      <c r="Q98" s="46">
        <v>30</v>
      </c>
      <c r="R98" s="47">
        <f t="shared" si="7"/>
        <v>0</v>
      </c>
      <c r="S98" s="48">
        <f t="shared" si="8"/>
        <v>0</v>
      </c>
      <c r="T98" s="29">
        <v>40</v>
      </c>
      <c r="U98" s="47">
        <f t="shared" si="9"/>
        <v>100</v>
      </c>
      <c r="V98" s="48">
        <f t="shared" si="10"/>
        <v>10</v>
      </c>
      <c r="W98" s="2"/>
    </row>
    <row r="99" spans="1:23">
      <c r="A99" s="49">
        <v>95</v>
      </c>
      <c r="B99" s="50" t="s">
        <v>19</v>
      </c>
      <c r="C99" s="49" t="s">
        <v>297</v>
      </c>
      <c r="D99" s="49">
        <v>12</v>
      </c>
      <c r="E99" s="49">
        <v>10</v>
      </c>
      <c r="F99" s="50">
        <f t="shared" si="11"/>
        <v>11</v>
      </c>
      <c r="G99" s="45"/>
      <c r="H99" s="46">
        <v>20</v>
      </c>
      <c r="I99" s="47">
        <f t="shared" si="1"/>
        <v>81</v>
      </c>
      <c r="J99" s="48">
        <f t="shared" si="2"/>
        <v>9</v>
      </c>
      <c r="K99" s="46">
        <v>20</v>
      </c>
      <c r="L99" s="47">
        <f t="shared" si="3"/>
        <v>81</v>
      </c>
      <c r="M99" s="48">
        <f t="shared" si="4"/>
        <v>9</v>
      </c>
      <c r="N99" s="46">
        <v>20</v>
      </c>
      <c r="O99" s="47">
        <f t="shared" si="5"/>
        <v>81</v>
      </c>
      <c r="P99" s="48">
        <f t="shared" si="6"/>
        <v>9</v>
      </c>
      <c r="Q99" s="46">
        <v>20</v>
      </c>
      <c r="R99" s="47">
        <f t="shared" si="7"/>
        <v>81</v>
      </c>
      <c r="S99" s="48">
        <f t="shared" si="8"/>
        <v>9</v>
      </c>
      <c r="T99" s="29">
        <v>20</v>
      </c>
      <c r="U99" s="47">
        <f t="shared" si="9"/>
        <v>81</v>
      </c>
      <c r="V99" s="48">
        <f t="shared" si="10"/>
        <v>9</v>
      </c>
      <c r="W99" s="2"/>
    </row>
    <row r="100" spans="1:23">
      <c r="A100" s="49">
        <v>96</v>
      </c>
      <c r="B100" s="50" t="s">
        <v>19</v>
      </c>
      <c r="C100" s="49" t="s">
        <v>300</v>
      </c>
      <c r="D100" s="49">
        <v>20</v>
      </c>
      <c r="E100" s="49">
        <v>20</v>
      </c>
      <c r="F100" s="50">
        <f t="shared" si="11"/>
        <v>20</v>
      </c>
      <c r="G100" s="45"/>
      <c r="H100" s="46">
        <v>30</v>
      </c>
      <c r="I100" s="47">
        <f t="shared" si="1"/>
        <v>100</v>
      </c>
      <c r="J100" s="48">
        <f t="shared" si="2"/>
        <v>10</v>
      </c>
      <c r="K100" s="46">
        <v>25</v>
      </c>
      <c r="L100" s="47">
        <f t="shared" si="3"/>
        <v>25</v>
      </c>
      <c r="M100" s="48">
        <f t="shared" si="4"/>
        <v>5</v>
      </c>
      <c r="N100" s="46">
        <v>30</v>
      </c>
      <c r="O100" s="47">
        <f t="shared" si="5"/>
        <v>100</v>
      </c>
      <c r="P100" s="48">
        <f t="shared" si="6"/>
        <v>10</v>
      </c>
      <c r="Q100" s="46">
        <v>25</v>
      </c>
      <c r="R100" s="47">
        <f t="shared" si="7"/>
        <v>25</v>
      </c>
      <c r="S100" s="48">
        <f t="shared" si="8"/>
        <v>5</v>
      </c>
      <c r="T100" s="29">
        <v>40</v>
      </c>
      <c r="U100" s="47">
        <f t="shared" si="9"/>
        <v>400</v>
      </c>
      <c r="V100" s="48">
        <f t="shared" si="10"/>
        <v>20</v>
      </c>
      <c r="W100" s="2"/>
    </row>
    <row r="101" spans="1:23">
      <c r="A101" s="51">
        <v>97</v>
      </c>
      <c r="B101" s="50" t="s">
        <v>19</v>
      </c>
      <c r="C101" s="50" t="s">
        <v>303</v>
      </c>
      <c r="D101" s="49">
        <v>10</v>
      </c>
      <c r="E101" s="49">
        <v>10</v>
      </c>
      <c r="F101" s="50">
        <f t="shared" si="11"/>
        <v>10</v>
      </c>
      <c r="G101" s="45"/>
      <c r="H101" s="46">
        <v>20</v>
      </c>
      <c r="I101" s="47">
        <f t="shared" si="1"/>
        <v>100</v>
      </c>
      <c r="J101" s="48">
        <f t="shared" si="2"/>
        <v>10</v>
      </c>
      <c r="K101" s="46">
        <v>20</v>
      </c>
      <c r="L101" s="47">
        <f t="shared" si="3"/>
        <v>100</v>
      </c>
      <c r="M101" s="48">
        <f t="shared" si="4"/>
        <v>10</v>
      </c>
      <c r="N101" s="46">
        <v>15</v>
      </c>
      <c r="O101" s="47">
        <f t="shared" si="5"/>
        <v>25</v>
      </c>
      <c r="P101" s="48">
        <f t="shared" si="6"/>
        <v>5</v>
      </c>
      <c r="Q101" s="46">
        <v>25</v>
      </c>
      <c r="R101" s="47">
        <f t="shared" si="7"/>
        <v>225</v>
      </c>
      <c r="S101" s="48">
        <f t="shared" si="8"/>
        <v>15</v>
      </c>
      <c r="T101" s="29">
        <v>20</v>
      </c>
      <c r="U101" s="47">
        <f t="shared" si="9"/>
        <v>100</v>
      </c>
      <c r="V101" s="48">
        <f t="shared" si="10"/>
        <v>10</v>
      </c>
      <c r="W101" s="2"/>
    </row>
    <row r="102" spans="1:23">
      <c r="A102" s="49">
        <v>98</v>
      </c>
      <c r="B102" s="50" t="s">
        <v>19</v>
      </c>
      <c r="C102" s="50" t="s">
        <v>306</v>
      </c>
      <c r="D102" s="49">
        <v>35</v>
      </c>
      <c r="E102" s="49">
        <v>40</v>
      </c>
      <c r="F102" s="50">
        <f t="shared" si="11"/>
        <v>37.5</v>
      </c>
      <c r="G102" s="45"/>
      <c r="H102" s="46">
        <v>30</v>
      </c>
      <c r="I102" s="47">
        <f t="shared" si="1"/>
        <v>56.25</v>
      </c>
      <c r="J102" s="48">
        <f t="shared" si="2"/>
        <v>7.5</v>
      </c>
      <c r="K102" s="46">
        <v>40</v>
      </c>
      <c r="L102" s="47">
        <f t="shared" si="3"/>
        <v>6.25</v>
      </c>
      <c r="M102" s="48">
        <f t="shared" si="4"/>
        <v>2.5</v>
      </c>
      <c r="N102" s="46">
        <v>40</v>
      </c>
      <c r="O102" s="47">
        <f t="shared" si="5"/>
        <v>6.25</v>
      </c>
      <c r="P102" s="48">
        <f t="shared" si="6"/>
        <v>2.5</v>
      </c>
      <c r="Q102" s="46">
        <v>35</v>
      </c>
      <c r="R102" s="47">
        <f t="shared" si="7"/>
        <v>6.25</v>
      </c>
      <c r="S102" s="48">
        <f t="shared" si="8"/>
        <v>2.5</v>
      </c>
      <c r="T102" s="29">
        <v>40</v>
      </c>
      <c r="U102" s="47">
        <f t="shared" si="9"/>
        <v>6.25</v>
      </c>
      <c r="V102" s="48">
        <f t="shared" si="10"/>
        <v>2.5</v>
      </c>
      <c r="W102" s="2"/>
    </row>
    <row r="103" spans="1:23" ht="14.25" customHeight="1">
      <c r="A103" s="49">
        <v>99</v>
      </c>
      <c r="B103" s="50" t="s">
        <v>19</v>
      </c>
      <c r="C103" s="50" t="s">
        <v>309</v>
      </c>
      <c r="D103" s="49">
        <v>30</v>
      </c>
      <c r="E103" s="49">
        <v>30</v>
      </c>
      <c r="F103" s="50">
        <f t="shared" si="11"/>
        <v>30</v>
      </c>
      <c r="G103" s="45"/>
      <c r="H103" s="46">
        <v>30</v>
      </c>
      <c r="I103" s="47">
        <f t="shared" si="1"/>
        <v>0</v>
      </c>
      <c r="J103" s="48">
        <f t="shared" si="2"/>
        <v>0</v>
      </c>
      <c r="K103" s="46">
        <v>20</v>
      </c>
      <c r="L103" s="47">
        <f t="shared" si="3"/>
        <v>100</v>
      </c>
      <c r="M103" s="48">
        <f t="shared" si="4"/>
        <v>10</v>
      </c>
      <c r="N103" s="46">
        <v>30</v>
      </c>
      <c r="O103" s="47">
        <f t="shared" si="5"/>
        <v>0</v>
      </c>
      <c r="P103" s="48">
        <f t="shared" si="6"/>
        <v>0</v>
      </c>
      <c r="Q103" s="46">
        <v>25</v>
      </c>
      <c r="R103" s="47">
        <f t="shared" si="7"/>
        <v>25</v>
      </c>
      <c r="S103" s="48">
        <f t="shared" si="8"/>
        <v>5</v>
      </c>
      <c r="T103" s="29">
        <v>30</v>
      </c>
      <c r="U103" s="47">
        <f t="shared" si="9"/>
        <v>0</v>
      </c>
      <c r="V103" s="48">
        <f t="shared" si="10"/>
        <v>0</v>
      </c>
      <c r="W103" s="2"/>
    </row>
    <row r="104" spans="1:23">
      <c r="A104" s="43">
        <v>100</v>
      </c>
      <c r="B104" s="49" t="s">
        <v>19</v>
      </c>
      <c r="C104" s="50" t="s">
        <v>312</v>
      </c>
      <c r="D104" s="49">
        <v>20</v>
      </c>
      <c r="E104" s="49">
        <v>20</v>
      </c>
      <c r="F104" s="50">
        <f t="shared" si="11"/>
        <v>20</v>
      </c>
      <c r="G104" s="45"/>
      <c r="H104" s="46">
        <v>30</v>
      </c>
      <c r="I104" s="47">
        <f t="shared" si="1"/>
        <v>100</v>
      </c>
      <c r="J104" s="48">
        <f t="shared" si="2"/>
        <v>10</v>
      </c>
      <c r="K104" s="46">
        <v>25</v>
      </c>
      <c r="L104" s="47">
        <f t="shared" si="3"/>
        <v>25</v>
      </c>
      <c r="M104" s="48">
        <f t="shared" si="4"/>
        <v>5</v>
      </c>
      <c r="N104" s="46">
        <v>20</v>
      </c>
      <c r="O104" s="47">
        <f t="shared" si="5"/>
        <v>0</v>
      </c>
      <c r="P104" s="48">
        <f t="shared" si="6"/>
        <v>0</v>
      </c>
      <c r="Q104" s="46">
        <v>35</v>
      </c>
      <c r="R104" s="47">
        <f t="shared" si="7"/>
        <v>225</v>
      </c>
      <c r="S104" s="48">
        <f t="shared" si="8"/>
        <v>15</v>
      </c>
      <c r="T104" s="29">
        <v>20</v>
      </c>
      <c r="U104" s="47">
        <f t="shared" si="9"/>
        <v>0</v>
      </c>
      <c r="V104" s="48">
        <f t="shared" si="10"/>
        <v>0</v>
      </c>
      <c r="W104" s="2"/>
    </row>
    <row r="105" spans="1:23">
      <c r="A105" s="49">
        <v>101</v>
      </c>
      <c r="B105" s="50" t="s">
        <v>19</v>
      </c>
      <c r="C105" s="50" t="s">
        <v>315</v>
      </c>
      <c r="D105" s="49">
        <v>10</v>
      </c>
      <c r="E105" s="49">
        <v>7</v>
      </c>
      <c r="F105" s="50">
        <f t="shared" si="11"/>
        <v>8.5</v>
      </c>
      <c r="G105" s="45"/>
      <c r="H105" s="46">
        <v>20</v>
      </c>
      <c r="I105" s="47">
        <f t="shared" si="1"/>
        <v>132.25</v>
      </c>
      <c r="J105" s="48">
        <f t="shared" si="2"/>
        <v>11.5</v>
      </c>
      <c r="K105" s="46">
        <v>15</v>
      </c>
      <c r="L105" s="47">
        <f t="shared" si="3"/>
        <v>42.25</v>
      </c>
      <c r="M105" s="48">
        <f t="shared" si="4"/>
        <v>6.5</v>
      </c>
      <c r="N105" s="46">
        <v>10</v>
      </c>
      <c r="O105" s="47">
        <f t="shared" si="5"/>
        <v>2.25</v>
      </c>
      <c r="P105" s="48">
        <f t="shared" si="6"/>
        <v>1.5</v>
      </c>
      <c r="Q105" s="46">
        <v>25</v>
      </c>
      <c r="R105" s="47">
        <f t="shared" si="7"/>
        <v>272.25</v>
      </c>
      <c r="S105" s="48">
        <f t="shared" si="8"/>
        <v>16.5</v>
      </c>
      <c r="T105" s="29">
        <v>20</v>
      </c>
      <c r="U105" s="47">
        <f t="shared" si="9"/>
        <v>132.25</v>
      </c>
      <c r="V105" s="48">
        <f t="shared" si="10"/>
        <v>11.5</v>
      </c>
      <c r="W105" s="2"/>
    </row>
    <row r="106" spans="1:23">
      <c r="A106" s="49">
        <v>102</v>
      </c>
      <c r="B106" s="50" t="s">
        <v>19</v>
      </c>
      <c r="C106" s="49" t="s">
        <v>318</v>
      </c>
      <c r="D106" s="49">
        <v>20</v>
      </c>
      <c r="E106" s="49">
        <v>20</v>
      </c>
      <c r="F106" s="50">
        <f t="shared" si="11"/>
        <v>20</v>
      </c>
      <c r="G106" s="45"/>
      <c r="H106" s="46">
        <v>30</v>
      </c>
      <c r="I106" s="47">
        <f t="shared" si="1"/>
        <v>100</v>
      </c>
      <c r="J106" s="48">
        <f t="shared" si="2"/>
        <v>10</v>
      </c>
      <c r="K106" s="46">
        <v>25</v>
      </c>
      <c r="L106" s="47">
        <f t="shared" si="3"/>
        <v>25</v>
      </c>
      <c r="M106" s="48">
        <f t="shared" si="4"/>
        <v>5</v>
      </c>
      <c r="N106" s="46">
        <v>30</v>
      </c>
      <c r="O106" s="47">
        <f t="shared" si="5"/>
        <v>100</v>
      </c>
      <c r="P106" s="48">
        <f t="shared" si="6"/>
        <v>10</v>
      </c>
      <c r="Q106" s="46">
        <v>25</v>
      </c>
      <c r="R106" s="47">
        <f t="shared" si="7"/>
        <v>25</v>
      </c>
      <c r="S106" s="48">
        <f t="shared" si="8"/>
        <v>5</v>
      </c>
      <c r="T106" s="29">
        <v>35</v>
      </c>
      <c r="U106" s="47">
        <f t="shared" si="9"/>
        <v>225</v>
      </c>
      <c r="V106" s="48">
        <f t="shared" si="10"/>
        <v>15</v>
      </c>
      <c r="W106" s="2"/>
    </row>
    <row r="107" spans="1:23">
      <c r="A107" s="51">
        <v>103</v>
      </c>
      <c r="B107" s="50" t="s">
        <v>19</v>
      </c>
      <c r="C107" s="50" t="s">
        <v>321</v>
      </c>
      <c r="D107" s="49">
        <v>30</v>
      </c>
      <c r="E107" s="49">
        <v>40</v>
      </c>
      <c r="F107" s="50">
        <f t="shared" si="11"/>
        <v>35</v>
      </c>
      <c r="G107" s="45"/>
      <c r="H107" s="46">
        <v>20</v>
      </c>
      <c r="I107" s="47">
        <f t="shared" si="1"/>
        <v>225</v>
      </c>
      <c r="J107" s="48">
        <f t="shared" si="2"/>
        <v>15</v>
      </c>
      <c r="K107" s="46">
        <v>30</v>
      </c>
      <c r="L107" s="47">
        <f t="shared" si="3"/>
        <v>25</v>
      </c>
      <c r="M107" s="48">
        <f t="shared" si="4"/>
        <v>5</v>
      </c>
      <c r="N107" s="46">
        <v>25</v>
      </c>
      <c r="O107" s="47">
        <f t="shared" si="5"/>
        <v>100</v>
      </c>
      <c r="P107" s="48">
        <f t="shared" si="6"/>
        <v>10</v>
      </c>
      <c r="Q107" s="46">
        <v>30</v>
      </c>
      <c r="R107" s="47">
        <f t="shared" si="7"/>
        <v>25</v>
      </c>
      <c r="S107" s="48">
        <f t="shared" si="8"/>
        <v>5</v>
      </c>
      <c r="T107" s="29">
        <v>20</v>
      </c>
      <c r="U107" s="47">
        <f t="shared" si="9"/>
        <v>225</v>
      </c>
      <c r="V107" s="48">
        <f t="shared" si="10"/>
        <v>15</v>
      </c>
      <c r="W107" s="2"/>
    </row>
    <row r="108" spans="1:23">
      <c r="A108" s="49">
        <v>104</v>
      </c>
      <c r="B108" s="50" t="s">
        <v>19</v>
      </c>
      <c r="C108" s="50" t="s">
        <v>324</v>
      </c>
      <c r="D108" s="49">
        <v>40</v>
      </c>
      <c r="E108" s="49">
        <v>40</v>
      </c>
      <c r="F108" s="50">
        <f t="shared" si="11"/>
        <v>40</v>
      </c>
      <c r="G108" s="45"/>
      <c r="H108" s="46">
        <v>30</v>
      </c>
      <c r="I108" s="47">
        <f t="shared" si="1"/>
        <v>100</v>
      </c>
      <c r="J108" s="48">
        <f t="shared" si="2"/>
        <v>10</v>
      </c>
      <c r="K108" s="46">
        <v>30</v>
      </c>
      <c r="L108" s="47">
        <f t="shared" si="3"/>
        <v>100</v>
      </c>
      <c r="M108" s="48">
        <f t="shared" si="4"/>
        <v>10</v>
      </c>
      <c r="N108" s="46">
        <v>40</v>
      </c>
      <c r="O108" s="47">
        <f t="shared" si="5"/>
        <v>0</v>
      </c>
      <c r="P108" s="48">
        <f t="shared" si="6"/>
        <v>0</v>
      </c>
      <c r="Q108" s="46">
        <v>25</v>
      </c>
      <c r="R108" s="47">
        <f t="shared" si="7"/>
        <v>225</v>
      </c>
      <c r="S108" s="48">
        <f t="shared" si="8"/>
        <v>15</v>
      </c>
      <c r="T108" s="29">
        <v>20</v>
      </c>
      <c r="U108" s="47">
        <f t="shared" si="9"/>
        <v>400</v>
      </c>
      <c r="V108" s="48">
        <f t="shared" si="10"/>
        <v>20</v>
      </c>
      <c r="W108" s="2"/>
    </row>
    <row r="109" spans="1:23">
      <c r="A109" s="49">
        <v>105</v>
      </c>
      <c r="B109" s="50" t="s">
        <v>19</v>
      </c>
      <c r="C109" s="49" t="s">
        <v>327</v>
      </c>
      <c r="D109" s="49">
        <v>25</v>
      </c>
      <c r="E109" s="49">
        <v>27</v>
      </c>
      <c r="F109" s="50">
        <f t="shared" si="11"/>
        <v>26</v>
      </c>
      <c r="G109" s="45"/>
      <c r="H109" s="46">
        <v>20</v>
      </c>
      <c r="I109" s="47">
        <f t="shared" si="1"/>
        <v>36</v>
      </c>
      <c r="J109" s="48">
        <f t="shared" si="2"/>
        <v>6</v>
      </c>
      <c r="K109" s="46">
        <v>30</v>
      </c>
      <c r="L109" s="47">
        <f t="shared" si="3"/>
        <v>16</v>
      </c>
      <c r="M109" s="48">
        <f t="shared" si="4"/>
        <v>4</v>
      </c>
      <c r="N109" s="46">
        <v>30</v>
      </c>
      <c r="O109" s="47">
        <f t="shared" si="5"/>
        <v>16</v>
      </c>
      <c r="P109" s="48">
        <f t="shared" si="6"/>
        <v>4</v>
      </c>
      <c r="Q109" s="46">
        <v>30</v>
      </c>
      <c r="R109" s="47">
        <f t="shared" si="7"/>
        <v>16</v>
      </c>
      <c r="S109" s="48">
        <f t="shared" si="8"/>
        <v>4</v>
      </c>
      <c r="T109" s="29">
        <v>40</v>
      </c>
      <c r="U109" s="47">
        <f t="shared" si="9"/>
        <v>196</v>
      </c>
      <c r="V109" s="48">
        <f t="shared" si="10"/>
        <v>14</v>
      </c>
      <c r="W109" s="2"/>
    </row>
    <row r="110" spans="1:23">
      <c r="A110" s="43">
        <v>106</v>
      </c>
      <c r="B110" s="50" t="s">
        <v>19</v>
      </c>
      <c r="C110" s="50" t="s">
        <v>330</v>
      </c>
      <c r="D110" s="49">
        <v>40</v>
      </c>
      <c r="E110" s="49">
        <v>35</v>
      </c>
      <c r="F110" s="50">
        <f t="shared" si="11"/>
        <v>37.5</v>
      </c>
      <c r="G110" s="45"/>
      <c r="H110" s="46">
        <v>30</v>
      </c>
      <c r="I110" s="47">
        <f t="shared" si="1"/>
        <v>56.25</v>
      </c>
      <c r="J110" s="48">
        <f t="shared" si="2"/>
        <v>7.5</v>
      </c>
      <c r="K110" s="46">
        <v>30</v>
      </c>
      <c r="L110" s="47">
        <f t="shared" si="3"/>
        <v>56.25</v>
      </c>
      <c r="M110" s="48">
        <f t="shared" si="4"/>
        <v>7.5</v>
      </c>
      <c r="N110" s="46">
        <v>30</v>
      </c>
      <c r="O110" s="47">
        <f t="shared" si="5"/>
        <v>56.25</v>
      </c>
      <c r="P110" s="48">
        <f t="shared" si="6"/>
        <v>7.5</v>
      </c>
      <c r="Q110" s="46">
        <v>25</v>
      </c>
      <c r="R110" s="47">
        <f t="shared" si="7"/>
        <v>156.25</v>
      </c>
      <c r="S110" s="48">
        <f t="shared" si="8"/>
        <v>12.5</v>
      </c>
      <c r="T110" s="29">
        <v>35</v>
      </c>
      <c r="U110" s="47">
        <f t="shared" si="9"/>
        <v>6.25</v>
      </c>
      <c r="V110" s="48">
        <f t="shared" si="10"/>
        <v>2.5</v>
      </c>
      <c r="W110" s="2"/>
    </row>
    <row r="111" spans="1:23">
      <c r="A111" s="49">
        <v>107</v>
      </c>
      <c r="B111" s="50" t="s">
        <v>19</v>
      </c>
      <c r="C111" s="50" t="s">
        <v>333</v>
      </c>
      <c r="D111" s="49">
        <v>10</v>
      </c>
      <c r="E111" s="49">
        <v>25</v>
      </c>
      <c r="F111" s="50">
        <f t="shared" si="11"/>
        <v>17.5</v>
      </c>
      <c r="G111" s="45"/>
      <c r="H111" s="46">
        <v>30</v>
      </c>
      <c r="I111" s="47">
        <f t="shared" si="1"/>
        <v>156.25</v>
      </c>
      <c r="J111" s="48">
        <f t="shared" si="2"/>
        <v>12.5</v>
      </c>
      <c r="K111" s="46">
        <v>35</v>
      </c>
      <c r="L111" s="47">
        <f t="shared" si="3"/>
        <v>306.25</v>
      </c>
      <c r="M111" s="48">
        <f t="shared" si="4"/>
        <v>17.5</v>
      </c>
      <c r="N111" s="46">
        <v>35</v>
      </c>
      <c r="O111" s="47">
        <f t="shared" si="5"/>
        <v>306.25</v>
      </c>
      <c r="P111" s="48">
        <f t="shared" si="6"/>
        <v>17.5</v>
      </c>
      <c r="Q111" s="46">
        <v>35</v>
      </c>
      <c r="R111" s="47">
        <f t="shared" si="7"/>
        <v>306.25</v>
      </c>
      <c r="S111" s="48">
        <f t="shared" si="8"/>
        <v>17.5</v>
      </c>
      <c r="T111" s="29">
        <v>40</v>
      </c>
      <c r="U111" s="47">
        <f t="shared" si="9"/>
        <v>506.25</v>
      </c>
      <c r="V111" s="48">
        <f t="shared" si="10"/>
        <v>22.5</v>
      </c>
      <c r="W111" s="2"/>
    </row>
    <row r="112" spans="1:23">
      <c r="A112" s="49">
        <v>108</v>
      </c>
      <c r="B112" s="50" t="s">
        <v>19</v>
      </c>
      <c r="C112" s="49" t="s">
        <v>336</v>
      </c>
      <c r="D112" s="49">
        <v>25</v>
      </c>
      <c r="E112" s="49">
        <v>25</v>
      </c>
      <c r="F112" s="50">
        <f t="shared" si="11"/>
        <v>25</v>
      </c>
      <c r="G112" s="45"/>
      <c r="H112" s="46">
        <v>30</v>
      </c>
      <c r="I112" s="47">
        <f t="shared" si="1"/>
        <v>25</v>
      </c>
      <c r="J112" s="48">
        <f t="shared" si="2"/>
        <v>5</v>
      </c>
      <c r="K112" s="46">
        <v>40</v>
      </c>
      <c r="L112" s="47">
        <f t="shared" si="3"/>
        <v>225</v>
      </c>
      <c r="M112" s="48">
        <f t="shared" si="4"/>
        <v>15</v>
      </c>
      <c r="N112" s="46">
        <v>30</v>
      </c>
      <c r="O112" s="47">
        <f t="shared" si="5"/>
        <v>25</v>
      </c>
      <c r="P112" s="48">
        <f t="shared" si="6"/>
        <v>5</v>
      </c>
      <c r="Q112" s="46">
        <v>25</v>
      </c>
      <c r="R112" s="47">
        <f t="shared" si="7"/>
        <v>0</v>
      </c>
      <c r="S112" s="48">
        <f t="shared" si="8"/>
        <v>0</v>
      </c>
      <c r="T112" s="29">
        <v>30</v>
      </c>
      <c r="U112" s="47">
        <f t="shared" si="9"/>
        <v>25</v>
      </c>
      <c r="V112" s="48">
        <f t="shared" si="10"/>
        <v>5</v>
      </c>
      <c r="W112" s="2"/>
    </row>
    <row r="113" spans="1:23">
      <c r="A113" s="51">
        <v>109</v>
      </c>
      <c r="B113" s="50" t="s">
        <v>19</v>
      </c>
      <c r="C113" s="50" t="s">
        <v>339</v>
      </c>
      <c r="D113" s="49">
        <v>35</v>
      </c>
      <c r="E113" s="49">
        <v>35</v>
      </c>
      <c r="F113" s="50">
        <f t="shared" si="11"/>
        <v>35</v>
      </c>
      <c r="G113" s="45"/>
      <c r="H113" s="46">
        <v>30</v>
      </c>
      <c r="I113" s="47">
        <f t="shared" si="1"/>
        <v>25</v>
      </c>
      <c r="J113" s="48">
        <f t="shared" si="2"/>
        <v>5</v>
      </c>
      <c r="K113" s="46">
        <v>25</v>
      </c>
      <c r="L113" s="47">
        <f t="shared" si="3"/>
        <v>100</v>
      </c>
      <c r="M113" s="48">
        <f t="shared" si="4"/>
        <v>10</v>
      </c>
      <c r="N113" s="46">
        <v>30</v>
      </c>
      <c r="O113" s="47">
        <f t="shared" si="5"/>
        <v>25</v>
      </c>
      <c r="P113" s="48">
        <f t="shared" si="6"/>
        <v>5</v>
      </c>
      <c r="Q113" s="46">
        <v>25</v>
      </c>
      <c r="R113" s="47">
        <f t="shared" si="7"/>
        <v>100</v>
      </c>
      <c r="S113" s="48">
        <f t="shared" si="8"/>
        <v>10</v>
      </c>
      <c r="T113" s="29">
        <v>20</v>
      </c>
      <c r="U113" s="47">
        <f t="shared" si="9"/>
        <v>225</v>
      </c>
      <c r="V113" s="48">
        <f t="shared" si="10"/>
        <v>15</v>
      </c>
      <c r="W113" s="2"/>
    </row>
    <row r="114" spans="1:23">
      <c r="A114" s="49">
        <v>110</v>
      </c>
      <c r="B114" s="50" t="s">
        <v>19</v>
      </c>
      <c r="C114" s="50" t="s">
        <v>342</v>
      </c>
      <c r="D114" s="49">
        <v>30</v>
      </c>
      <c r="E114" s="49">
        <v>35</v>
      </c>
      <c r="F114" s="50">
        <f t="shared" si="11"/>
        <v>32.5</v>
      </c>
      <c r="G114" s="45"/>
      <c r="H114" s="46">
        <v>30</v>
      </c>
      <c r="I114" s="47">
        <f t="shared" si="1"/>
        <v>6.25</v>
      </c>
      <c r="J114" s="48">
        <f t="shared" si="2"/>
        <v>2.5</v>
      </c>
      <c r="K114" s="46">
        <v>35</v>
      </c>
      <c r="L114" s="47">
        <f t="shared" si="3"/>
        <v>6.25</v>
      </c>
      <c r="M114" s="48">
        <f t="shared" si="4"/>
        <v>2.5</v>
      </c>
      <c r="N114" s="46">
        <v>40</v>
      </c>
      <c r="O114" s="47">
        <f t="shared" si="5"/>
        <v>56.25</v>
      </c>
      <c r="P114" s="48">
        <f t="shared" si="6"/>
        <v>7.5</v>
      </c>
      <c r="Q114" s="46">
        <v>35</v>
      </c>
      <c r="R114" s="47">
        <f t="shared" si="7"/>
        <v>6.25</v>
      </c>
      <c r="S114" s="48">
        <f t="shared" si="8"/>
        <v>2.5</v>
      </c>
      <c r="T114" s="29">
        <v>40</v>
      </c>
      <c r="U114" s="47">
        <f t="shared" si="9"/>
        <v>56.25</v>
      </c>
      <c r="V114" s="48">
        <f t="shared" si="10"/>
        <v>7.5</v>
      </c>
      <c r="W114" s="2"/>
    </row>
    <row r="115" spans="1:23">
      <c r="A115" s="49">
        <v>111</v>
      </c>
      <c r="B115" s="50" t="s">
        <v>19</v>
      </c>
      <c r="C115" s="50" t="s">
        <v>345</v>
      </c>
      <c r="D115" s="49">
        <v>10</v>
      </c>
      <c r="E115" s="49">
        <v>5</v>
      </c>
      <c r="F115" s="50">
        <f t="shared" si="11"/>
        <v>7.5</v>
      </c>
      <c r="G115" s="45"/>
      <c r="H115" s="46">
        <v>10</v>
      </c>
      <c r="I115" s="47">
        <f t="shared" si="1"/>
        <v>6.25</v>
      </c>
      <c r="J115" s="48">
        <f t="shared" si="2"/>
        <v>2.5</v>
      </c>
      <c r="K115" s="46">
        <v>10</v>
      </c>
      <c r="L115" s="47">
        <f t="shared" si="3"/>
        <v>6.25</v>
      </c>
      <c r="M115" s="48">
        <f t="shared" si="4"/>
        <v>2.5</v>
      </c>
      <c r="N115" s="46">
        <v>10</v>
      </c>
      <c r="O115" s="47">
        <f t="shared" si="5"/>
        <v>6.25</v>
      </c>
      <c r="P115" s="48">
        <f t="shared" si="6"/>
        <v>2.5</v>
      </c>
      <c r="Q115" s="46">
        <v>15</v>
      </c>
      <c r="R115" s="47">
        <f t="shared" si="7"/>
        <v>56.25</v>
      </c>
      <c r="S115" s="48">
        <f t="shared" si="8"/>
        <v>7.5</v>
      </c>
      <c r="T115" s="29">
        <v>20</v>
      </c>
      <c r="U115" s="47">
        <f t="shared" si="9"/>
        <v>156.25</v>
      </c>
      <c r="V115" s="48">
        <f t="shared" si="10"/>
        <v>12.5</v>
      </c>
      <c r="W115" s="2"/>
    </row>
    <row r="116" spans="1:23">
      <c r="A116" s="43">
        <v>112</v>
      </c>
      <c r="B116" s="50" t="s">
        <v>19</v>
      </c>
      <c r="C116" s="49" t="s">
        <v>348</v>
      </c>
      <c r="D116" s="49">
        <v>12</v>
      </c>
      <c r="E116" s="49">
        <v>10</v>
      </c>
      <c r="F116" s="50">
        <f t="shared" si="11"/>
        <v>11</v>
      </c>
      <c r="G116" s="45"/>
      <c r="H116" s="46">
        <v>25</v>
      </c>
      <c r="I116" s="47">
        <f t="shared" si="1"/>
        <v>196</v>
      </c>
      <c r="J116" s="48">
        <f t="shared" si="2"/>
        <v>14</v>
      </c>
      <c r="K116" s="46">
        <v>30</v>
      </c>
      <c r="L116" s="47">
        <f t="shared" si="3"/>
        <v>361</v>
      </c>
      <c r="M116" s="48">
        <f t="shared" si="4"/>
        <v>19</v>
      </c>
      <c r="N116" s="46">
        <v>25</v>
      </c>
      <c r="O116" s="47">
        <f t="shared" si="5"/>
        <v>196</v>
      </c>
      <c r="P116" s="48">
        <f t="shared" si="6"/>
        <v>14</v>
      </c>
      <c r="Q116" s="46">
        <v>30</v>
      </c>
      <c r="R116" s="47">
        <f t="shared" si="7"/>
        <v>361</v>
      </c>
      <c r="S116" s="48">
        <f t="shared" si="8"/>
        <v>19</v>
      </c>
      <c r="T116" s="29">
        <v>30</v>
      </c>
      <c r="U116" s="47">
        <f t="shared" si="9"/>
        <v>361</v>
      </c>
      <c r="V116" s="48">
        <f t="shared" si="10"/>
        <v>19</v>
      </c>
      <c r="W116" s="2"/>
    </row>
    <row r="117" spans="1:23">
      <c r="A117" s="49">
        <v>113</v>
      </c>
      <c r="B117" s="50" t="s">
        <v>19</v>
      </c>
      <c r="C117" s="49" t="s">
        <v>351</v>
      </c>
      <c r="D117" s="49">
        <v>25</v>
      </c>
      <c r="E117" s="49">
        <v>20</v>
      </c>
      <c r="F117" s="50">
        <f t="shared" si="11"/>
        <v>22.5</v>
      </c>
      <c r="G117" s="45"/>
      <c r="H117" s="46">
        <v>20</v>
      </c>
      <c r="I117" s="47">
        <f t="shared" si="1"/>
        <v>6.25</v>
      </c>
      <c r="J117" s="48">
        <f t="shared" si="2"/>
        <v>2.5</v>
      </c>
      <c r="K117" s="46">
        <v>30</v>
      </c>
      <c r="L117" s="47">
        <f t="shared" si="3"/>
        <v>56.25</v>
      </c>
      <c r="M117" s="48">
        <f t="shared" si="4"/>
        <v>7.5</v>
      </c>
      <c r="N117" s="46">
        <v>30</v>
      </c>
      <c r="O117" s="47">
        <f t="shared" si="5"/>
        <v>56.25</v>
      </c>
      <c r="P117" s="48">
        <f t="shared" si="6"/>
        <v>7.5</v>
      </c>
      <c r="Q117" s="46">
        <v>30</v>
      </c>
      <c r="R117" s="47">
        <f t="shared" si="7"/>
        <v>56.25</v>
      </c>
      <c r="S117" s="48">
        <f t="shared" si="8"/>
        <v>7.5</v>
      </c>
      <c r="T117" s="29">
        <v>20</v>
      </c>
      <c r="U117" s="47">
        <f t="shared" si="9"/>
        <v>6.25</v>
      </c>
      <c r="V117" s="48">
        <f t="shared" si="10"/>
        <v>2.5</v>
      </c>
      <c r="W117" s="2"/>
    </row>
    <row r="118" spans="1:23">
      <c r="A118" s="49">
        <v>114</v>
      </c>
      <c r="B118" s="50" t="s">
        <v>19</v>
      </c>
      <c r="C118" s="50" t="s">
        <v>354</v>
      </c>
      <c r="D118" s="49">
        <v>10</v>
      </c>
      <c r="E118" s="49">
        <v>20</v>
      </c>
      <c r="F118" s="50">
        <f t="shared" si="11"/>
        <v>15</v>
      </c>
      <c r="G118" s="45"/>
      <c r="H118" s="46">
        <v>30</v>
      </c>
      <c r="I118" s="47">
        <f t="shared" si="1"/>
        <v>225</v>
      </c>
      <c r="J118" s="48">
        <f t="shared" si="2"/>
        <v>15</v>
      </c>
      <c r="K118" s="46">
        <v>30</v>
      </c>
      <c r="L118" s="47">
        <f t="shared" si="3"/>
        <v>225</v>
      </c>
      <c r="M118" s="48">
        <f t="shared" si="4"/>
        <v>15</v>
      </c>
      <c r="N118" s="46">
        <v>30</v>
      </c>
      <c r="O118" s="47">
        <f t="shared" si="5"/>
        <v>225</v>
      </c>
      <c r="P118" s="48">
        <f t="shared" si="6"/>
        <v>15</v>
      </c>
      <c r="Q118" s="46">
        <v>35</v>
      </c>
      <c r="R118" s="47">
        <f t="shared" si="7"/>
        <v>400</v>
      </c>
      <c r="S118" s="48">
        <f t="shared" si="8"/>
        <v>20</v>
      </c>
      <c r="T118" s="29">
        <v>30</v>
      </c>
      <c r="U118" s="47">
        <f t="shared" si="9"/>
        <v>225</v>
      </c>
      <c r="V118" s="48">
        <f t="shared" si="10"/>
        <v>15</v>
      </c>
      <c r="W118" s="2"/>
    </row>
    <row r="119" spans="1:23">
      <c r="A119" s="51">
        <v>115</v>
      </c>
      <c r="B119" s="50" t="s">
        <v>19</v>
      </c>
      <c r="C119" s="50" t="s">
        <v>357</v>
      </c>
      <c r="D119" s="49">
        <v>30</v>
      </c>
      <c r="E119" s="49">
        <v>35</v>
      </c>
      <c r="F119" s="50">
        <f t="shared" si="11"/>
        <v>32.5</v>
      </c>
      <c r="G119" s="45"/>
      <c r="H119" s="46">
        <v>30</v>
      </c>
      <c r="I119" s="47">
        <f t="shared" si="1"/>
        <v>6.25</v>
      </c>
      <c r="J119" s="48">
        <f t="shared" si="2"/>
        <v>2.5</v>
      </c>
      <c r="K119" s="46">
        <v>25</v>
      </c>
      <c r="L119" s="47">
        <f t="shared" si="3"/>
        <v>56.25</v>
      </c>
      <c r="M119" s="48">
        <f t="shared" si="4"/>
        <v>7.5</v>
      </c>
      <c r="N119" s="46">
        <v>25</v>
      </c>
      <c r="O119" s="47">
        <f t="shared" si="5"/>
        <v>56.25</v>
      </c>
      <c r="P119" s="48">
        <f t="shared" si="6"/>
        <v>7.5</v>
      </c>
      <c r="Q119" s="46">
        <v>30</v>
      </c>
      <c r="R119" s="47">
        <f t="shared" si="7"/>
        <v>6.25</v>
      </c>
      <c r="S119" s="48">
        <f t="shared" si="8"/>
        <v>2.5</v>
      </c>
      <c r="T119" s="29">
        <v>20</v>
      </c>
      <c r="U119" s="47">
        <f t="shared" si="9"/>
        <v>156.25</v>
      </c>
      <c r="V119" s="48">
        <f t="shared" si="10"/>
        <v>12.5</v>
      </c>
      <c r="W119" s="2"/>
    </row>
    <row r="120" spans="1:23">
      <c r="A120" s="49">
        <v>116</v>
      </c>
      <c r="B120" s="50" t="s">
        <v>19</v>
      </c>
      <c r="C120" s="50" t="s">
        <v>360</v>
      </c>
      <c r="D120" s="49">
        <v>20</v>
      </c>
      <c r="E120" s="49">
        <v>20</v>
      </c>
      <c r="F120" s="50">
        <f t="shared" si="11"/>
        <v>20</v>
      </c>
      <c r="G120" s="45"/>
      <c r="H120" s="46">
        <v>30</v>
      </c>
      <c r="I120" s="47">
        <f t="shared" si="1"/>
        <v>100</v>
      </c>
      <c r="J120" s="48">
        <f t="shared" si="2"/>
        <v>10</v>
      </c>
      <c r="K120" s="46">
        <v>25</v>
      </c>
      <c r="L120" s="47">
        <f t="shared" si="3"/>
        <v>25</v>
      </c>
      <c r="M120" s="48">
        <f t="shared" si="4"/>
        <v>5</v>
      </c>
      <c r="N120" s="46">
        <v>25</v>
      </c>
      <c r="O120" s="47">
        <f t="shared" si="5"/>
        <v>25</v>
      </c>
      <c r="P120" s="48">
        <f t="shared" si="6"/>
        <v>5</v>
      </c>
      <c r="Q120" s="46">
        <v>30</v>
      </c>
      <c r="R120" s="47">
        <f t="shared" si="7"/>
        <v>100</v>
      </c>
      <c r="S120" s="48">
        <f t="shared" si="8"/>
        <v>10</v>
      </c>
      <c r="T120" s="29">
        <v>30</v>
      </c>
      <c r="U120" s="47">
        <f t="shared" si="9"/>
        <v>100</v>
      </c>
      <c r="V120" s="48">
        <f t="shared" si="10"/>
        <v>10</v>
      </c>
      <c r="W120" s="2"/>
    </row>
    <row r="121" spans="1:23">
      <c r="A121" s="49">
        <v>117</v>
      </c>
      <c r="B121" s="50" t="s">
        <v>19</v>
      </c>
      <c r="C121" s="50" t="s">
        <v>363</v>
      </c>
      <c r="D121" s="49">
        <v>10</v>
      </c>
      <c r="E121" s="49">
        <v>10</v>
      </c>
      <c r="F121" s="50">
        <f t="shared" si="11"/>
        <v>10</v>
      </c>
      <c r="G121" s="45"/>
      <c r="H121" s="46">
        <v>30</v>
      </c>
      <c r="I121" s="47">
        <f t="shared" si="1"/>
        <v>400</v>
      </c>
      <c r="J121" s="48">
        <f t="shared" si="2"/>
        <v>20</v>
      </c>
      <c r="K121" s="46">
        <v>25</v>
      </c>
      <c r="L121" s="47">
        <f t="shared" si="3"/>
        <v>225</v>
      </c>
      <c r="M121" s="48">
        <f t="shared" si="4"/>
        <v>15</v>
      </c>
      <c r="N121" s="46">
        <v>30</v>
      </c>
      <c r="O121" s="47">
        <f t="shared" si="5"/>
        <v>400</v>
      </c>
      <c r="P121" s="48">
        <f t="shared" si="6"/>
        <v>20</v>
      </c>
      <c r="Q121" s="46">
        <v>25</v>
      </c>
      <c r="R121" s="47">
        <f t="shared" si="7"/>
        <v>225</v>
      </c>
      <c r="S121" s="48">
        <f t="shared" si="8"/>
        <v>15</v>
      </c>
      <c r="T121" s="29">
        <v>35</v>
      </c>
      <c r="U121" s="47">
        <f t="shared" si="9"/>
        <v>625</v>
      </c>
      <c r="V121" s="48">
        <f t="shared" si="10"/>
        <v>25</v>
      </c>
      <c r="W121" s="2"/>
    </row>
    <row r="122" spans="1:23">
      <c r="A122" s="43">
        <v>118</v>
      </c>
      <c r="B122" s="50" t="s">
        <v>19</v>
      </c>
      <c r="C122" s="50" t="s">
        <v>366</v>
      </c>
      <c r="D122" s="49">
        <v>40</v>
      </c>
      <c r="E122" s="49">
        <v>40</v>
      </c>
      <c r="F122" s="50">
        <f t="shared" si="11"/>
        <v>40</v>
      </c>
      <c r="G122" s="45"/>
      <c r="H122" s="46">
        <v>30</v>
      </c>
      <c r="I122" s="47">
        <f t="shared" si="1"/>
        <v>100</v>
      </c>
      <c r="J122" s="48">
        <f t="shared" si="2"/>
        <v>10</v>
      </c>
      <c r="K122" s="46">
        <v>35</v>
      </c>
      <c r="L122" s="47">
        <f t="shared" si="3"/>
        <v>25</v>
      </c>
      <c r="M122" s="48">
        <f t="shared" si="4"/>
        <v>5</v>
      </c>
      <c r="N122" s="46">
        <v>30</v>
      </c>
      <c r="O122" s="47">
        <f t="shared" si="5"/>
        <v>100</v>
      </c>
      <c r="P122" s="48">
        <f t="shared" si="6"/>
        <v>10</v>
      </c>
      <c r="Q122" s="46">
        <v>35</v>
      </c>
      <c r="R122" s="47">
        <f t="shared" si="7"/>
        <v>25</v>
      </c>
      <c r="S122" s="48">
        <f t="shared" si="8"/>
        <v>5</v>
      </c>
      <c r="T122" s="29">
        <v>40</v>
      </c>
      <c r="U122" s="47">
        <f t="shared" si="9"/>
        <v>0</v>
      </c>
      <c r="V122" s="48">
        <f t="shared" si="10"/>
        <v>0</v>
      </c>
      <c r="W122" s="2"/>
    </row>
    <row r="123" spans="1:23">
      <c r="A123" s="49">
        <v>119</v>
      </c>
      <c r="B123" s="49" t="s">
        <v>19</v>
      </c>
      <c r="C123" s="49" t="s">
        <v>369</v>
      </c>
      <c r="D123" s="49">
        <v>20</v>
      </c>
      <c r="E123" s="49">
        <v>20</v>
      </c>
      <c r="F123" s="50">
        <f t="shared" si="11"/>
        <v>20</v>
      </c>
      <c r="G123" s="45"/>
      <c r="H123" s="46">
        <v>20</v>
      </c>
      <c r="I123" s="47">
        <f t="shared" si="1"/>
        <v>0</v>
      </c>
      <c r="J123" s="48">
        <f t="shared" si="2"/>
        <v>0</v>
      </c>
      <c r="K123" s="46">
        <v>30</v>
      </c>
      <c r="L123" s="47">
        <f t="shared" si="3"/>
        <v>100</v>
      </c>
      <c r="M123" s="48">
        <f t="shared" si="4"/>
        <v>10</v>
      </c>
      <c r="N123" s="46">
        <v>20</v>
      </c>
      <c r="O123" s="47">
        <f t="shared" si="5"/>
        <v>0</v>
      </c>
      <c r="P123" s="48">
        <f t="shared" si="6"/>
        <v>0</v>
      </c>
      <c r="Q123" s="46">
        <v>30</v>
      </c>
      <c r="R123" s="47">
        <f t="shared" si="7"/>
        <v>100</v>
      </c>
      <c r="S123" s="48">
        <f t="shared" si="8"/>
        <v>10</v>
      </c>
      <c r="T123" s="29">
        <v>20</v>
      </c>
      <c r="U123" s="47">
        <f t="shared" si="9"/>
        <v>0</v>
      </c>
      <c r="V123" s="48">
        <f t="shared" si="10"/>
        <v>0</v>
      </c>
      <c r="W123" s="2"/>
    </row>
    <row r="124" spans="1:23" ht="18" customHeight="1">
      <c r="A124" s="49">
        <v>120</v>
      </c>
      <c r="B124" s="50" t="s">
        <v>19</v>
      </c>
      <c r="C124" s="49" t="s">
        <v>372</v>
      </c>
      <c r="D124" s="49">
        <v>20</v>
      </c>
      <c r="E124" s="49">
        <v>22</v>
      </c>
      <c r="F124" s="50">
        <f t="shared" si="11"/>
        <v>21</v>
      </c>
      <c r="G124" s="45"/>
      <c r="H124" s="46">
        <v>20</v>
      </c>
      <c r="I124" s="47">
        <f t="shared" si="1"/>
        <v>1</v>
      </c>
      <c r="J124" s="48">
        <f t="shared" si="2"/>
        <v>1</v>
      </c>
      <c r="K124" s="46">
        <v>20</v>
      </c>
      <c r="L124" s="47">
        <f t="shared" si="3"/>
        <v>1</v>
      </c>
      <c r="M124" s="48">
        <f t="shared" si="4"/>
        <v>1</v>
      </c>
      <c r="N124" s="46">
        <v>20</v>
      </c>
      <c r="O124" s="47">
        <f t="shared" si="5"/>
        <v>1</v>
      </c>
      <c r="P124" s="48">
        <f t="shared" si="6"/>
        <v>1</v>
      </c>
      <c r="Q124" s="46">
        <v>25</v>
      </c>
      <c r="R124" s="47">
        <f t="shared" si="7"/>
        <v>16</v>
      </c>
      <c r="S124" s="48">
        <f t="shared" si="8"/>
        <v>4</v>
      </c>
      <c r="T124" s="29">
        <v>20</v>
      </c>
      <c r="U124" s="47">
        <f t="shared" si="9"/>
        <v>1</v>
      </c>
      <c r="V124" s="48">
        <f t="shared" si="10"/>
        <v>1</v>
      </c>
      <c r="W124" s="2"/>
    </row>
    <row r="125" spans="1:23">
      <c r="A125" s="51">
        <v>121</v>
      </c>
      <c r="B125" s="50" t="s">
        <v>19</v>
      </c>
      <c r="C125" s="50" t="s">
        <v>375</v>
      </c>
      <c r="D125" s="49">
        <v>20</v>
      </c>
      <c r="E125" s="49">
        <v>20</v>
      </c>
      <c r="F125" s="50">
        <f t="shared" si="11"/>
        <v>20</v>
      </c>
      <c r="G125" s="45"/>
      <c r="H125" s="46">
        <v>20</v>
      </c>
      <c r="I125" s="47">
        <f t="shared" si="1"/>
        <v>0</v>
      </c>
      <c r="J125" s="48">
        <f t="shared" si="2"/>
        <v>0</v>
      </c>
      <c r="K125" s="46">
        <v>20</v>
      </c>
      <c r="L125" s="47">
        <f t="shared" si="3"/>
        <v>0</v>
      </c>
      <c r="M125" s="48">
        <f t="shared" si="4"/>
        <v>0</v>
      </c>
      <c r="N125" s="46">
        <v>10</v>
      </c>
      <c r="O125" s="47">
        <f t="shared" si="5"/>
        <v>100</v>
      </c>
      <c r="P125" s="48">
        <f t="shared" si="6"/>
        <v>10</v>
      </c>
      <c r="Q125" s="46">
        <v>25</v>
      </c>
      <c r="R125" s="47">
        <f t="shared" si="7"/>
        <v>25</v>
      </c>
      <c r="S125" s="48">
        <f t="shared" si="8"/>
        <v>5</v>
      </c>
      <c r="T125" s="29">
        <v>20</v>
      </c>
      <c r="U125" s="47">
        <f t="shared" si="9"/>
        <v>0</v>
      </c>
      <c r="V125" s="48">
        <f t="shared" si="10"/>
        <v>0</v>
      </c>
      <c r="W125" s="2"/>
    </row>
    <row r="126" spans="1:23">
      <c r="A126" s="49">
        <v>122</v>
      </c>
      <c r="B126" s="50" t="s">
        <v>19</v>
      </c>
      <c r="C126" s="50" t="s">
        <v>378</v>
      </c>
      <c r="D126" s="49">
        <v>25</v>
      </c>
      <c r="E126" s="49">
        <v>40</v>
      </c>
      <c r="F126" s="50">
        <f t="shared" si="11"/>
        <v>32.5</v>
      </c>
      <c r="G126" s="45"/>
      <c r="H126" s="46">
        <v>30</v>
      </c>
      <c r="I126" s="47">
        <f t="shared" si="1"/>
        <v>6.25</v>
      </c>
      <c r="J126" s="48">
        <f t="shared" si="2"/>
        <v>2.5</v>
      </c>
      <c r="K126" s="46">
        <v>35</v>
      </c>
      <c r="L126" s="47">
        <f t="shared" si="3"/>
        <v>6.25</v>
      </c>
      <c r="M126" s="48">
        <f t="shared" si="4"/>
        <v>2.5</v>
      </c>
      <c r="N126" s="46">
        <v>30</v>
      </c>
      <c r="O126" s="47">
        <f t="shared" si="5"/>
        <v>6.25</v>
      </c>
      <c r="P126" s="48">
        <f t="shared" si="6"/>
        <v>2.5</v>
      </c>
      <c r="Q126" s="46">
        <v>35</v>
      </c>
      <c r="R126" s="47">
        <f t="shared" si="7"/>
        <v>6.25</v>
      </c>
      <c r="S126" s="48">
        <f t="shared" si="8"/>
        <v>2.5</v>
      </c>
      <c r="T126" s="29">
        <v>35</v>
      </c>
      <c r="U126" s="47">
        <f t="shared" si="9"/>
        <v>6.25</v>
      </c>
      <c r="V126" s="48">
        <f t="shared" si="10"/>
        <v>2.5</v>
      </c>
      <c r="W126" s="2"/>
    </row>
    <row r="127" spans="1:23">
      <c r="A127" s="49">
        <v>123</v>
      </c>
      <c r="B127" s="50" t="s">
        <v>19</v>
      </c>
      <c r="C127" s="50" t="s">
        <v>381</v>
      </c>
      <c r="D127" s="49">
        <v>40</v>
      </c>
      <c r="E127" s="49">
        <v>40</v>
      </c>
      <c r="F127" s="50">
        <f t="shared" si="11"/>
        <v>40</v>
      </c>
      <c r="G127" s="45"/>
      <c r="H127" s="46">
        <v>30</v>
      </c>
      <c r="I127" s="47">
        <f t="shared" si="1"/>
        <v>100</v>
      </c>
      <c r="J127" s="48">
        <f t="shared" si="2"/>
        <v>10</v>
      </c>
      <c r="K127" s="46">
        <v>40</v>
      </c>
      <c r="L127" s="47">
        <f t="shared" si="3"/>
        <v>0</v>
      </c>
      <c r="M127" s="48">
        <f t="shared" si="4"/>
        <v>0</v>
      </c>
      <c r="N127" s="46">
        <v>40</v>
      </c>
      <c r="O127" s="47">
        <f t="shared" si="5"/>
        <v>0</v>
      </c>
      <c r="P127" s="48">
        <f t="shared" si="6"/>
        <v>0</v>
      </c>
      <c r="Q127" s="46">
        <v>35</v>
      </c>
      <c r="R127" s="47">
        <f t="shared" si="7"/>
        <v>25</v>
      </c>
      <c r="S127" s="48">
        <f t="shared" si="8"/>
        <v>5</v>
      </c>
      <c r="T127" s="29">
        <v>40</v>
      </c>
      <c r="U127" s="47">
        <f t="shared" si="9"/>
        <v>0</v>
      </c>
      <c r="V127" s="48">
        <f t="shared" si="10"/>
        <v>0</v>
      </c>
      <c r="W127" s="2"/>
    </row>
    <row r="128" spans="1:23" ht="17.25" customHeight="1">
      <c r="A128" s="43">
        <v>124</v>
      </c>
      <c r="B128" s="50" t="s">
        <v>19</v>
      </c>
      <c r="C128" s="49" t="s">
        <v>384</v>
      </c>
      <c r="D128" s="49">
        <v>40</v>
      </c>
      <c r="E128" s="49">
        <v>40</v>
      </c>
      <c r="F128" s="50">
        <f t="shared" si="11"/>
        <v>40</v>
      </c>
      <c r="G128" s="45"/>
      <c r="H128" s="46">
        <v>35</v>
      </c>
      <c r="I128" s="47">
        <f t="shared" si="1"/>
        <v>25</v>
      </c>
      <c r="J128" s="48">
        <f t="shared" si="2"/>
        <v>5</v>
      </c>
      <c r="K128" s="46">
        <v>40</v>
      </c>
      <c r="L128" s="47">
        <f t="shared" si="3"/>
        <v>0</v>
      </c>
      <c r="M128" s="48">
        <f t="shared" si="4"/>
        <v>0</v>
      </c>
      <c r="N128" s="46">
        <v>40</v>
      </c>
      <c r="O128" s="47">
        <f t="shared" si="5"/>
        <v>0</v>
      </c>
      <c r="P128" s="48">
        <f t="shared" si="6"/>
        <v>0</v>
      </c>
      <c r="Q128" s="46">
        <v>35</v>
      </c>
      <c r="R128" s="47">
        <f t="shared" si="7"/>
        <v>25</v>
      </c>
      <c r="S128" s="48">
        <f t="shared" si="8"/>
        <v>5</v>
      </c>
      <c r="T128" s="29">
        <v>40</v>
      </c>
      <c r="U128" s="47">
        <f t="shared" si="9"/>
        <v>0</v>
      </c>
      <c r="V128" s="48">
        <f t="shared" si="10"/>
        <v>0</v>
      </c>
      <c r="W128" s="2"/>
    </row>
    <row r="129" spans="1:29">
      <c r="A129" s="49">
        <v>125</v>
      </c>
      <c r="B129" s="50" t="s">
        <v>19</v>
      </c>
      <c r="C129" s="50" t="s">
        <v>387</v>
      </c>
      <c r="D129" s="49">
        <v>10</v>
      </c>
      <c r="E129" s="49">
        <v>0</v>
      </c>
      <c r="F129" s="50">
        <f t="shared" si="11"/>
        <v>5</v>
      </c>
      <c r="G129" s="45"/>
      <c r="H129" s="46">
        <v>10</v>
      </c>
      <c r="I129" s="47">
        <f t="shared" si="1"/>
        <v>25</v>
      </c>
      <c r="J129" s="48">
        <f t="shared" si="2"/>
        <v>5</v>
      </c>
      <c r="K129" s="46">
        <v>10</v>
      </c>
      <c r="L129" s="47">
        <f t="shared" si="3"/>
        <v>25</v>
      </c>
      <c r="M129" s="48">
        <f t="shared" si="4"/>
        <v>5</v>
      </c>
      <c r="N129" s="46">
        <v>15</v>
      </c>
      <c r="O129" s="47">
        <f t="shared" si="5"/>
        <v>100</v>
      </c>
      <c r="P129" s="48">
        <f t="shared" si="6"/>
        <v>10</v>
      </c>
      <c r="Q129" s="46">
        <v>25</v>
      </c>
      <c r="R129" s="47">
        <f t="shared" si="7"/>
        <v>400</v>
      </c>
      <c r="S129" s="48">
        <f t="shared" si="8"/>
        <v>20</v>
      </c>
      <c r="T129" s="29">
        <v>20</v>
      </c>
      <c r="U129" s="47">
        <f t="shared" si="9"/>
        <v>225</v>
      </c>
      <c r="V129" s="48">
        <f t="shared" si="10"/>
        <v>15</v>
      </c>
      <c r="W129" s="2"/>
    </row>
    <row r="130" spans="1:29">
      <c r="A130" s="49">
        <v>126</v>
      </c>
      <c r="B130" s="50" t="s">
        <v>19</v>
      </c>
      <c r="C130" s="50" t="s">
        <v>390</v>
      </c>
      <c r="D130" s="49">
        <v>20</v>
      </c>
      <c r="E130" s="49">
        <v>30</v>
      </c>
      <c r="F130" s="50">
        <f t="shared" si="11"/>
        <v>25</v>
      </c>
      <c r="G130" s="2"/>
      <c r="H130" s="46">
        <v>30</v>
      </c>
      <c r="I130" s="47">
        <f t="shared" si="1"/>
        <v>25</v>
      </c>
      <c r="J130" s="48">
        <f t="shared" si="2"/>
        <v>5</v>
      </c>
      <c r="K130" s="46">
        <v>30</v>
      </c>
      <c r="L130" s="47">
        <f t="shared" si="3"/>
        <v>25</v>
      </c>
      <c r="M130" s="48">
        <f t="shared" si="4"/>
        <v>5</v>
      </c>
      <c r="N130" s="46">
        <v>35</v>
      </c>
      <c r="O130" s="47">
        <f t="shared" si="5"/>
        <v>100</v>
      </c>
      <c r="P130" s="48">
        <f t="shared" si="6"/>
        <v>10</v>
      </c>
      <c r="Q130" s="46">
        <v>30</v>
      </c>
      <c r="R130" s="47">
        <f t="shared" si="7"/>
        <v>25</v>
      </c>
      <c r="S130" s="48">
        <f t="shared" si="8"/>
        <v>5</v>
      </c>
      <c r="T130" s="29">
        <v>25</v>
      </c>
      <c r="U130" s="47">
        <f t="shared" si="9"/>
        <v>0</v>
      </c>
      <c r="V130" s="48">
        <f t="shared" si="10"/>
        <v>0</v>
      </c>
      <c r="W130" s="2"/>
    </row>
    <row r="131" spans="1:29">
      <c r="A131" s="51">
        <v>127</v>
      </c>
      <c r="B131" s="50" t="s">
        <v>19</v>
      </c>
      <c r="C131" s="50" t="s">
        <v>393</v>
      </c>
      <c r="D131" s="49">
        <v>10</v>
      </c>
      <c r="E131" s="49">
        <v>10</v>
      </c>
      <c r="F131" s="50">
        <f t="shared" si="11"/>
        <v>10</v>
      </c>
      <c r="G131" s="2"/>
      <c r="H131" s="46">
        <v>10</v>
      </c>
      <c r="I131" s="47">
        <f t="shared" si="1"/>
        <v>0</v>
      </c>
      <c r="J131" s="48">
        <f t="shared" si="2"/>
        <v>0</v>
      </c>
      <c r="K131" s="46">
        <v>15</v>
      </c>
      <c r="L131" s="47">
        <f t="shared" si="3"/>
        <v>25</v>
      </c>
      <c r="M131" s="48">
        <f t="shared" si="4"/>
        <v>5</v>
      </c>
      <c r="N131" s="46">
        <v>15</v>
      </c>
      <c r="O131" s="47">
        <f t="shared" si="5"/>
        <v>25</v>
      </c>
      <c r="P131" s="48">
        <f t="shared" si="6"/>
        <v>5</v>
      </c>
      <c r="Q131" s="46">
        <v>15</v>
      </c>
      <c r="R131" s="47">
        <f t="shared" si="7"/>
        <v>25</v>
      </c>
      <c r="S131" s="48">
        <f t="shared" si="8"/>
        <v>5</v>
      </c>
      <c r="T131" s="29">
        <v>20</v>
      </c>
      <c r="U131" s="47">
        <f t="shared" si="9"/>
        <v>100</v>
      </c>
      <c r="V131" s="48">
        <f t="shared" si="10"/>
        <v>10</v>
      </c>
      <c r="W131" s="2"/>
    </row>
    <row r="132" spans="1:29">
      <c r="A132" s="49">
        <v>128</v>
      </c>
      <c r="B132" s="50" t="s">
        <v>19</v>
      </c>
      <c r="C132" s="50" t="s">
        <v>396</v>
      </c>
      <c r="D132" s="49">
        <v>0</v>
      </c>
      <c r="E132" s="49">
        <v>0</v>
      </c>
      <c r="F132" s="50">
        <f t="shared" si="11"/>
        <v>0</v>
      </c>
      <c r="G132" s="2"/>
      <c r="H132" s="46">
        <v>10</v>
      </c>
      <c r="I132" s="47">
        <f t="shared" si="1"/>
        <v>100</v>
      </c>
      <c r="J132" s="48">
        <f t="shared" si="2"/>
        <v>10</v>
      </c>
      <c r="K132" s="46">
        <v>25</v>
      </c>
      <c r="L132" s="47">
        <f t="shared" si="3"/>
        <v>625</v>
      </c>
      <c r="M132" s="48">
        <f t="shared" si="4"/>
        <v>25</v>
      </c>
      <c r="N132" s="46">
        <v>15</v>
      </c>
      <c r="O132" s="47">
        <f t="shared" si="5"/>
        <v>225</v>
      </c>
      <c r="P132" s="48">
        <f t="shared" si="6"/>
        <v>15</v>
      </c>
      <c r="Q132" s="46">
        <v>15</v>
      </c>
      <c r="R132" s="47">
        <f t="shared" si="7"/>
        <v>225</v>
      </c>
      <c r="S132" s="48">
        <f t="shared" si="8"/>
        <v>15</v>
      </c>
      <c r="T132" s="29">
        <v>20</v>
      </c>
      <c r="U132" s="47">
        <f t="shared" si="9"/>
        <v>400</v>
      </c>
      <c r="V132" s="48">
        <f t="shared" si="10"/>
        <v>20</v>
      </c>
      <c r="W132" s="2"/>
    </row>
    <row r="133" spans="1:29">
      <c r="A133" s="49">
        <v>129</v>
      </c>
      <c r="B133" s="50" t="s">
        <v>19</v>
      </c>
      <c r="C133" s="49" t="s">
        <v>399</v>
      </c>
      <c r="D133" s="49">
        <v>25</v>
      </c>
      <c r="E133" s="49">
        <v>25</v>
      </c>
      <c r="F133" s="50">
        <f t="shared" si="11"/>
        <v>25</v>
      </c>
      <c r="G133" s="2"/>
      <c r="H133" s="46">
        <v>30</v>
      </c>
      <c r="I133" s="47">
        <f t="shared" si="1"/>
        <v>25</v>
      </c>
      <c r="J133" s="48">
        <f t="shared" si="2"/>
        <v>5</v>
      </c>
      <c r="K133" s="46">
        <v>10</v>
      </c>
      <c r="L133" s="47">
        <f t="shared" si="3"/>
        <v>225</v>
      </c>
      <c r="M133" s="48">
        <f t="shared" si="4"/>
        <v>15</v>
      </c>
      <c r="N133" s="46">
        <v>30</v>
      </c>
      <c r="O133" s="47">
        <f t="shared" si="5"/>
        <v>25</v>
      </c>
      <c r="P133" s="48">
        <f t="shared" si="6"/>
        <v>5</v>
      </c>
      <c r="Q133" s="46">
        <v>30</v>
      </c>
      <c r="R133" s="47">
        <f t="shared" si="7"/>
        <v>25</v>
      </c>
      <c r="S133" s="48">
        <f t="shared" si="8"/>
        <v>5</v>
      </c>
      <c r="T133" s="29">
        <v>20</v>
      </c>
      <c r="U133" s="47">
        <f t="shared" si="9"/>
        <v>25</v>
      </c>
      <c r="V133" s="48">
        <f t="shared" si="10"/>
        <v>5</v>
      </c>
      <c r="W133" s="2"/>
    </row>
    <row r="134" spans="1:29" ht="19.5" customHeight="1">
      <c r="A134" s="43">
        <v>130</v>
      </c>
      <c r="B134" s="50" t="s">
        <v>19</v>
      </c>
      <c r="C134" s="49" t="s">
        <v>402</v>
      </c>
      <c r="D134" s="49">
        <v>10</v>
      </c>
      <c r="E134" s="49">
        <v>10</v>
      </c>
      <c r="F134" s="50">
        <f t="shared" si="11"/>
        <v>10</v>
      </c>
      <c r="G134" s="2"/>
      <c r="H134" s="46">
        <v>20</v>
      </c>
      <c r="I134" s="47">
        <f t="shared" si="1"/>
        <v>100</v>
      </c>
      <c r="J134" s="48">
        <f t="shared" si="2"/>
        <v>10</v>
      </c>
      <c r="K134" s="46">
        <v>20</v>
      </c>
      <c r="L134" s="47">
        <f t="shared" si="3"/>
        <v>100</v>
      </c>
      <c r="M134" s="48">
        <f t="shared" si="4"/>
        <v>10</v>
      </c>
      <c r="N134" s="46">
        <v>20</v>
      </c>
      <c r="O134" s="47">
        <f t="shared" si="5"/>
        <v>100</v>
      </c>
      <c r="P134" s="48">
        <f t="shared" si="6"/>
        <v>10</v>
      </c>
      <c r="Q134" s="46">
        <v>25</v>
      </c>
      <c r="R134" s="47">
        <f t="shared" si="7"/>
        <v>225</v>
      </c>
      <c r="S134" s="48">
        <f t="shared" si="8"/>
        <v>15</v>
      </c>
      <c r="T134" s="29">
        <v>20</v>
      </c>
      <c r="U134" s="47">
        <f t="shared" si="9"/>
        <v>100</v>
      </c>
      <c r="V134" s="48">
        <f t="shared" si="10"/>
        <v>10</v>
      </c>
      <c r="W134" s="2"/>
    </row>
    <row r="135" spans="1:29">
      <c r="A135" s="49">
        <v>131</v>
      </c>
      <c r="B135" s="50" t="s">
        <v>19</v>
      </c>
      <c r="C135" s="50" t="s">
        <v>405</v>
      </c>
      <c r="D135" s="49">
        <v>40</v>
      </c>
      <c r="E135" s="49">
        <v>40</v>
      </c>
      <c r="F135" s="50">
        <f t="shared" si="11"/>
        <v>40</v>
      </c>
      <c r="G135" s="2"/>
      <c r="H135" s="46">
        <v>30</v>
      </c>
      <c r="I135" s="47">
        <f t="shared" si="1"/>
        <v>100</v>
      </c>
      <c r="J135" s="48">
        <f t="shared" si="2"/>
        <v>10</v>
      </c>
      <c r="K135" s="46">
        <v>40</v>
      </c>
      <c r="L135" s="47">
        <f t="shared" si="3"/>
        <v>0</v>
      </c>
      <c r="M135" s="48">
        <f t="shared" si="4"/>
        <v>0</v>
      </c>
      <c r="N135" s="46">
        <v>40</v>
      </c>
      <c r="O135" s="47">
        <f t="shared" si="5"/>
        <v>0</v>
      </c>
      <c r="P135" s="48">
        <f t="shared" si="6"/>
        <v>0</v>
      </c>
      <c r="Q135" s="46">
        <v>35</v>
      </c>
      <c r="R135" s="47">
        <f t="shared" si="7"/>
        <v>25</v>
      </c>
      <c r="S135" s="48">
        <f t="shared" si="8"/>
        <v>5</v>
      </c>
      <c r="T135" s="29">
        <v>35</v>
      </c>
      <c r="U135" s="47">
        <f t="shared" si="9"/>
        <v>25</v>
      </c>
      <c r="V135" s="48">
        <f t="shared" si="10"/>
        <v>5</v>
      </c>
      <c r="W135" s="2"/>
    </row>
    <row r="136" spans="1:29">
      <c r="A136" s="49">
        <v>132</v>
      </c>
      <c r="B136" s="50" t="s">
        <v>19</v>
      </c>
      <c r="C136" s="50" t="s">
        <v>408</v>
      </c>
      <c r="D136" s="49">
        <v>0</v>
      </c>
      <c r="E136" s="49">
        <v>0</v>
      </c>
      <c r="F136" s="50">
        <f t="shared" si="11"/>
        <v>0</v>
      </c>
      <c r="G136" s="2"/>
      <c r="H136" s="46">
        <v>20</v>
      </c>
      <c r="I136" s="47">
        <f t="shared" si="1"/>
        <v>400</v>
      </c>
      <c r="J136" s="48">
        <f t="shared" si="2"/>
        <v>20</v>
      </c>
      <c r="K136" s="46">
        <v>20</v>
      </c>
      <c r="L136" s="47">
        <f t="shared" si="3"/>
        <v>400</v>
      </c>
      <c r="M136" s="48">
        <f t="shared" si="4"/>
        <v>20</v>
      </c>
      <c r="N136" s="46">
        <v>20</v>
      </c>
      <c r="O136" s="47">
        <f t="shared" si="5"/>
        <v>400</v>
      </c>
      <c r="P136" s="48">
        <f t="shared" si="6"/>
        <v>20</v>
      </c>
      <c r="Q136" s="46">
        <v>20</v>
      </c>
      <c r="R136" s="47">
        <f t="shared" si="7"/>
        <v>400</v>
      </c>
      <c r="S136" s="48">
        <f t="shared" si="8"/>
        <v>20</v>
      </c>
      <c r="T136" s="29">
        <v>20</v>
      </c>
      <c r="U136" s="47">
        <f t="shared" si="9"/>
        <v>400</v>
      </c>
      <c r="V136" s="48">
        <f t="shared" si="10"/>
        <v>20</v>
      </c>
      <c r="W136" s="2"/>
    </row>
    <row r="137" spans="1:29">
      <c r="A137" s="51">
        <v>133</v>
      </c>
      <c r="B137" s="50" t="s">
        <v>19</v>
      </c>
      <c r="C137" s="50" t="s">
        <v>411</v>
      </c>
      <c r="D137" s="49">
        <v>20</v>
      </c>
      <c r="E137" s="49">
        <v>10</v>
      </c>
      <c r="F137" s="50">
        <f t="shared" si="11"/>
        <v>15</v>
      </c>
      <c r="G137" s="2"/>
      <c r="H137" s="46">
        <v>30</v>
      </c>
      <c r="I137" s="47">
        <f t="shared" si="1"/>
        <v>225</v>
      </c>
      <c r="J137" s="48">
        <f t="shared" si="2"/>
        <v>15</v>
      </c>
      <c r="K137" s="46">
        <v>35</v>
      </c>
      <c r="L137" s="47">
        <f t="shared" si="3"/>
        <v>400</v>
      </c>
      <c r="M137" s="48">
        <f t="shared" si="4"/>
        <v>20</v>
      </c>
      <c r="N137" s="46">
        <v>35</v>
      </c>
      <c r="O137" s="47">
        <f t="shared" si="5"/>
        <v>400</v>
      </c>
      <c r="P137" s="48">
        <f t="shared" si="6"/>
        <v>20</v>
      </c>
      <c r="Q137" s="46">
        <v>35</v>
      </c>
      <c r="R137" s="47">
        <f t="shared" si="7"/>
        <v>400</v>
      </c>
      <c r="S137" s="48">
        <f t="shared" si="8"/>
        <v>20</v>
      </c>
      <c r="T137" s="29">
        <v>30</v>
      </c>
      <c r="U137" s="47">
        <f t="shared" si="9"/>
        <v>225</v>
      </c>
      <c r="V137" s="48">
        <f t="shared" si="10"/>
        <v>15</v>
      </c>
      <c r="W137" s="2"/>
    </row>
    <row r="138" spans="1:29">
      <c r="A138" s="49">
        <v>134</v>
      </c>
      <c r="B138" s="50" t="s">
        <v>19</v>
      </c>
      <c r="C138" s="50" t="s">
        <v>414</v>
      </c>
      <c r="D138" s="49">
        <v>10</v>
      </c>
      <c r="E138" s="49">
        <v>10</v>
      </c>
      <c r="F138" s="49">
        <v>10</v>
      </c>
      <c r="G138" s="2"/>
      <c r="H138" s="46">
        <v>20</v>
      </c>
      <c r="I138" s="47">
        <f t="shared" si="1"/>
        <v>100</v>
      </c>
      <c r="J138" s="48">
        <f t="shared" si="2"/>
        <v>10</v>
      </c>
      <c r="K138" s="46">
        <v>25</v>
      </c>
      <c r="L138" s="47">
        <f t="shared" si="3"/>
        <v>225</v>
      </c>
      <c r="M138" s="48">
        <f t="shared" si="4"/>
        <v>15</v>
      </c>
      <c r="N138" s="46">
        <v>10</v>
      </c>
      <c r="O138" s="47">
        <f t="shared" si="5"/>
        <v>0</v>
      </c>
      <c r="P138" s="48">
        <f t="shared" si="6"/>
        <v>0</v>
      </c>
      <c r="Q138" s="46">
        <v>25</v>
      </c>
      <c r="R138" s="47">
        <f t="shared" si="7"/>
        <v>225</v>
      </c>
      <c r="S138" s="48">
        <f t="shared" si="8"/>
        <v>15</v>
      </c>
      <c r="T138" s="29">
        <v>20</v>
      </c>
      <c r="U138" s="47">
        <f t="shared" si="9"/>
        <v>100</v>
      </c>
      <c r="V138" s="48">
        <f t="shared" si="10"/>
        <v>10</v>
      </c>
      <c r="W138" s="2"/>
    </row>
    <row r="139" spans="1:29">
      <c r="A139" s="52" t="s">
        <v>461</v>
      </c>
      <c r="B139" s="53"/>
      <c r="C139" s="53"/>
      <c r="D139" s="54" t="s">
        <v>462</v>
      </c>
      <c r="E139" s="55" t="s">
        <v>463</v>
      </c>
      <c r="F139" s="56" t="s">
        <v>464</v>
      </c>
      <c r="G139" s="57"/>
      <c r="H139" s="58" t="s">
        <v>465</v>
      </c>
      <c r="I139" s="59">
        <f>J139/I140</f>
        <v>7.7519379844961239E-2</v>
      </c>
      <c r="J139" s="60">
        <f>COUNTIF(J10:J138,"=0")</f>
        <v>10</v>
      </c>
      <c r="K139" s="61" t="s">
        <v>447</v>
      </c>
      <c r="L139" s="59">
        <f>M139/L140</f>
        <v>0.13178294573643412</v>
      </c>
      <c r="M139" s="60">
        <f>COUNTIF(M10:M138,"=0")</f>
        <v>17</v>
      </c>
      <c r="N139" s="61" t="s">
        <v>449</v>
      </c>
      <c r="O139" s="59">
        <f>P139/O140</f>
        <v>0.19379844961240311</v>
      </c>
      <c r="P139" s="60">
        <f>COUNTIF(P10:P138,"=0")</f>
        <v>25</v>
      </c>
      <c r="Q139" s="61" t="s">
        <v>451</v>
      </c>
      <c r="R139" s="59">
        <f>S139/R140</f>
        <v>5.4263565891472867E-2</v>
      </c>
      <c r="S139" s="57">
        <f>COUNTIF(S10:S138,"=0")</f>
        <v>7</v>
      </c>
      <c r="T139" s="62" t="s">
        <v>453</v>
      </c>
      <c r="U139" s="59">
        <f>V139/U140</f>
        <v>0.13178294573643412</v>
      </c>
      <c r="V139" s="57">
        <f>COUNTIF(V10:V138,"=0")</f>
        <v>17</v>
      </c>
      <c r="W139" s="63"/>
      <c r="X139" s="64"/>
      <c r="Y139" s="64"/>
      <c r="Z139" s="64"/>
      <c r="AA139" s="64"/>
      <c r="AB139" s="64"/>
      <c r="AC139" s="65"/>
    </row>
    <row r="140" spans="1:29">
      <c r="A140" s="66"/>
      <c r="B140" s="67"/>
      <c r="C140" s="68" t="s">
        <v>466</v>
      </c>
      <c r="D140" s="69">
        <f t="shared" ref="D140:F140" si="12">COUNTIF(D10:D138,"&gt;=0")</f>
        <v>129</v>
      </c>
      <c r="E140" s="69">
        <f t="shared" si="12"/>
        <v>129</v>
      </c>
      <c r="F140" s="30">
        <f t="shared" si="12"/>
        <v>129</v>
      </c>
      <c r="G140" s="32"/>
      <c r="H140" s="31">
        <f t="shared" ref="H140:P140" si="13">COUNTIF(H10:H138,"&gt;=0")</f>
        <v>129</v>
      </c>
      <c r="I140" s="31">
        <f t="shared" si="13"/>
        <v>129</v>
      </c>
      <c r="J140" s="31">
        <f t="shared" si="13"/>
        <v>129</v>
      </c>
      <c r="K140" s="30">
        <f t="shared" si="13"/>
        <v>129</v>
      </c>
      <c r="L140" s="31">
        <f t="shared" si="13"/>
        <v>129</v>
      </c>
      <c r="M140" s="32">
        <f t="shared" si="13"/>
        <v>129</v>
      </c>
      <c r="N140" s="30">
        <f t="shared" si="13"/>
        <v>129</v>
      </c>
      <c r="O140" s="31">
        <f t="shared" si="13"/>
        <v>129</v>
      </c>
      <c r="P140" s="32">
        <f t="shared" si="13"/>
        <v>129</v>
      </c>
      <c r="Q140" s="30">
        <f>COUNTIF(Q9:Q138,"&gt;=0")</f>
        <v>129</v>
      </c>
      <c r="R140" s="31">
        <f>COUNTIF(R10:R138,"&gt;=0")</f>
        <v>129</v>
      </c>
      <c r="S140" s="32">
        <f t="shared" ref="S140:T140" si="14">COUNTIF(S9:S138,"&gt;=0")</f>
        <v>129</v>
      </c>
      <c r="T140" s="30">
        <f t="shared" si="14"/>
        <v>129</v>
      </c>
      <c r="U140" s="31">
        <f>COUNTIF(U10:U138,"&gt;=0")</f>
        <v>129</v>
      </c>
      <c r="V140" s="32">
        <f>COUNTIF(V9:V138,"&gt;=0")</f>
        <v>129</v>
      </c>
      <c r="W140" s="31"/>
      <c r="X140" s="70"/>
      <c r="Y140" s="70"/>
      <c r="Z140" s="70"/>
      <c r="AA140" s="70"/>
      <c r="AB140" s="70"/>
      <c r="AC140" s="71"/>
    </row>
    <row r="141" spans="1:29">
      <c r="A141" s="72" t="s">
        <v>467</v>
      </c>
      <c r="B141" s="44"/>
      <c r="C141" s="73" t="s">
        <v>468</v>
      </c>
      <c r="D141" s="74">
        <f t="shared" ref="D141:F141" si="15">AVERAGE(D9:D138)</f>
        <v>21.794573643410853</v>
      </c>
      <c r="E141" s="74">
        <f t="shared" si="15"/>
        <v>22.023255813953487</v>
      </c>
      <c r="F141" s="75">
        <f t="shared" si="15"/>
        <v>21.90891472868217</v>
      </c>
      <c r="G141" s="76"/>
      <c r="H141" s="77">
        <f>AVERAGE(H9:H138)</f>
        <v>25.193798449612402</v>
      </c>
      <c r="I141" s="78">
        <f>SQRT(AVERAGE(I9:I138))</f>
        <v>12.11478131691155</v>
      </c>
      <c r="J141" s="79">
        <f t="shared" ref="J141:K141" si="16">AVERAGE(J9:J138)</f>
        <v>9.7887596899224807</v>
      </c>
      <c r="K141" s="75">
        <f t="shared" si="16"/>
        <v>28.023255813953487</v>
      </c>
      <c r="L141" s="78">
        <f>SQRT(AVERAGE(L9:L138))</f>
        <v>12.682180167402196</v>
      </c>
      <c r="M141" s="79">
        <f t="shared" ref="M141:N141" si="17">AVERAGE(M9:M138)</f>
        <v>9.7732558139534884</v>
      </c>
      <c r="N141" s="75">
        <f t="shared" si="17"/>
        <v>27.751937984496124</v>
      </c>
      <c r="O141" s="78">
        <f>SQRT(AVERAGE(O9:O138))</f>
        <v>11.170997366866695</v>
      </c>
      <c r="P141" s="79">
        <f t="shared" ref="P141:Q141" si="18">AVERAGE(P9:P138)</f>
        <v>8.6104651162790695</v>
      </c>
      <c r="Q141" s="75">
        <f t="shared" si="18"/>
        <v>29.34108527131783</v>
      </c>
      <c r="R141" s="78">
        <f>SQRT(AVERAGE(R9:R138))</f>
        <v>13.485726735381943</v>
      </c>
      <c r="S141" s="79">
        <f t="shared" ref="S141:T141" si="19">AVERAGE(S9:S138)</f>
        <v>10.633720930232558</v>
      </c>
      <c r="T141" s="75">
        <f t="shared" si="19"/>
        <v>28.953488372093023</v>
      </c>
      <c r="U141" s="78">
        <f>SQRT(AVERAGE(U9:U138))</f>
        <v>13.557389500841207</v>
      </c>
      <c r="V141" s="79">
        <f>AVERAGE(V9:V138)</f>
        <v>10.432170542635658</v>
      </c>
      <c r="W141" s="2"/>
      <c r="AC141" s="80"/>
    </row>
    <row r="142" spans="1:29">
      <c r="A142" s="72"/>
      <c r="B142" s="44"/>
      <c r="C142" s="73" t="s">
        <v>469</v>
      </c>
      <c r="D142" s="74">
        <f t="shared" ref="D142:F142" si="20">MODE(D9:D138)</f>
        <v>40</v>
      </c>
      <c r="E142" s="74">
        <f t="shared" si="20"/>
        <v>40</v>
      </c>
      <c r="F142" s="75">
        <f t="shared" si="20"/>
        <v>40</v>
      </c>
      <c r="G142" s="76"/>
      <c r="H142" s="77">
        <f>MODE(H9:H138)</f>
        <v>30</v>
      </c>
      <c r="I142" s="81" t="s">
        <v>470</v>
      </c>
      <c r="J142" s="82" t="s">
        <v>471</v>
      </c>
      <c r="K142" s="75">
        <f>MODE(K9:K138)</f>
        <v>25</v>
      </c>
      <c r="L142" s="81" t="s">
        <v>470</v>
      </c>
      <c r="M142" s="82" t="s">
        <v>471</v>
      </c>
      <c r="N142" s="75">
        <f>MODE(N9:N138)</f>
        <v>30</v>
      </c>
      <c r="O142" s="81" t="s">
        <v>470</v>
      </c>
      <c r="P142" s="82" t="s">
        <v>471</v>
      </c>
      <c r="Q142" s="75">
        <f>MODE(Q9:Q138)</f>
        <v>35</v>
      </c>
      <c r="R142" s="81" t="s">
        <v>470</v>
      </c>
      <c r="S142" s="82" t="s">
        <v>471</v>
      </c>
      <c r="T142" s="75">
        <f>MODE(T9:T138)</f>
        <v>20</v>
      </c>
      <c r="U142" s="81" t="s">
        <v>470</v>
      </c>
      <c r="V142" s="82" t="s">
        <v>471</v>
      </c>
      <c r="W142" s="2"/>
      <c r="AC142" s="80"/>
    </row>
    <row r="143" spans="1:29">
      <c r="A143" s="72"/>
      <c r="B143" s="44"/>
      <c r="C143" s="73" t="s">
        <v>472</v>
      </c>
      <c r="D143" s="74">
        <f t="shared" ref="D143:F143" si="21">STDEVP(D10:D138)</f>
        <v>13.15966535517072</v>
      </c>
      <c r="E143" s="74">
        <f t="shared" si="21"/>
        <v>13.562068121243785</v>
      </c>
      <c r="F143" s="75">
        <f t="shared" si="21"/>
        <v>13.042266486361024</v>
      </c>
      <c r="G143" s="76"/>
      <c r="H143" s="77">
        <f>STDEVP(H10:H138)</f>
        <v>6.3917067383559525</v>
      </c>
      <c r="I143" s="77"/>
      <c r="J143" s="77"/>
      <c r="K143" s="75">
        <f>STDEVP(K10:K138)</f>
        <v>8.1985677670360975</v>
      </c>
      <c r="L143" s="77"/>
      <c r="M143" s="77"/>
      <c r="N143" s="75">
        <f>STDEVP(N10:N138)</f>
        <v>9.2753160858419328</v>
      </c>
      <c r="O143" s="77"/>
      <c r="P143" s="77"/>
      <c r="Q143" s="75">
        <f>STDEVP(Q10:Q138)</f>
        <v>5.5816645068606023</v>
      </c>
      <c r="R143" s="77"/>
      <c r="S143" s="77"/>
      <c r="T143" s="75">
        <f>STDEVP(T10:T138)</f>
        <v>8.4604510528284873</v>
      </c>
      <c r="U143" s="77"/>
      <c r="V143" s="76"/>
      <c r="W143" s="2"/>
      <c r="AC143" s="80"/>
    </row>
    <row r="144" spans="1:29">
      <c r="A144" s="72"/>
      <c r="B144" s="44"/>
      <c r="C144" s="73" t="s">
        <v>473</v>
      </c>
      <c r="D144" s="74">
        <f t="shared" ref="D144:F144" si="22">VARP(D10:D138)</f>
        <v>173.17679226008053</v>
      </c>
      <c r="E144" s="74">
        <f t="shared" si="22"/>
        <v>183.9296917252569</v>
      </c>
      <c r="F144" s="75">
        <f t="shared" si="22"/>
        <v>170.10071510125593</v>
      </c>
      <c r="G144" s="76"/>
      <c r="H144" s="77">
        <f>VARP(H10:H138)</f>
        <v>40.853915029144886</v>
      </c>
      <c r="I144" s="77"/>
      <c r="J144" s="77"/>
      <c r="K144" s="75">
        <f>VARP(K10:K138)</f>
        <v>67.21651343068325</v>
      </c>
      <c r="L144" s="77"/>
      <c r="M144" s="77"/>
      <c r="N144" s="75">
        <f>VARP(N10:N138)</f>
        <v>86.031488492278115</v>
      </c>
      <c r="O144" s="77"/>
      <c r="P144" s="77"/>
      <c r="Q144" s="75">
        <f>VARP(Q10:Q138)</f>
        <v>31.154978667147407</v>
      </c>
      <c r="R144" s="77"/>
      <c r="S144" s="77"/>
      <c r="T144" s="75">
        <f>VARP(T10:T138)</f>
        <v>71.579232017306651</v>
      </c>
      <c r="U144" s="77"/>
      <c r="V144" s="76"/>
      <c r="W144" s="2"/>
      <c r="AC144" s="80"/>
    </row>
    <row r="145" spans="1:29">
      <c r="A145" s="72"/>
      <c r="B145" s="44"/>
      <c r="C145" s="73" t="s">
        <v>474</v>
      </c>
      <c r="D145" s="74">
        <f t="shared" ref="D145:F145" si="23">QUARTILE(D10:D138,0)</f>
        <v>0</v>
      </c>
      <c r="E145" s="74">
        <f t="shared" si="23"/>
        <v>0</v>
      </c>
      <c r="F145" s="75">
        <f t="shared" si="23"/>
        <v>0</v>
      </c>
      <c r="G145" s="76"/>
      <c r="H145" s="75">
        <f>QUARTILE(H10:H138,0)</f>
        <v>10</v>
      </c>
      <c r="I145" s="77"/>
      <c r="J145" s="76"/>
      <c r="K145" s="75">
        <f>QUARTILE(K10:K138,0)</f>
        <v>10</v>
      </c>
      <c r="L145" s="77"/>
      <c r="M145" s="76"/>
      <c r="N145" s="75">
        <f>QUARTILE(N10:N138,0)</f>
        <v>10</v>
      </c>
      <c r="O145" s="77"/>
      <c r="P145" s="76"/>
      <c r="Q145" s="75">
        <f>QUARTILE(Q10:Q138,0)</f>
        <v>15</v>
      </c>
      <c r="R145" s="77"/>
      <c r="S145" s="76"/>
      <c r="T145" s="75">
        <f>QUARTILE(T10:T138,0)</f>
        <v>15</v>
      </c>
      <c r="U145" s="77"/>
      <c r="V145" s="76"/>
      <c r="W145" s="2"/>
      <c r="AC145" s="80"/>
    </row>
    <row r="146" spans="1:29">
      <c r="A146" s="72"/>
      <c r="B146" s="44"/>
      <c r="C146" s="73" t="s">
        <v>475</v>
      </c>
      <c r="D146" s="74">
        <f t="shared" ref="D146:F146" si="24">QUARTILE(D10:D138,1)</f>
        <v>10</v>
      </c>
      <c r="E146" s="74">
        <f t="shared" si="24"/>
        <v>10</v>
      </c>
      <c r="F146" s="75">
        <f t="shared" si="24"/>
        <v>10</v>
      </c>
      <c r="G146" s="76"/>
      <c r="H146" s="75">
        <f>QUARTILE(H10:H138,1)</f>
        <v>20</v>
      </c>
      <c r="I146" s="77"/>
      <c r="J146" s="76"/>
      <c r="K146" s="75">
        <f>QUARTILE(K10:K138,1)</f>
        <v>20</v>
      </c>
      <c r="L146" s="77"/>
      <c r="M146" s="76"/>
      <c r="N146" s="75">
        <f>QUARTILE(N10:N138,1)</f>
        <v>20</v>
      </c>
      <c r="O146" s="77"/>
      <c r="P146" s="76"/>
      <c r="Q146" s="75">
        <f>QUARTILE(Q10:Q138,1)</f>
        <v>25</v>
      </c>
      <c r="R146" s="77"/>
      <c r="S146" s="76"/>
      <c r="T146" s="75">
        <f>QUARTILE(T10:T138,1)</f>
        <v>20</v>
      </c>
      <c r="U146" s="77"/>
      <c r="V146" s="76"/>
      <c r="W146" s="2"/>
      <c r="AC146" s="80"/>
    </row>
    <row r="147" spans="1:29">
      <c r="A147" s="72"/>
      <c r="B147" s="44"/>
      <c r="C147" s="73" t="s">
        <v>476</v>
      </c>
      <c r="D147" s="74">
        <f t="shared" ref="D147:F147" si="25">QUARTILE(D10:D138,2)</f>
        <v>20</v>
      </c>
      <c r="E147" s="74">
        <f t="shared" si="25"/>
        <v>22</v>
      </c>
      <c r="F147" s="75">
        <f t="shared" si="25"/>
        <v>22.5</v>
      </c>
      <c r="G147" s="76"/>
      <c r="H147" s="75">
        <f>QUARTILE(H10:H138,2)</f>
        <v>30</v>
      </c>
      <c r="I147" s="77"/>
      <c r="J147" s="76"/>
      <c r="K147" s="75">
        <f>QUARTILE(K10:K138,2)</f>
        <v>30</v>
      </c>
      <c r="L147" s="77"/>
      <c r="M147" s="76"/>
      <c r="N147" s="75">
        <f>QUARTILE(N10:N138,2)</f>
        <v>30</v>
      </c>
      <c r="O147" s="77"/>
      <c r="P147" s="76"/>
      <c r="Q147" s="75">
        <f>QUARTILE(Q10:Q138,2)</f>
        <v>30</v>
      </c>
      <c r="R147" s="77"/>
      <c r="S147" s="76"/>
      <c r="T147" s="75">
        <f>QUARTILE(T10:T138,2)</f>
        <v>30</v>
      </c>
      <c r="U147" s="77"/>
      <c r="V147" s="76"/>
      <c r="W147" s="2"/>
      <c r="AC147" s="80"/>
    </row>
    <row r="148" spans="1:29">
      <c r="A148" s="72"/>
      <c r="B148" s="44"/>
      <c r="C148" s="73" t="s">
        <v>477</v>
      </c>
      <c r="D148" s="74">
        <f t="shared" ref="D148:F148" si="26">QUARTILE(D10:D138,3)</f>
        <v>30</v>
      </c>
      <c r="E148" s="74">
        <f t="shared" si="26"/>
        <v>35</v>
      </c>
      <c r="F148" s="75">
        <f t="shared" si="26"/>
        <v>32.5</v>
      </c>
      <c r="G148" s="76"/>
      <c r="H148" s="75">
        <f>QUARTILE(H10:H138,3)</f>
        <v>30</v>
      </c>
      <c r="I148" s="77"/>
      <c r="J148" s="76"/>
      <c r="K148" s="75">
        <f>QUARTILE(K10:K138,3)</f>
        <v>35</v>
      </c>
      <c r="L148" s="77"/>
      <c r="M148" s="76"/>
      <c r="N148" s="75">
        <f>QUARTILE(N10:N138,3)</f>
        <v>35</v>
      </c>
      <c r="O148" s="77"/>
      <c r="P148" s="76"/>
      <c r="Q148" s="75">
        <f>QUARTILE(Q10:Q138,3)</f>
        <v>35</v>
      </c>
      <c r="R148" s="77"/>
      <c r="S148" s="76"/>
      <c r="T148" s="75">
        <f>QUARTILE(T10:T138,3)</f>
        <v>35</v>
      </c>
      <c r="U148" s="77"/>
      <c r="V148" s="76"/>
      <c r="W148" s="2"/>
      <c r="AC148" s="80"/>
    </row>
    <row r="149" spans="1:29">
      <c r="A149" s="72"/>
      <c r="B149" s="44"/>
      <c r="C149" s="73" t="s">
        <v>478</v>
      </c>
      <c r="D149" s="83">
        <f t="shared" ref="D149:F149" si="27">QUARTILE(D10:D138,4)</f>
        <v>40</v>
      </c>
      <c r="E149" s="83">
        <f t="shared" si="27"/>
        <v>40</v>
      </c>
      <c r="F149" s="84">
        <f t="shared" si="27"/>
        <v>40</v>
      </c>
      <c r="G149" s="85"/>
      <c r="H149" s="84">
        <f>QUARTILE(H10:H138,4)</f>
        <v>40</v>
      </c>
      <c r="I149" s="77"/>
      <c r="J149" s="85"/>
      <c r="K149" s="84">
        <f>QUARTILE(K10:K138,4)</f>
        <v>40</v>
      </c>
      <c r="L149" s="77"/>
      <c r="M149" s="85"/>
      <c r="N149" s="84">
        <f>QUARTILE(N10:N138,4)</f>
        <v>40</v>
      </c>
      <c r="O149" s="77"/>
      <c r="P149" s="85"/>
      <c r="Q149" s="84">
        <f>QUARTILE(Q10:Q138,4)</f>
        <v>40</v>
      </c>
      <c r="R149" s="77"/>
      <c r="S149" s="85"/>
      <c r="T149" s="84">
        <f>QUARTILE(T10:T138,4)</f>
        <v>40</v>
      </c>
      <c r="U149" s="86"/>
      <c r="V149" s="85"/>
      <c r="W149" s="2"/>
      <c r="AC149" s="80"/>
    </row>
    <row r="150" spans="1:29">
      <c r="A150" s="52" t="s">
        <v>479</v>
      </c>
      <c r="B150" s="53"/>
      <c r="C150" s="87" t="s">
        <v>480</v>
      </c>
      <c r="D150" s="54" t="s">
        <v>462</v>
      </c>
      <c r="E150" s="55" t="s">
        <v>463</v>
      </c>
      <c r="F150" s="88" t="s">
        <v>464</v>
      </c>
      <c r="G150" s="32"/>
      <c r="H150" s="58" t="s">
        <v>465</v>
      </c>
      <c r="I150" s="89"/>
      <c r="J150" s="90"/>
      <c r="K150" s="61" t="s">
        <v>447</v>
      </c>
      <c r="L150" s="89"/>
      <c r="M150" s="60"/>
      <c r="N150" s="61" t="s">
        <v>449</v>
      </c>
      <c r="O150" s="89"/>
      <c r="P150" s="60"/>
      <c r="Q150" s="61" t="s">
        <v>451</v>
      </c>
      <c r="R150" s="63"/>
      <c r="S150" s="57"/>
      <c r="T150" s="62" t="s">
        <v>453</v>
      </c>
      <c r="U150" s="63"/>
      <c r="V150" s="57"/>
      <c r="W150" s="63"/>
      <c r="X150" s="64"/>
      <c r="Y150" s="64"/>
      <c r="Z150" s="64"/>
      <c r="AA150" s="64"/>
      <c r="AB150" s="64"/>
      <c r="AC150" s="65"/>
    </row>
    <row r="151" spans="1:29">
      <c r="A151" s="91" t="s">
        <v>481</v>
      </c>
      <c r="B151" s="44"/>
      <c r="C151" s="92" t="s">
        <v>462</v>
      </c>
      <c r="D151" s="93" t="s">
        <v>60</v>
      </c>
      <c r="E151" s="74">
        <f>PEARSON(E10:E138,D10:D138)</f>
        <v>0.90573275593091251</v>
      </c>
      <c r="F151" s="94">
        <f>PEARSON(F10:F138,D10:D138)</f>
        <v>0.97541614861784154</v>
      </c>
      <c r="G151" s="95"/>
      <c r="H151" s="96">
        <f>PEARSON(H10:H138,D10:D138)</f>
        <v>0.43570505970489493</v>
      </c>
      <c r="I151" s="96"/>
      <c r="J151" s="97"/>
      <c r="K151" s="96">
        <f>PEARSON(K10:K138,D10:D138)</f>
        <v>0.52253829898208715</v>
      </c>
      <c r="L151" s="96"/>
      <c r="M151" s="97"/>
      <c r="N151" s="96">
        <f>PEARSON(N10:N138,D10:D138)</f>
        <v>0.66179306891090461</v>
      </c>
      <c r="O151" s="96"/>
      <c r="P151" s="97"/>
      <c r="Q151" s="96">
        <f>PEARSON(Q10:Q138,D10:D138)</f>
        <v>0.4870539478830081</v>
      </c>
      <c r="R151" s="2"/>
      <c r="S151" s="34"/>
      <c r="T151" s="75">
        <f>PEARSON(T10:T138,D10:D138)</f>
        <v>0.44907200549271348</v>
      </c>
      <c r="U151" s="77"/>
      <c r="V151" s="76"/>
      <c r="W151" s="2"/>
      <c r="AC151" s="80"/>
    </row>
    <row r="152" spans="1:29">
      <c r="A152" s="91" t="s">
        <v>482</v>
      </c>
      <c r="B152" s="44"/>
      <c r="C152" s="98" t="s">
        <v>463</v>
      </c>
      <c r="D152" s="99">
        <f>PEARSON(D10:D138,E10:E138)</f>
        <v>0.90573275593091251</v>
      </c>
      <c r="E152" s="100" t="s">
        <v>60</v>
      </c>
      <c r="F152" s="101">
        <f>PEARSON(F10:F138,E10:E138)</f>
        <v>0.97687039737909598</v>
      </c>
      <c r="G152" s="97"/>
      <c r="H152" s="96">
        <f>PEARSON(H10:H138,E10:E138)</f>
        <v>0.44216336783294091</v>
      </c>
      <c r="I152" s="96"/>
      <c r="J152" s="97"/>
      <c r="K152" s="96">
        <f>PEARSON(K10:K138,E10:E138)</f>
        <v>0.51702555902549163</v>
      </c>
      <c r="L152" s="96"/>
      <c r="M152" s="97"/>
      <c r="N152" s="96">
        <f>PEARSON(N10:N138,E10:E138)</f>
        <v>0.6733586218942097</v>
      </c>
      <c r="O152" s="96"/>
      <c r="P152" s="97"/>
      <c r="Q152" s="96">
        <f>PEARSON(Q10:Q138,E10:E138)</f>
        <v>0.51325086065405323</v>
      </c>
      <c r="R152" s="2"/>
      <c r="S152" s="34"/>
      <c r="T152" s="75">
        <f>PEARSON(T10:T138,E10:E138)</f>
        <v>0.50117090340242676</v>
      </c>
      <c r="U152" s="77"/>
      <c r="V152" s="76"/>
      <c r="W152" s="2"/>
      <c r="AC152" s="80"/>
    </row>
    <row r="153" spans="1:29">
      <c r="A153" s="102" t="s">
        <v>483</v>
      </c>
      <c r="B153" s="44"/>
      <c r="C153" s="98" t="s">
        <v>464</v>
      </c>
      <c r="D153" s="103">
        <f>PEARSON(D10:D138,F10:F138)</f>
        <v>0.97541614861784154</v>
      </c>
      <c r="E153" s="104">
        <f>PEARSON(E10:E138,F10:F138)</f>
        <v>0.97687039737909598</v>
      </c>
      <c r="F153" s="100" t="s">
        <v>60</v>
      </c>
      <c r="G153" s="105"/>
      <c r="H153" s="106">
        <f>PEARSON(H10:H138,F10:F138)</f>
        <v>0.44970644123884018</v>
      </c>
      <c r="I153" s="106"/>
      <c r="J153" s="105"/>
      <c r="K153" s="106">
        <f>PEARSON(K10:K138,F10:F138)</f>
        <v>0.53243678989062482</v>
      </c>
      <c r="L153" s="106"/>
      <c r="M153" s="105"/>
      <c r="N153" s="106">
        <f>PEARSON(N10:N138,F10:F138)</f>
        <v>0.68397279108092257</v>
      </c>
      <c r="O153" s="106"/>
      <c r="P153" s="105"/>
      <c r="Q153" s="106">
        <f>PEARSON(Q10:Q138,F10:F138)</f>
        <v>0.512572339842708</v>
      </c>
      <c r="R153" s="2"/>
      <c r="S153" s="34"/>
      <c r="T153" s="107">
        <f>PEARSON(T10:T138,F10:F138)</f>
        <v>0.48712972006347188</v>
      </c>
      <c r="U153" s="77"/>
      <c r="V153" s="76"/>
      <c r="W153" s="2"/>
      <c r="AC153" s="80"/>
    </row>
    <row r="154" spans="1:29">
      <c r="A154" s="91"/>
      <c r="B154" s="44"/>
      <c r="C154" s="108" t="s">
        <v>465</v>
      </c>
      <c r="D154" s="99">
        <f>PEARSON(D10:D138,H10:H138)</f>
        <v>0.43570505970489493</v>
      </c>
      <c r="E154" s="109">
        <f>PEARSON(E10:E138,H10:H138)</f>
        <v>0.44216336783294091</v>
      </c>
      <c r="F154" s="110">
        <f>PEARSON(F10:F138,H10:H138)</f>
        <v>0.44970644123884018</v>
      </c>
      <c r="G154" s="97"/>
      <c r="H154" s="111" t="s">
        <v>60</v>
      </c>
      <c r="I154" s="96"/>
      <c r="J154" s="97"/>
      <c r="K154" s="96">
        <f>PEARSON(K10:K138,H10:H138)</f>
        <v>0.64710655370940517</v>
      </c>
      <c r="L154" s="96"/>
      <c r="M154" s="97"/>
      <c r="N154" s="96">
        <f>PEARSON(N10:N138,H10:H138)</f>
        <v>0.68401587886061566</v>
      </c>
      <c r="O154" s="96"/>
      <c r="P154" s="97"/>
      <c r="Q154" s="96">
        <f>PEARSON(Q10:Q138,H10:H138)</f>
        <v>0.68802701530631416</v>
      </c>
      <c r="R154" s="2"/>
      <c r="S154" s="34"/>
      <c r="T154" s="75">
        <f>PEARSON(T10:T138,H10:H138)</f>
        <v>0.5807371740529117</v>
      </c>
      <c r="U154" s="77"/>
      <c r="V154" s="76"/>
      <c r="W154" s="2"/>
      <c r="AC154" s="80"/>
    </row>
    <row r="155" spans="1:29">
      <c r="A155" s="102"/>
      <c r="B155" s="44"/>
      <c r="C155" s="108" t="s">
        <v>484</v>
      </c>
      <c r="D155" s="99">
        <f>PEARSON(D10:D138,K10:K138)</f>
        <v>0.52253829898208715</v>
      </c>
      <c r="E155" s="109">
        <f>PEARSON(E10:E138,K10:K138)</f>
        <v>0.51702555902549163</v>
      </c>
      <c r="F155" s="110">
        <f>PEARSON(F10:F138,K10:K138)</f>
        <v>0.53243678989062482</v>
      </c>
      <c r="G155" s="97"/>
      <c r="H155" s="96">
        <f>PEARSON(H10:H138,K10:K138)</f>
        <v>0.64710655370940517</v>
      </c>
      <c r="I155" s="96"/>
      <c r="J155" s="97"/>
      <c r="K155" s="111" t="s">
        <v>60</v>
      </c>
      <c r="L155" s="96"/>
      <c r="M155" s="97"/>
      <c r="N155" s="96">
        <f>PEARSON(N10:N138,K10:K138)</f>
        <v>0.72140156012679535</v>
      </c>
      <c r="O155" s="96"/>
      <c r="P155" s="97"/>
      <c r="Q155" s="96">
        <f>PEARSON(Q10:Q138,H10:H138)</f>
        <v>0.68802701530631416</v>
      </c>
      <c r="R155" s="2"/>
      <c r="S155" s="34"/>
      <c r="T155" s="75">
        <f>PEARSON(T10:T138,K10:K138)</f>
        <v>0.64072444502297121</v>
      </c>
      <c r="U155" s="77"/>
      <c r="V155" s="76"/>
      <c r="W155" s="2"/>
      <c r="AC155" s="80"/>
    </row>
    <row r="156" spans="1:29">
      <c r="A156" s="112"/>
      <c r="B156" s="44"/>
      <c r="C156" s="108" t="s">
        <v>449</v>
      </c>
      <c r="D156" s="99">
        <f>PEARSON(D10:D138,N10:N138)</f>
        <v>0.66179306891090461</v>
      </c>
      <c r="E156" s="109">
        <f>PEARSON(E10:E138,N10:N138)</f>
        <v>0.6733586218942097</v>
      </c>
      <c r="F156" s="110">
        <f>PEARSON(F10:F138,N10:N138)</f>
        <v>0.68397279108092257</v>
      </c>
      <c r="G156" s="97"/>
      <c r="H156" s="96">
        <f>PEARSON(H10:H138,N10:N138)</f>
        <v>0.68401587886061566</v>
      </c>
      <c r="I156" s="96"/>
      <c r="J156" s="97"/>
      <c r="K156" s="96">
        <f>PEARSON(K10:K138,N10:N138)</f>
        <v>0.72140156012679535</v>
      </c>
      <c r="L156" s="96"/>
      <c r="M156" s="97"/>
      <c r="N156" s="111" t="s">
        <v>60</v>
      </c>
      <c r="O156" s="96"/>
      <c r="P156" s="97"/>
      <c r="Q156" s="96">
        <f>PEARSON(Q10:Q138,K10:K138)</f>
        <v>0.73382868871963935</v>
      </c>
      <c r="R156" s="2"/>
      <c r="S156" s="34"/>
      <c r="T156" s="75">
        <f>PEARSON(T10:T138,N10:N138)</f>
        <v>0.6738584485286222</v>
      </c>
      <c r="U156" s="77"/>
      <c r="V156" s="76"/>
      <c r="W156" s="2"/>
      <c r="AC156" s="80"/>
    </row>
    <row r="157" spans="1:29">
      <c r="A157" s="112"/>
      <c r="B157" s="44"/>
      <c r="C157" s="108" t="s">
        <v>485</v>
      </c>
      <c r="D157" s="99">
        <f>PEARSON(D10:D138,Q10:Q138)</f>
        <v>0.4870539478830081</v>
      </c>
      <c r="E157" s="109">
        <f>PEARSON(E10:E138,Q10:Q138)</f>
        <v>0.51325086065405323</v>
      </c>
      <c r="F157" s="110">
        <f>PEARSON(F10:F138,Q10:Q138)</f>
        <v>0.512572339842708</v>
      </c>
      <c r="G157" s="97"/>
      <c r="H157" s="96">
        <f>PEARSON(H10:H138,Q10:Q138)</f>
        <v>0.68802701530631416</v>
      </c>
      <c r="I157" s="96"/>
      <c r="J157" s="97"/>
      <c r="K157" s="96">
        <f>PEARSON(K10:K138,Q10:Q138)</f>
        <v>0.73382868871963935</v>
      </c>
      <c r="L157" s="96"/>
      <c r="M157" s="97"/>
      <c r="N157" s="96">
        <f>PEARSON(N10:N138,Q10:Q138)</f>
        <v>0.63395721540556971</v>
      </c>
      <c r="O157" s="96"/>
      <c r="P157" s="97"/>
      <c r="Q157" s="111" t="s">
        <v>60</v>
      </c>
      <c r="R157" s="2"/>
      <c r="S157" s="34"/>
      <c r="T157" s="75">
        <f>PEARSON(T10:T138,Q10:Q138)</f>
        <v>0.64612012010742936</v>
      </c>
      <c r="U157" s="77"/>
      <c r="V157" s="76"/>
      <c r="W157" s="2"/>
      <c r="AC157" s="80"/>
    </row>
    <row r="158" spans="1:29">
      <c r="A158" s="113"/>
      <c r="B158" s="114"/>
      <c r="C158" s="115" t="s">
        <v>453</v>
      </c>
      <c r="D158" s="116">
        <f>PEARSON(D10:D138,T10:T138)</f>
        <v>0.44907200549271348</v>
      </c>
      <c r="E158" s="117">
        <f>PEARSON(E10:E138,T10:T138)</f>
        <v>0.50117090340242676</v>
      </c>
      <c r="F158" s="118">
        <f>PEARSON(F10:F138,T10:T138)</f>
        <v>0.48712972006347188</v>
      </c>
      <c r="G158" s="119"/>
      <c r="H158" s="120">
        <f>PEARSON(H10:H138,T10:T138)</f>
        <v>0.5807371740529117</v>
      </c>
      <c r="I158" s="120"/>
      <c r="J158" s="119"/>
      <c r="K158" s="120">
        <f>PEARSON(K10:K138,T10:T138)</f>
        <v>0.64072444502297121</v>
      </c>
      <c r="L158" s="120"/>
      <c r="M158" s="119"/>
      <c r="N158" s="120">
        <f>PEARSON(N10:N138,T10:T138)</f>
        <v>0.6738584485286222</v>
      </c>
      <c r="O158" s="120"/>
      <c r="P158" s="119"/>
      <c r="Q158" s="121">
        <f>PEARSON(Q10:Q138,T10:T138)</f>
        <v>0.64612012010742936</v>
      </c>
      <c r="R158" s="122"/>
      <c r="S158" s="123"/>
      <c r="T158" s="124" t="s">
        <v>60</v>
      </c>
      <c r="U158" s="86"/>
      <c r="V158" s="85"/>
      <c r="W158" s="122"/>
      <c r="X158" s="125"/>
      <c r="Y158" s="125"/>
      <c r="Z158" s="125"/>
      <c r="AA158" s="125"/>
      <c r="AB158" s="125"/>
      <c r="AC158" s="126"/>
    </row>
    <row r="159" spans="1:29">
      <c r="A159" s="112"/>
      <c r="B159" s="44"/>
      <c r="C159" s="44"/>
      <c r="D159" s="127"/>
      <c r="E159" s="128"/>
      <c r="F159" s="129"/>
      <c r="G159" s="96"/>
      <c r="H159" s="96"/>
      <c r="I159" s="96"/>
      <c r="J159" s="97"/>
      <c r="K159" s="96"/>
      <c r="L159" s="96"/>
      <c r="M159" s="97"/>
      <c r="N159" s="96"/>
      <c r="O159" s="96"/>
      <c r="P159" s="97"/>
      <c r="Q159" s="111"/>
      <c r="R159" s="2"/>
      <c r="S159" s="34"/>
      <c r="T159" s="29"/>
      <c r="U159" s="2"/>
      <c r="V159" s="34"/>
      <c r="W159" s="2"/>
    </row>
    <row r="160" spans="1:29">
      <c r="A160" s="130"/>
      <c r="B160" s="131"/>
      <c r="C160" s="130"/>
      <c r="D160" s="130"/>
      <c r="E160" s="130"/>
      <c r="F160" s="130"/>
      <c r="G160" s="130"/>
      <c r="H160" s="132"/>
      <c r="I160" s="130"/>
      <c r="J160" s="133"/>
      <c r="K160" s="132"/>
      <c r="L160" s="130"/>
      <c r="M160" s="133"/>
      <c r="N160" s="132"/>
      <c r="O160" s="130"/>
      <c r="P160" s="133"/>
      <c r="Q160" s="132"/>
      <c r="R160" s="130"/>
      <c r="S160" s="133"/>
      <c r="T160" s="134"/>
      <c r="U160" s="131"/>
      <c r="V160" s="135"/>
      <c r="W160" s="131"/>
    </row>
    <row r="161" spans="1:23" ht="18">
      <c r="A161" s="28" t="s">
        <v>486</v>
      </c>
      <c r="B161" s="2"/>
      <c r="C161" s="47"/>
      <c r="D161" s="47"/>
      <c r="E161" s="47"/>
      <c r="F161" s="47"/>
      <c r="G161" s="47"/>
      <c r="H161" s="46"/>
      <c r="I161" s="47"/>
      <c r="J161" s="48"/>
      <c r="K161" s="46"/>
      <c r="L161" s="47"/>
      <c r="M161" s="48"/>
      <c r="N161" s="46"/>
      <c r="O161" s="47"/>
      <c r="P161" s="48"/>
      <c r="Q161" s="46"/>
      <c r="R161" s="47"/>
      <c r="S161" s="48"/>
      <c r="T161" s="29"/>
      <c r="U161" s="2"/>
      <c r="V161" s="34"/>
      <c r="W161" s="2"/>
    </row>
    <row r="162" spans="1:23">
      <c r="A162" s="39" t="s">
        <v>456</v>
      </c>
      <c r="B162" s="39" t="s">
        <v>457</v>
      </c>
      <c r="C162" s="39" t="s">
        <v>458</v>
      </c>
      <c r="D162" s="40" t="s">
        <v>15</v>
      </c>
      <c r="E162" s="40" t="s">
        <v>16</v>
      </c>
      <c r="F162" s="40" t="s">
        <v>17</v>
      </c>
      <c r="G162" s="40" t="s">
        <v>487</v>
      </c>
      <c r="H162" s="41" t="s">
        <v>488</v>
      </c>
      <c r="I162" s="47"/>
      <c r="J162" s="48"/>
      <c r="K162" s="41" t="s">
        <v>489</v>
      </c>
      <c r="L162" s="47"/>
      <c r="M162" s="48"/>
      <c r="N162" s="41" t="s">
        <v>490</v>
      </c>
      <c r="O162" s="47"/>
      <c r="P162" s="48"/>
      <c r="Q162" s="41" t="s">
        <v>491</v>
      </c>
      <c r="R162" s="47"/>
      <c r="S162" s="47"/>
      <c r="T162" s="35" t="s">
        <v>492</v>
      </c>
      <c r="U162" s="2"/>
      <c r="V162" s="34"/>
      <c r="W162" s="2" t="s">
        <v>455</v>
      </c>
    </row>
    <row r="163" spans="1:23" ht="15" customHeight="1">
      <c r="A163" s="43">
        <v>1</v>
      </c>
      <c r="B163" s="43" t="s">
        <v>19</v>
      </c>
      <c r="C163" s="43" t="s">
        <v>20</v>
      </c>
      <c r="D163" s="43">
        <v>0</v>
      </c>
      <c r="E163" s="43">
        <v>0</v>
      </c>
      <c r="F163" s="44">
        <f t="shared" ref="F163:F198" si="28">SUM(D163:E163)/2</f>
        <v>0</v>
      </c>
      <c r="G163" s="47" t="s">
        <v>493</v>
      </c>
      <c r="H163" s="46">
        <v>30</v>
      </c>
      <c r="I163" s="47"/>
      <c r="J163" s="48">
        <f t="shared" ref="J163:J291" si="29">ABS(H163-F163)</f>
        <v>30</v>
      </c>
      <c r="K163" s="46">
        <v>25</v>
      </c>
      <c r="L163" s="47"/>
      <c r="M163" s="48">
        <f t="shared" ref="M163:M291" si="30">ABS(K163-F163)</f>
        <v>25</v>
      </c>
      <c r="N163" s="46">
        <v>30</v>
      </c>
      <c r="O163" s="47"/>
      <c r="P163" s="48">
        <f t="shared" ref="P163:P291" si="31">ABS(N163-F163)</f>
        <v>30</v>
      </c>
      <c r="Q163" s="46">
        <v>35</v>
      </c>
      <c r="R163" s="47"/>
      <c r="S163" s="48">
        <f t="shared" ref="S163:S291" si="32">ABS(Q163-F163)</f>
        <v>35</v>
      </c>
      <c r="T163" s="29">
        <v>40</v>
      </c>
      <c r="U163" s="47"/>
      <c r="V163" s="48">
        <f t="shared" ref="V163:V291" si="33">ABS(T163-F163)</f>
        <v>40</v>
      </c>
      <c r="W163" s="2"/>
    </row>
    <row r="164" spans="1:23" ht="15" customHeight="1">
      <c r="A164" s="49">
        <v>2</v>
      </c>
      <c r="B164" s="49" t="s">
        <v>19</v>
      </c>
      <c r="C164" s="49" t="s">
        <v>23</v>
      </c>
      <c r="D164" s="49">
        <v>20</v>
      </c>
      <c r="E164" s="49">
        <v>0</v>
      </c>
      <c r="F164" s="50">
        <f t="shared" si="28"/>
        <v>10</v>
      </c>
      <c r="G164" s="47" t="s">
        <v>494</v>
      </c>
      <c r="H164" s="46">
        <v>20</v>
      </c>
      <c r="I164" s="47"/>
      <c r="J164" s="48">
        <f t="shared" si="29"/>
        <v>10</v>
      </c>
      <c r="K164" s="46">
        <v>35</v>
      </c>
      <c r="L164" s="47"/>
      <c r="M164" s="48">
        <f t="shared" si="30"/>
        <v>25</v>
      </c>
      <c r="N164" s="46">
        <v>25</v>
      </c>
      <c r="O164" s="47"/>
      <c r="P164" s="48">
        <f t="shared" si="31"/>
        <v>15</v>
      </c>
      <c r="Q164" s="46">
        <v>30</v>
      </c>
      <c r="R164" s="47"/>
      <c r="S164" s="48">
        <f t="shared" si="32"/>
        <v>20</v>
      </c>
      <c r="T164" s="29">
        <v>20</v>
      </c>
      <c r="U164" s="47"/>
      <c r="V164" s="48">
        <f t="shared" si="33"/>
        <v>10</v>
      </c>
      <c r="W164" s="2"/>
    </row>
    <row r="165" spans="1:23" ht="15" customHeight="1">
      <c r="A165" s="49">
        <v>3</v>
      </c>
      <c r="B165" s="49" t="s">
        <v>19</v>
      </c>
      <c r="C165" s="49" t="s">
        <v>26</v>
      </c>
      <c r="D165" s="49">
        <v>20</v>
      </c>
      <c r="E165" s="49">
        <v>15</v>
      </c>
      <c r="F165" s="50">
        <f t="shared" si="28"/>
        <v>17.5</v>
      </c>
      <c r="G165" s="47" t="s">
        <v>495</v>
      </c>
      <c r="H165" s="46">
        <v>20</v>
      </c>
      <c r="I165" s="47"/>
      <c r="J165" s="48">
        <f t="shared" si="29"/>
        <v>2.5</v>
      </c>
      <c r="K165" s="46">
        <v>20</v>
      </c>
      <c r="L165" s="47"/>
      <c r="M165" s="48">
        <f t="shared" si="30"/>
        <v>2.5</v>
      </c>
      <c r="N165" s="46">
        <v>25</v>
      </c>
      <c r="O165" s="47"/>
      <c r="P165" s="48">
        <f t="shared" si="31"/>
        <v>7.5</v>
      </c>
      <c r="Q165" s="46">
        <v>25</v>
      </c>
      <c r="R165" s="47"/>
      <c r="S165" s="48">
        <f t="shared" si="32"/>
        <v>7.5</v>
      </c>
      <c r="T165" s="29">
        <v>20</v>
      </c>
      <c r="U165" s="47"/>
      <c r="V165" s="48">
        <f t="shared" si="33"/>
        <v>2.5</v>
      </c>
      <c r="W165" s="2"/>
    </row>
    <row r="166" spans="1:23" ht="15" customHeight="1">
      <c r="A166" s="51">
        <v>4</v>
      </c>
      <c r="B166" s="49" t="s">
        <v>19</v>
      </c>
      <c r="C166" s="50" t="s">
        <v>29</v>
      </c>
      <c r="D166" s="49">
        <v>40</v>
      </c>
      <c r="E166" s="49">
        <v>30</v>
      </c>
      <c r="F166" s="50">
        <f t="shared" si="28"/>
        <v>35</v>
      </c>
      <c r="G166" s="47" t="s">
        <v>496</v>
      </c>
      <c r="H166" s="46">
        <v>30</v>
      </c>
      <c r="I166" s="47"/>
      <c r="J166" s="48">
        <f t="shared" si="29"/>
        <v>5</v>
      </c>
      <c r="K166" s="46">
        <v>35</v>
      </c>
      <c r="L166" s="47"/>
      <c r="M166" s="48">
        <f t="shared" si="30"/>
        <v>0</v>
      </c>
      <c r="N166" s="46">
        <v>40</v>
      </c>
      <c r="O166" s="47"/>
      <c r="P166" s="48">
        <f t="shared" si="31"/>
        <v>5</v>
      </c>
      <c r="Q166" s="46">
        <v>30</v>
      </c>
      <c r="R166" s="47"/>
      <c r="S166" s="48">
        <f t="shared" si="32"/>
        <v>5</v>
      </c>
      <c r="T166" s="29">
        <v>35</v>
      </c>
      <c r="U166" s="47"/>
      <c r="V166" s="48">
        <f t="shared" si="33"/>
        <v>0</v>
      </c>
      <c r="W166" s="2"/>
    </row>
    <row r="167" spans="1:23" ht="15" customHeight="1">
      <c r="A167" s="49">
        <v>5</v>
      </c>
      <c r="B167" s="49" t="s">
        <v>19</v>
      </c>
      <c r="C167" s="49" t="s">
        <v>32</v>
      </c>
      <c r="D167" s="49">
        <v>5</v>
      </c>
      <c r="E167" s="49">
        <v>10</v>
      </c>
      <c r="F167" s="50">
        <f t="shared" si="28"/>
        <v>7.5</v>
      </c>
      <c r="G167" s="47" t="s">
        <v>497</v>
      </c>
      <c r="H167" s="46">
        <v>10</v>
      </c>
      <c r="I167" s="47"/>
      <c r="J167" s="48">
        <f t="shared" si="29"/>
        <v>2.5</v>
      </c>
      <c r="K167" s="29">
        <v>10</v>
      </c>
      <c r="L167" s="47"/>
      <c r="M167" s="48">
        <f t="shared" si="30"/>
        <v>2.5</v>
      </c>
      <c r="N167" s="29">
        <v>15</v>
      </c>
      <c r="O167" s="47"/>
      <c r="P167" s="48">
        <f t="shared" si="31"/>
        <v>7.5</v>
      </c>
      <c r="Q167" s="29">
        <v>25</v>
      </c>
      <c r="R167" s="47"/>
      <c r="S167" s="48">
        <f t="shared" si="32"/>
        <v>17.5</v>
      </c>
      <c r="T167" s="29">
        <v>20</v>
      </c>
      <c r="U167" s="47"/>
      <c r="V167" s="48">
        <f t="shared" si="33"/>
        <v>12.5</v>
      </c>
      <c r="W167" s="2"/>
    </row>
    <row r="168" spans="1:23" ht="15" customHeight="1">
      <c r="A168" s="49">
        <v>6</v>
      </c>
      <c r="B168" s="50" t="s">
        <v>19</v>
      </c>
      <c r="C168" s="50" t="s">
        <v>35</v>
      </c>
      <c r="D168" s="49">
        <v>5</v>
      </c>
      <c r="E168" s="49">
        <v>10</v>
      </c>
      <c r="F168" s="50">
        <f t="shared" si="28"/>
        <v>7.5</v>
      </c>
      <c r="G168" s="47" t="s">
        <v>498</v>
      </c>
      <c r="H168" s="46">
        <v>20</v>
      </c>
      <c r="I168" s="47"/>
      <c r="J168" s="48">
        <f t="shared" si="29"/>
        <v>12.5</v>
      </c>
      <c r="K168" s="46">
        <v>20</v>
      </c>
      <c r="L168" s="47"/>
      <c r="M168" s="48">
        <f t="shared" si="30"/>
        <v>12.5</v>
      </c>
      <c r="N168" s="46">
        <v>20</v>
      </c>
      <c r="O168" s="47"/>
      <c r="P168" s="48">
        <f t="shared" si="31"/>
        <v>12.5</v>
      </c>
      <c r="Q168" s="46">
        <v>25</v>
      </c>
      <c r="R168" s="47"/>
      <c r="S168" s="48">
        <f t="shared" si="32"/>
        <v>17.5</v>
      </c>
      <c r="T168" s="29">
        <v>20</v>
      </c>
      <c r="U168" s="47"/>
      <c r="V168" s="48">
        <f t="shared" si="33"/>
        <v>12.5</v>
      </c>
      <c r="W168" s="2"/>
    </row>
    <row r="169" spans="1:23" ht="15" customHeight="1">
      <c r="A169" s="43">
        <v>7</v>
      </c>
      <c r="B169" s="49" t="s">
        <v>19</v>
      </c>
      <c r="C169" s="49" t="s">
        <v>37</v>
      </c>
      <c r="D169" s="49">
        <v>15</v>
      </c>
      <c r="E169" s="49">
        <v>15</v>
      </c>
      <c r="F169" s="50">
        <f t="shared" si="28"/>
        <v>15</v>
      </c>
      <c r="G169" s="47" t="s">
        <v>499</v>
      </c>
      <c r="H169" s="46">
        <v>20</v>
      </c>
      <c r="I169" s="47"/>
      <c r="J169" s="48">
        <f t="shared" si="29"/>
        <v>5</v>
      </c>
      <c r="K169" s="46">
        <v>30</v>
      </c>
      <c r="L169" s="47"/>
      <c r="M169" s="48">
        <f t="shared" si="30"/>
        <v>15</v>
      </c>
      <c r="N169" s="46">
        <v>30</v>
      </c>
      <c r="O169" s="47"/>
      <c r="P169" s="48">
        <f t="shared" si="31"/>
        <v>15</v>
      </c>
      <c r="Q169" s="46">
        <v>30</v>
      </c>
      <c r="R169" s="47"/>
      <c r="S169" s="48">
        <f t="shared" si="32"/>
        <v>15</v>
      </c>
      <c r="T169" s="29">
        <v>40</v>
      </c>
      <c r="U169" s="47"/>
      <c r="V169" s="48">
        <f t="shared" si="33"/>
        <v>25</v>
      </c>
      <c r="W169" s="2"/>
    </row>
    <row r="170" spans="1:23" ht="15" customHeight="1">
      <c r="A170" s="49">
        <v>8</v>
      </c>
      <c r="B170" s="49" t="s">
        <v>19</v>
      </c>
      <c r="C170" s="50" t="s">
        <v>40</v>
      </c>
      <c r="D170" s="49">
        <v>25</v>
      </c>
      <c r="E170" s="49">
        <v>10</v>
      </c>
      <c r="F170" s="50">
        <f t="shared" si="28"/>
        <v>17.5</v>
      </c>
      <c r="G170" s="47" t="s">
        <v>500</v>
      </c>
      <c r="H170" s="46">
        <v>30</v>
      </c>
      <c r="I170" s="47"/>
      <c r="J170" s="48">
        <f t="shared" si="29"/>
        <v>12.5</v>
      </c>
      <c r="K170" s="46">
        <v>25</v>
      </c>
      <c r="L170" s="47"/>
      <c r="M170" s="48">
        <f t="shared" si="30"/>
        <v>7.5</v>
      </c>
      <c r="N170" s="46">
        <v>30</v>
      </c>
      <c r="O170" s="47"/>
      <c r="P170" s="48">
        <f t="shared" si="31"/>
        <v>12.5</v>
      </c>
      <c r="Q170" s="46">
        <v>25</v>
      </c>
      <c r="R170" s="47"/>
      <c r="S170" s="48">
        <f t="shared" si="32"/>
        <v>7.5</v>
      </c>
      <c r="T170" s="29">
        <v>20</v>
      </c>
      <c r="U170" s="47"/>
      <c r="V170" s="48">
        <f t="shared" si="33"/>
        <v>2.5</v>
      </c>
      <c r="W170" s="2"/>
    </row>
    <row r="171" spans="1:23" ht="15" customHeight="1">
      <c r="A171" s="49">
        <v>9</v>
      </c>
      <c r="B171" s="49" t="s">
        <v>19</v>
      </c>
      <c r="C171" s="49" t="s">
        <v>43</v>
      </c>
      <c r="D171" s="49">
        <v>25</v>
      </c>
      <c r="E171" s="49">
        <v>25</v>
      </c>
      <c r="F171" s="50">
        <f t="shared" si="28"/>
        <v>25</v>
      </c>
      <c r="G171" s="47" t="s">
        <v>501</v>
      </c>
      <c r="H171" s="46">
        <v>20</v>
      </c>
      <c r="I171" s="47"/>
      <c r="J171" s="48">
        <f t="shared" si="29"/>
        <v>5</v>
      </c>
      <c r="K171" s="46">
        <v>25</v>
      </c>
      <c r="L171" s="47"/>
      <c r="M171" s="48">
        <f t="shared" si="30"/>
        <v>0</v>
      </c>
      <c r="N171" s="46">
        <v>25</v>
      </c>
      <c r="O171" s="47"/>
      <c r="P171" s="48">
        <f t="shared" si="31"/>
        <v>0</v>
      </c>
      <c r="Q171" s="46">
        <v>30</v>
      </c>
      <c r="R171" s="47"/>
      <c r="S171" s="48">
        <f t="shared" si="32"/>
        <v>5</v>
      </c>
      <c r="T171" s="29">
        <v>20</v>
      </c>
      <c r="U171" s="47"/>
      <c r="V171" s="48">
        <f t="shared" si="33"/>
        <v>5</v>
      </c>
      <c r="W171" s="2"/>
    </row>
    <row r="172" spans="1:23" ht="15" customHeight="1">
      <c r="A172" s="51">
        <v>10</v>
      </c>
      <c r="B172" s="49" t="s">
        <v>19</v>
      </c>
      <c r="C172" s="49" t="s">
        <v>46</v>
      </c>
      <c r="D172" s="49">
        <v>40</v>
      </c>
      <c r="E172" s="49">
        <v>40</v>
      </c>
      <c r="F172" s="50">
        <f t="shared" si="28"/>
        <v>40</v>
      </c>
      <c r="G172" s="47" t="s">
        <v>502</v>
      </c>
      <c r="H172" s="46">
        <v>40</v>
      </c>
      <c r="I172" s="47"/>
      <c r="J172" s="48">
        <f t="shared" si="29"/>
        <v>0</v>
      </c>
      <c r="K172" s="46">
        <v>40</v>
      </c>
      <c r="L172" s="47"/>
      <c r="M172" s="48">
        <f t="shared" si="30"/>
        <v>0</v>
      </c>
      <c r="N172" s="46">
        <v>40</v>
      </c>
      <c r="O172" s="47"/>
      <c r="P172" s="48">
        <f t="shared" si="31"/>
        <v>0</v>
      </c>
      <c r="Q172" s="46">
        <v>40</v>
      </c>
      <c r="R172" s="47"/>
      <c r="S172" s="48">
        <f t="shared" si="32"/>
        <v>0</v>
      </c>
      <c r="T172" s="29">
        <v>40</v>
      </c>
      <c r="U172" s="47"/>
      <c r="V172" s="48">
        <f t="shared" si="33"/>
        <v>0</v>
      </c>
      <c r="W172" s="2"/>
    </row>
    <row r="173" spans="1:23" ht="15" customHeight="1">
      <c r="A173" s="49">
        <v>11</v>
      </c>
      <c r="B173" s="50" t="s">
        <v>19</v>
      </c>
      <c r="C173" s="49" t="s">
        <v>49</v>
      </c>
      <c r="D173" s="49">
        <v>0</v>
      </c>
      <c r="E173" s="49">
        <v>0</v>
      </c>
      <c r="F173" s="50">
        <f t="shared" si="28"/>
        <v>0</v>
      </c>
      <c r="G173" s="47" t="s">
        <v>503</v>
      </c>
      <c r="H173" s="46">
        <v>30</v>
      </c>
      <c r="I173" s="47"/>
      <c r="J173" s="48">
        <f t="shared" si="29"/>
        <v>30</v>
      </c>
      <c r="K173" s="46">
        <v>25</v>
      </c>
      <c r="L173" s="47"/>
      <c r="M173" s="48">
        <f t="shared" si="30"/>
        <v>25</v>
      </c>
      <c r="N173" s="46">
        <v>25</v>
      </c>
      <c r="O173" s="47"/>
      <c r="P173" s="48">
        <f t="shared" si="31"/>
        <v>25</v>
      </c>
      <c r="Q173" s="46">
        <v>25</v>
      </c>
      <c r="R173" s="47"/>
      <c r="S173" s="48">
        <f t="shared" si="32"/>
        <v>25</v>
      </c>
      <c r="T173" s="29">
        <v>20</v>
      </c>
      <c r="U173" s="47"/>
      <c r="V173" s="48">
        <f t="shared" si="33"/>
        <v>20</v>
      </c>
      <c r="W173" s="2"/>
    </row>
    <row r="174" spans="1:23" ht="15" customHeight="1">
      <c r="A174" s="49">
        <v>12</v>
      </c>
      <c r="B174" s="49" t="s">
        <v>19</v>
      </c>
      <c r="C174" s="49" t="s">
        <v>52</v>
      </c>
      <c r="D174" s="49">
        <v>40</v>
      </c>
      <c r="E174" s="49">
        <v>40</v>
      </c>
      <c r="F174" s="50">
        <f t="shared" si="28"/>
        <v>40</v>
      </c>
      <c r="G174" s="47" t="s">
        <v>504</v>
      </c>
      <c r="H174" s="46">
        <v>30</v>
      </c>
      <c r="I174" s="47"/>
      <c r="J174" s="48">
        <f t="shared" si="29"/>
        <v>10</v>
      </c>
      <c r="K174" s="46">
        <v>40</v>
      </c>
      <c r="L174" s="47"/>
      <c r="M174" s="48">
        <f t="shared" si="30"/>
        <v>0</v>
      </c>
      <c r="N174" s="46">
        <v>40</v>
      </c>
      <c r="O174" s="47"/>
      <c r="P174" s="48">
        <f t="shared" si="31"/>
        <v>0</v>
      </c>
      <c r="Q174" s="46">
        <v>35</v>
      </c>
      <c r="R174" s="47"/>
      <c r="S174" s="48">
        <f t="shared" si="32"/>
        <v>5</v>
      </c>
      <c r="T174" s="29">
        <v>35</v>
      </c>
      <c r="U174" s="47"/>
      <c r="V174" s="48">
        <f t="shared" si="33"/>
        <v>5</v>
      </c>
      <c r="W174" s="2"/>
    </row>
    <row r="175" spans="1:23" ht="15" customHeight="1">
      <c r="A175" s="43">
        <v>13</v>
      </c>
      <c r="B175" s="50" t="s">
        <v>19</v>
      </c>
      <c r="C175" s="50" t="s">
        <v>55</v>
      </c>
      <c r="D175" s="49">
        <v>0</v>
      </c>
      <c r="E175" s="49">
        <v>10</v>
      </c>
      <c r="F175" s="50">
        <f t="shared" si="28"/>
        <v>5</v>
      </c>
      <c r="G175" s="47" t="s">
        <v>505</v>
      </c>
      <c r="H175" s="46">
        <v>20</v>
      </c>
      <c r="I175" s="47"/>
      <c r="J175" s="48">
        <f t="shared" si="29"/>
        <v>15</v>
      </c>
      <c r="K175" s="46">
        <v>20</v>
      </c>
      <c r="L175" s="47"/>
      <c r="M175" s="48">
        <f t="shared" si="30"/>
        <v>15</v>
      </c>
      <c r="N175" s="46">
        <v>20</v>
      </c>
      <c r="O175" s="47"/>
      <c r="P175" s="48">
        <f t="shared" si="31"/>
        <v>15</v>
      </c>
      <c r="Q175" s="46">
        <v>20</v>
      </c>
      <c r="R175" s="47"/>
      <c r="S175" s="48">
        <f t="shared" si="32"/>
        <v>15</v>
      </c>
      <c r="T175" s="29">
        <v>20</v>
      </c>
      <c r="U175" s="47"/>
      <c r="V175" s="48">
        <f t="shared" si="33"/>
        <v>15</v>
      </c>
      <c r="W175" s="2"/>
    </row>
    <row r="176" spans="1:23" ht="15" customHeight="1">
      <c r="A176" s="49">
        <v>15</v>
      </c>
      <c r="B176" s="50" t="s">
        <v>19</v>
      </c>
      <c r="C176" s="49" t="s">
        <v>61</v>
      </c>
      <c r="D176" s="49">
        <v>27</v>
      </c>
      <c r="E176" s="49">
        <v>25</v>
      </c>
      <c r="F176" s="50">
        <f t="shared" si="28"/>
        <v>26</v>
      </c>
      <c r="G176" s="47" t="s">
        <v>506</v>
      </c>
      <c r="H176" s="46">
        <v>30</v>
      </c>
      <c r="I176" s="47"/>
      <c r="J176" s="48">
        <f t="shared" si="29"/>
        <v>4</v>
      </c>
      <c r="K176" s="46">
        <v>30</v>
      </c>
      <c r="L176" s="47"/>
      <c r="M176" s="48">
        <f t="shared" si="30"/>
        <v>4</v>
      </c>
      <c r="N176" s="46">
        <v>35</v>
      </c>
      <c r="O176" s="47"/>
      <c r="P176" s="48">
        <f t="shared" si="31"/>
        <v>9</v>
      </c>
      <c r="Q176" s="46">
        <v>30</v>
      </c>
      <c r="R176" s="47"/>
      <c r="S176" s="48">
        <f t="shared" si="32"/>
        <v>4</v>
      </c>
      <c r="T176" s="29">
        <v>35</v>
      </c>
      <c r="U176" s="47"/>
      <c r="V176" s="48">
        <f t="shared" si="33"/>
        <v>9</v>
      </c>
      <c r="W176" s="2"/>
    </row>
    <row r="177" spans="1:23" ht="15" customHeight="1">
      <c r="A177" s="43">
        <v>16</v>
      </c>
      <c r="B177" s="50" t="s">
        <v>19</v>
      </c>
      <c r="C177" s="50" t="s">
        <v>64</v>
      </c>
      <c r="D177" s="49">
        <v>38</v>
      </c>
      <c r="E177" s="49">
        <v>35</v>
      </c>
      <c r="F177" s="50">
        <f t="shared" si="28"/>
        <v>36.5</v>
      </c>
      <c r="G177" s="47" t="s">
        <v>507</v>
      </c>
      <c r="H177" s="46">
        <v>30</v>
      </c>
      <c r="I177" s="47"/>
      <c r="J177" s="48">
        <f t="shared" si="29"/>
        <v>6.5</v>
      </c>
      <c r="K177" s="46">
        <v>40</v>
      </c>
      <c r="L177" s="47"/>
      <c r="M177" s="48">
        <f t="shared" si="30"/>
        <v>3.5</v>
      </c>
      <c r="N177" s="46">
        <v>40</v>
      </c>
      <c r="O177" s="47"/>
      <c r="P177" s="48">
        <f t="shared" si="31"/>
        <v>3.5</v>
      </c>
      <c r="Q177" s="46">
        <v>35</v>
      </c>
      <c r="R177" s="47"/>
      <c r="S177" s="48">
        <f t="shared" si="32"/>
        <v>1.5</v>
      </c>
      <c r="T177" s="29">
        <v>35</v>
      </c>
      <c r="U177" s="47"/>
      <c r="V177" s="48">
        <f t="shared" si="33"/>
        <v>1.5</v>
      </c>
      <c r="W177" s="2"/>
    </row>
    <row r="178" spans="1:23" ht="15" customHeight="1">
      <c r="A178" s="49">
        <v>17</v>
      </c>
      <c r="B178" s="50" t="s">
        <v>19</v>
      </c>
      <c r="C178" s="50" t="s">
        <v>67</v>
      </c>
      <c r="D178" s="49">
        <v>20</v>
      </c>
      <c r="E178" s="49">
        <v>20</v>
      </c>
      <c r="F178" s="50">
        <f t="shared" si="28"/>
        <v>20</v>
      </c>
      <c r="G178" s="47" t="s">
        <v>507</v>
      </c>
      <c r="H178" s="46">
        <v>30</v>
      </c>
      <c r="I178" s="47"/>
      <c r="J178" s="48">
        <f t="shared" si="29"/>
        <v>10</v>
      </c>
      <c r="K178" s="46">
        <v>40</v>
      </c>
      <c r="L178" s="47"/>
      <c r="M178" s="48">
        <f t="shared" si="30"/>
        <v>20</v>
      </c>
      <c r="N178" s="46">
        <v>35</v>
      </c>
      <c r="O178" s="47"/>
      <c r="P178" s="48">
        <f t="shared" si="31"/>
        <v>15</v>
      </c>
      <c r="Q178" s="46">
        <v>35</v>
      </c>
      <c r="R178" s="47"/>
      <c r="S178" s="48">
        <f t="shared" si="32"/>
        <v>15</v>
      </c>
      <c r="T178" s="29">
        <v>40</v>
      </c>
      <c r="U178" s="47"/>
      <c r="V178" s="48">
        <f t="shared" si="33"/>
        <v>20</v>
      </c>
      <c r="W178" s="2"/>
    </row>
    <row r="179" spans="1:23" ht="15" customHeight="1">
      <c r="A179" s="49">
        <v>18</v>
      </c>
      <c r="B179" s="50" t="s">
        <v>19</v>
      </c>
      <c r="C179" s="49" t="s">
        <v>70</v>
      </c>
      <c r="D179" s="49">
        <v>10</v>
      </c>
      <c r="E179" s="49">
        <v>15</v>
      </c>
      <c r="F179" s="50">
        <f t="shared" si="28"/>
        <v>12.5</v>
      </c>
      <c r="G179" s="47" t="s">
        <v>508</v>
      </c>
      <c r="H179" s="46">
        <v>30</v>
      </c>
      <c r="I179" s="47"/>
      <c r="J179" s="48">
        <f t="shared" si="29"/>
        <v>17.5</v>
      </c>
      <c r="K179" s="46">
        <v>30</v>
      </c>
      <c r="L179" s="47"/>
      <c r="M179" s="48">
        <f t="shared" si="30"/>
        <v>17.5</v>
      </c>
      <c r="N179" s="46">
        <v>30</v>
      </c>
      <c r="O179" s="47"/>
      <c r="P179" s="48">
        <f t="shared" si="31"/>
        <v>17.5</v>
      </c>
      <c r="Q179" s="46">
        <v>30</v>
      </c>
      <c r="R179" s="47"/>
      <c r="S179" s="48">
        <f t="shared" si="32"/>
        <v>17.5</v>
      </c>
      <c r="T179" s="29">
        <v>30</v>
      </c>
      <c r="U179" s="47"/>
      <c r="V179" s="48">
        <f t="shared" si="33"/>
        <v>17.5</v>
      </c>
      <c r="W179" s="2"/>
    </row>
    <row r="180" spans="1:23" ht="15" customHeight="1">
      <c r="A180" s="51">
        <v>19</v>
      </c>
      <c r="B180" s="50" t="s">
        <v>19</v>
      </c>
      <c r="C180" s="50" t="s">
        <v>73</v>
      </c>
      <c r="D180" s="49">
        <v>20</v>
      </c>
      <c r="E180" s="49">
        <v>0</v>
      </c>
      <c r="F180" s="50">
        <f t="shared" si="28"/>
        <v>10</v>
      </c>
      <c r="G180" s="47" t="s">
        <v>509</v>
      </c>
      <c r="H180" s="46">
        <v>20</v>
      </c>
      <c r="I180" s="47"/>
      <c r="J180" s="48">
        <f t="shared" si="29"/>
        <v>10</v>
      </c>
      <c r="K180" s="46">
        <v>20</v>
      </c>
      <c r="L180" s="47"/>
      <c r="M180" s="48">
        <f t="shared" si="30"/>
        <v>10</v>
      </c>
      <c r="N180" s="46">
        <v>20</v>
      </c>
      <c r="O180" s="47"/>
      <c r="P180" s="48">
        <f t="shared" si="31"/>
        <v>10</v>
      </c>
      <c r="Q180" s="46">
        <v>25</v>
      </c>
      <c r="R180" s="47"/>
      <c r="S180" s="48">
        <f t="shared" si="32"/>
        <v>15</v>
      </c>
      <c r="T180" s="29">
        <v>20</v>
      </c>
      <c r="U180" s="47"/>
      <c r="V180" s="48">
        <f t="shared" si="33"/>
        <v>10</v>
      </c>
      <c r="W180" s="2"/>
    </row>
    <row r="181" spans="1:23" ht="15" customHeight="1">
      <c r="A181" s="49">
        <v>20</v>
      </c>
      <c r="B181" s="50" t="s">
        <v>19</v>
      </c>
      <c r="C181" s="50" t="s">
        <v>76</v>
      </c>
      <c r="D181" s="49">
        <v>30</v>
      </c>
      <c r="E181" s="49">
        <v>25</v>
      </c>
      <c r="F181" s="50">
        <f t="shared" si="28"/>
        <v>27.5</v>
      </c>
      <c r="G181" s="47" t="s">
        <v>510</v>
      </c>
      <c r="H181" s="46">
        <v>30</v>
      </c>
      <c r="I181" s="47"/>
      <c r="J181" s="48">
        <f t="shared" si="29"/>
        <v>2.5</v>
      </c>
      <c r="K181" s="46">
        <v>35</v>
      </c>
      <c r="L181" s="47"/>
      <c r="M181" s="48">
        <f t="shared" si="30"/>
        <v>7.5</v>
      </c>
      <c r="N181" s="46">
        <v>35</v>
      </c>
      <c r="O181" s="47"/>
      <c r="P181" s="48">
        <f t="shared" si="31"/>
        <v>7.5</v>
      </c>
      <c r="Q181" s="46">
        <v>35</v>
      </c>
      <c r="R181" s="47"/>
      <c r="S181" s="48">
        <f t="shared" si="32"/>
        <v>7.5</v>
      </c>
      <c r="T181" s="29">
        <v>30</v>
      </c>
      <c r="U181" s="47"/>
      <c r="V181" s="48">
        <f t="shared" si="33"/>
        <v>2.5</v>
      </c>
      <c r="W181" s="2"/>
    </row>
    <row r="182" spans="1:23" ht="15" customHeight="1">
      <c r="A182" s="49">
        <v>21</v>
      </c>
      <c r="B182" s="50" t="s">
        <v>19</v>
      </c>
      <c r="C182" s="50" t="s">
        <v>79</v>
      </c>
      <c r="D182" s="49">
        <v>20</v>
      </c>
      <c r="E182" s="49">
        <v>10</v>
      </c>
      <c r="F182" s="50">
        <f t="shared" si="28"/>
        <v>15</v>
      </c>
      <c r="G182" s="47" t="s">
        <v>511</v>
      </c>
      <c r="H182" s="46">
        <v>30</v>
      </c>
      <c r="I182" s="47"/>
      <c r="J182" s="48">
        <f t="shared" si="29"/>
        <v>15</v>
      </c>
      <c r="K182" s="46">
        <v>30</v>
      </c>
      <c r="L182" s="47"/>
      <c r="M182" s="48">
        <f t="shared" si="30"/>
        <v>15</v>
      </c>
      <c r="N182" s="46">
        <v>10</v>
      </c>
      <c r="O182" s="47"/>
      <c r="P182" s="48">
        <f t="shared" si="31"/>
        <v>5</v>
      </c>
      <c r="Q182" s="46">
        <v>35</v>
      </c>
      <c r="R182" s="47"/>
      <c r="S182" s="48">
        <f t="shared" si="32"/>
        <v>20</v>
      </c>
      <c r="T182" s="29">
        <v>20</v>
      </c>
      <c r="U182" s="47"/>
      <c r="V182" s="48">
        <f t="shared" si="33"/>
        <v>5</v>
      </c>
      <c r="W182" s="2"/>
    </row>
    <row r="183" spans="1:23" ht="15" customHeight="1">
      <c r="A183" s="43">
        <v>22</v>
      </c>
      <c r="B183" s="49" t="s">
        <v>19</v>
      </c>
      <c r="C183" s="50" t="s">
        <v>82</v>
      </c>
      <c r="D183" s="49">
        <v>20</v>
      </c>
      <c r="E183" s="49">
        <v>20</v>
      </c>
      <c r="F183" s="50">
        <f t="shared" si="28"/>
        <v>20</v>
      </c>
      <c r="G183" s="47" t="s">
        <v>512</v>
      </c>
      <c r="H183" s="46">
        <v>30</v>
      </c>
      <c r="I183" s="47"/>
      <c r="J183" s="48">
        <f t="shared" si="29"/>
        <v>10</v>
      </c>
      <c r="K183" s="46">
        <v>35</v>
      </c>
      <c r="L183" s="47"/>
      <c r="M183" s="48">
        <f t="shared" si="30"/>
        <v>15</v>
      </c>
      <c r="N183" s="46">
        <v>35</v>
      </c>
      <c r="O183" s="47"/>
      <c r="P183" s="48">
        <f t="shared" si="31"/>
        <v>15</v>
      </c>
      <c r="Q183" s="46">
        <v>30</v>
      </c>
      <c r="R183" s="47"/>
      <c r="S183" s="48">
        <f t="shared" si="32"/>
        <v>10</v>
      </c>
      <c r="T183" s="29">
        <v>35</v>
      </c>
      <c r="U183" s="47"/>
      <c r="V183" s="48">
        <f t="shared" si="33"/>
        <v>15</v>
      </c>
      <c r="W183" s="2"/>
    </row>
    <row r="184" spans="1:23" ht="15" customHeight="1">
      <c r="A184" s="49">
        <v>23</v>
      </c>
      <c r="B184" s="50" t="s">
        <v>19</v>
      </c>
      <c r="C184" s="50" t="s">
        <v>85</v>
      </c>
      <c r="D184" s="49">
        <v>40</v>
      </c>
      <c r="E184" s="49">
        <v>35</v>
      </c>
      <c r="F184" s="50">
        <f t="shared" si="28"/>
        <v>37.5</v>
      </c>
      <c r="G184" s="47" t="s">
        <v>513</v>
      </c>
      <c r="H184" s="46">
        <v>30</v>
      </c>
      <c r="I184" s="47"/>
      <c r="J184" s="48">
        <f t="shared" si="29"/>
        <v>7.5</v>
      </c>
      <c r="K184" s="46">
        <v>25</v>
      </c>
      <c r="L184" s="47"/>
      <c r="M184" s="48">
        <f t="shared" si="30"/>
        <v>12.5</v>
      </c>
      <c r="N184" s="46">
        <v>35</v>
      </c>
      <c r="O184" s="47"/>
      <c r="P184" s="48">
        <f t="shared" si="31"/>
        <v>2.5</v>
      </c>
      <c r="Q184" s="46">
        <v>30</v>
      </c>
      <c r="R184" s="47"/>
      <c r="S184" s="48">
        <f t="shared" si="32"/>
        <v>7.5</v>
      </c>
      <c r="T184" s="29">
        <v>40</v>
      </c>
      <c r="U184" s="47"/>
      <c r="V184" s="48">
        <f t="shared" si="33"/>
        <v>2.5</v>
      </c>
      <c r="W184" s="2"/>
    </row>
    <row r="185" spans="1:23" ht="15" customHeight="1">
      <c r="A185" s="49">
        <v>24</v>
      </c>
      <c r="B185" s="50" t="s">
        <v>19</v>
      </c>
      <c r="C185" s="50" t="s">
        <v>88</v>
      </c>
      <c r="D185" s="49">
        <v>15</v>
      </c>
      <c r="E185" s="49">
        <v>20</v>
      </c>
      <c r="F185" s="50">
        <f t="shared" si="28"/>
        <v>17.5</v>
      </c>
      <c r="G185" s="47" t="s">
        <v>514</v>
      </c>
      <c r="H185" s="46">
        <v>30</v>
      </c>
      <c r="I185" s="47"/>
      <c r="J185" s="48">
        <f t="shared" si="29"/>
        <v>12.5</v>
      </c>
      <c r="K185" s="46">
        <v>35</v>
      </c>
      <c r="L185" s="47"/>
      <c r="M185" s="48">
        <f t="shared" si="30"/>
        <v>17.5</v>
      </c>
      <c r="N185" s="46">
        <v>30</v>
      </c>
      <c r="O185" s="47"/>
      <c r="P185" s="48">
        <f t="shared" si="31"/>
        <v>12.5</v>
      </c>
      <c r="Q185" s="46">
        <v>35</v>
      </c>
      <c r="R185" s="47"/>
      <c r="S185" s="48">
        <f t="shared" si="32"/>
        <v>17.5</v>
      </c>
      <c r="T185" s="29">
        <v>40</v>
      </c>
      <c r="U185" s="47"/>
      <c r="V185" s="48">
        <f t="shared" si="33"/>
        <v>22.5</v>
      </c>
      <c r="W185" s="2"/>
    </row>
    <row r="186" spans="1:23" ht="15" customHeight="1">
      <c r="A186" s="51">
        <v>25</v>
      </c>
      <c r="B186" s="50" t="s">
        <v>19</v>
      </c>
      <c r="C186" s="49" t="s">
        <v>91</v>
      </c>
      <c r="D186" s="49">
        <v>40</v>
      </c>
      <c r="E186" s="49">
        <v>40</v>
      </c>
      <c r="F186" s="50">
        <f t="shared" si="28"/>
        <v>40</v>
      </c>
      <c r="G186" s="47" t="s">
        <v>515</v>
      </c>
      <c r="H186" s="46">
        <v>20</v>
      </c>
      <c r="I186" s="47"/>
      <c r="J186" s="48">
        <f t="shared" si="29"/>
        <v>20</v>
      </c>
      <c r="K186" s="46">
        <v>40</v>
      </c>
      <c r="L186" s="47"/>
      <c r="M186" s="48">
        <f t="shared" si="30"/>
        <v>0</v>
      </c>
      <c r="N186" s="46">
        <v>30</v>
      </c>
      <c r="O186" s="47"/>
      <c r="P186" s="48">
        <f t="shared" si="31"/>
        <v>10</v>
      </c>
      <c r="Q186" s="46">
        <v>35</v>
      </c>
      <c r="R186" s="47"/>
      <c r="S186" s="48">
        <f t="shared" si="32"/>
        <v>5</v>
      </c>
      <c r="T186" s="29">
        <v>40</v>
      </c>
      <c r="U186" s="47"/>
      <c r="V186" s="48">
        <f t="shared" si="33"/>
        <v>0</v>
      </c>
      <c r="W186" s="2"/>
    </row>
    <row r="187" spans="1:23" ht="15" customHeight="1">
      <c r="A187" s="49">
        <v>26</v>
      </c>
      <c r="B187" s="50" t="s">
        <v>19</v>
      </c>
      <c r="C187" s="49" t="s">
        <v>94</v>
      </c>
      <c r="D187" s="49">
        <v>40</v>
      </c>
      <c r="E187" s="49">
        <v>40</v>
      </c>
      <c r="F187" s="50">
        <f t="shared" si="28"/>
        <v>40</v>
      </c>
      <c r="G187" s="47" t="s">
        <v>516</v>
      </c>
      <c r="H187" s="46">
        <v>30</v>
      </c>
      <c r="I187" s="47"/>
      <c r="J187" s="48">
        <f t="shared" si="29"/>
        <v>10</v>
      </c>
      <c r="K187" s="46">
        <v>40</v>
      </c>
      <c r="L187" s="47"/>
      <c r="M187" s="48">
        <f t="shared" si="30"/>
        <v>0</v>
      </c>
      <c r="N187" s="46">
        <v>35</v>
      </c>
      <c r="O187" s="47"/>
      <c r="P187" s="48">
        <f t="shared" si="31"/>
        <v>5</v>
      </c>
      <c r="Q187" s="46">
        <v>35</v>
      </c>
      <c r="R187" s="47"/>
      <c r="S187" s="48">
        <f t="shared" si="32"/>
        <v>5</v>
      </c>
      <c r="T187" s="29">
        <v>35</v>
      </c>
      <c r="U187" s="47"/>
      <c r="V187" s="48">
        <f t="shared" si="33"/>
        <v>5</v>
      </c>
      <c r="W187" s="2"/>
    </row>
    <row r="188" spans="1:23" ht="15" customHeight="1">
      <c r="A188" s="51">
        <v>28</v>
      </c>
      <c r="B188" s="49" t="s">
        <v>19</v>
      </c>
      <c r="C188" s="50" t="s">
        <v>100</v>
      </c>
      <c r="D188" s="49">
        <v>20</v>
      </c>
      <c r="E188" s="49">
        <v>35</v>
      </c>
      <c r="F188" s="50">
        <f t="shared" si="28"/>
        <v>27.5</v>
      </c>
      <c r="G188" s="47" t="s">
        <v>517</v>
      </c>
      <c r="H188" s="46">
        <v>30</v>
      </c>
      <c r="I188" s="47"/>
      <c r="J188" s="48">
        <f t="shared" si="29"/>
        <v>2.5</v>
      </c>
      <c r="K188" s="46">
        <v>35</v>
      </c>
      <c r="L188" s="47"/>
      <c r="M188" s="48">
        <f t="shared" si="30"/>
        <v>7.5</v>
      </c>
      <c r="N188" s="46">
        <v>40</v>
      </c>
      <c r="O188" s="47"/>
      <c r="P188" s="48">
        <f t="shared" si="31"/>
        <v>12.5</v>
      </c>
      <c r="Q188" s="46">
        <v>35</v>
      </c>
      <c r="R188" s="47"/>
      <c r="S188" s="48">
        <f t="shared" si="32"/>
        <v>7.5</v>
      </c>
      <c r="T188" s="29">
        <v>35</v>
      </c>
      <c r="U188" s="47"/>
      <c r="V188" s="48">
        <f t="shared" si="33"/>
        <v>7.5</v>
      </c>
      <c r="W188" s="2"/>
    </row>
    <row r="189" spans="1:23" ht="15" customHeight="1">
      <c r="A189" s="49">
        <v>29</v>
      </c>
      <c r="B189" s="50" t="s">
        <v>19</v>
      </c>
      <c r="C189" s="49" t="s">
        <v>103</v>
      </c>
      <c r="D189" s="49">
        <v>20</v>
      </c>
      <c r="E189" s="49">
        <v>25</v>
      </c>
      <c r="F189" s="50">
        <f t="shared" si="28"/>
        <v>22.5</v>
      </c>
      <c r="G189" s="47" t="s">
        <v>518</v>
      </c>
      <c r="H189" s="46">
        <v>20</v>
      </c>
      <c r="I189" s="47"/>
      <c r="J189" s="48">
        <f t="shared" si="29"/>
        <v>2.5</v>
      </c>
      <c r="K189" s="46">
        <v>10</v>
      </c>
      <c r="L189" s="47"/>
      <c r="M189" s="48">
        <f t="shared" si="30"/>
        <v>12.5</v>
      </c>
      <c r="N189" s="46">
        <v>10</v>
      </c>
      <c r="O189" s="47"/>
      <c r="P189" s="48">
        <f t="shared" si="31"/>
        <v>12.5</v>
      </c>
      <c r="Q189" s="46">
        <v>25</v>
      </c>
      <c r="R189" s="47"/>
      <c r="S189" s="48">
        <f t="shared" si="32"/>
        <v>2.5</v>
      </c>
      <c r="T189" s="29">
        <v>30</v>
      </c>
      <c r="U189" s="47"/>
      <c r="V189" s="48">
        <f t="shared" si="33"/>
        <v>7.5</v>
      </c>
      <c r="W189" s="2"/>
    </row>
    <row r="190" spans="1:23" ht="15" customHeight="1">
      <c r="A190" s="49">
        <v>30</v>
      </c>
      <c r="B190" s="50" t="s">
        <v>19</v>
      </c>
      <c r="C190" s="49" t="s">
        <v>106</v>
      </c>
      <c r="D190" s="49">
        <v>35</v>
      </c>
      <c r="E190" s="49">
        <v>30</v>
      </c>
      <c r="F190" s="50">
        <f t="shared" si="28"/>
        <v>32.5</v>
      </c>
      <c r="G190" s="47" t="s">
        <v>519</v>
      </c>
      <c r="H190" s="46">
        <v>20</v>
      </c>
      <c r="I190" s="47"/>
      <c r="J190" s="48">
        <f t="shared" si="29"/>
        <v>12.5</v>
      </c>
      <c r="K190" s="46">
        <v>30</v>
      </c>
      <c r="L190" s="47"/>
      <c r="M190" s="48">
        <f t="shared" si="30"/>
        <v>2.5</v>
      </c>
      <c r="N190" s="46">
        <v>25</v>
      </c>
      <c r="O190" s="47"/>
      <c r="P190" s="48">
        <f t="shared" si="31"/>
        <v>7.5</v>
      </c>
      <c r="Q190" s="46">
        <v>35</v>
      </c>
      <c r="R190" s="47"/>
      <c r="S190" s="48">
        <f t="shared" si="32"/>
        <v>2.5</v>
      </c>
      <c r="T190" s="29">
        <v>30</v>
      </c>
      <c r="U190" s="47"/>
      <c r="V190" s="48">
        <f t="shared" si="33"/>
        <v>2.5</v>
      </c>
      <c r="W190" s="2"/>
    </row>
    <row r="191" spans="1:23" ht="15" customHeight="1">
      <c r="A191" s="43">
        <v>31</v>
      </c>
      <c r="B191" s="50" t="s">
        <v>19</v>
      </c>
      <c r="C191" s="49" t="s">
        <v>109</v>
      </c>
      <c r="D191" s="49">
        <v>30</v>
      </c>
      <c r="E191" s="49">
        <v>35</v>
      </c>
      <c r="F191" s="50">
        <f t="shared" si="28"/>
        <v>32.5</v>
      </c>
      <c r="G191" s="47" t="s">
        <v>520</v>
      </c>
      <c r="H191" s="46">
        <v>10</v>
      </c>
      <c r="I191" s="47"/>
      <c r="J191" s="48">
        <f t="shared" si="29"/>
        <v>22.5</v>
      </c>
      <c r="K191" s="46">
        <v>15</v>
      </c>
      <c r="L191" s="47"/>
      <c r="M191" s="48">
        <f t="shared" si="30"/>
        <v>17.5</v>
      </c>
      <c r="N191" s="46">
        <v>10</v>
      </c>
      <c r="O191" s="47"/>
      <c r="P191" s="48">
        <f t="shared" si="31"/>
        <v>22.5</v>
      </c>
      <c r="Q191" s="46">
        <v>20</v>
      </c>
      <c r="R191" s="47"/>
      <c r="S191" s="48">
        <f t="shared" si="32"/>
        <v>12.5</v>
      </c>
      <c r="T191" s="29">
        <v>20</v>
      </c>
      <c r="U191" s="47"/>
      <c r="V191" s="48">
        <f t="shared" si="33"/>
        <v>12.5</v>
      </c>
      <c r="W191" s="2"/>
    </row>
    <row r="192" spans="1:23" ht="15" customHeight="1">
      <c r="A192" s="49">
        <v>32</v>
      </c>
      <c r="B192" s="50" t="s">
        <v>19</v>
      </c>
      <c r="C192" s="49" t="s">
        <v>112</v>
      </c>
      <c r="D192" s="49">
        <v>20</v>
      </c>
      <c r="E192" s="49">
        <v>25</v>
      </c>
      <c r="F192" s="50">
        <f t="shared" si="28"/>
        <v>22.5</v>
      </c>
      <c r="G192" s="47" t="s">
        <v>521</v>
      </c>
      <c r="H192" s="46">
        <v>30</v>
      </c>
      <c r="I192" s="47"/>
      <c r="J192" s="48">
        <f t="shared" si="29"/>
        <v>7.5</v>
      </c>
      <c r="K192" s="46">
        <v>25</v>
      </c>
      <c r="L192" s="47"/>
      <c r="M192" s="48">
        <f t="shared" si="30"/>
        <v>2.5</v>
      </c>
      <c r="N192" s="46">
        <v>35</v>
      </c>
      <c r="O192" s="47"/>
      <c r="P192" s="48">
        <f t="shared" si="31"/>
        <v>12.5</v>
      </c>
      <c r="Q192" s="46">
        <v>30</v>
      </c>
      <c r="R192" s="47"/>
      <c r="S192" s="48">
        <f t="shared" si="32"/>
        <v>7.5</v>
      </c>
      <c r="T192" s="29">
        <v>20</v>
      </c>
      <c r="U192" s="47"/>
      <c r="V192" s="48">
        <f t="shared" si="33"/>
        <v>2.5</v>
      </c>
      <c r="W192" s="2"/>
    </row>
    <row r="193" spans="1:23" ht="15" customHeight="1">
      <c r="A193" s="49">
        <v>33</v>
      </c>
      <c r="B193" s="50" t="s">
        <v>19</v>
      </c>
      <c r="C193" s="50" t="s">
        <v>115</v>
      </c>
      <c r="D193" s="49">
        <v>10</v>
      </c>
      <c r="E193" s="49">
        <v>10</v>
      </c>
      <c r="F193" s="50">
        <f t="shared" si="28"/>
        <v>10</v>
      </c>
      <c r="G193" s="47" t="s">
        <v>522</v>
      </c>
      <c r="H193" s="46">
        <v>20</v>
      </c>
      <c r="I193" s="47"/>
      <c r="J193" s="48">
        <f t="shared" si="29"/>
        <v>10</v>
      </c>
      <c r="K193" s="46">
        <v>35</v>
      </c>
      <c r="L193" s="47"/>
      <c r="M193" s="48">
        <f t="shared" si="30"/>
        <v>25</v>
      </c>
      <c r="N193" s="46">
        <v>30</v>
      </c>
      <c r="O193" s="47"/>
      <c r="P193" s="48">
        <f t="shared" si="31"/>
        <v>20</v>
      </c>
      <c r="Q193" s="46">
        <v>35</v>
      </c>
      <c r="R193" s="47"/>
      <c r="S193" s="48">
        <f t="shared" si="32"/>
        <v>25</v>
      </c>
      <c r="T193" s="29">
        <v>40</v>
      </c>
      <c r="U193" s="47"/>
      <c r="V193" s="48">
        <f t="shared" si="33"/>
        <v>30</v>
      </c>
      <c r="W193" s="2"/>
    </row>
    <row r="194" spans="1:23" ht="15" customHeight="1">
      <c r="A194" s="51">
        <v>34</v>
      </c>
      <c r="B194" s="50" t="s">
        <v>19</v>
      </c>
      <c r="C194" s="49" t="s">
        <v>118</v>
      </c>
      <c r="D194" s="49">
        <v>0</v>
      </c>
      <c r="E194" s="49">
        <v>0</v>
      </c>
      <c r="F194" s="50">
        <f t="shared" si="28"/>
        <v>0</v>
      </c>
      <c r="G194" s="47" t="s">
        <v>523</v>
      </c>
      <c r="H194" s="46">
        <v>20</v>
      </c>
      <c r="I194" s="47"/>
      <c r="J194" s="48">
        <f t="shared" si="29"/>
        <v>20</v>
      </c>
      <c r="K194" s="46">
        <v>30</v>
      </c>
      <c r="L194" s="47"/>
      <c r="M194" s="48">
        <f t="shared" si="30"/>
        <v>30</v>
      </c>
      <c r="N194" s="46">
        <v>15</v>
      </c>
      <c r="O194" s="47"/>
      <c r="P194" s="48">
        <f t="shared" si="31"/>
        <v>15</v>
      </c>
      <c r="Q194" s="46">
        <v>25</v>
      </c>
      <c r="R194" s="47"/>
      <c r="S194" s="48">
        <f t="shared" si="32"/>
        <v>25</v>
      </c>
      <c r="T194" s="29">
        <v>20</v>
      </c>
      <c r="U194" s="47"/>
      <c r="V194" s="48">
        <f t="shared" si="33"/>
        <v>20</v>
      </c>
      <c r="W194" s="2"/>
    </row>
    <row r="195" spans="1:23" ht="15" customHeight="1">
      <c r="A195" s="49">
        <v>35</v>
      </c>
      <c r="B195" s="50" t="s">
        <v>19</v>
      </c>
      <c r="C195" s="50" t="s">
        <v>121</v>
      </c>
      <c r="D195" s="49">
        <v>40</v>
      </c>
      <c r="E195" s="49">
        <v>40</v>
      </c>
      <c r="F195" s="50">
        <f t="shared" si="28"/>
        <v>40</v>
      </c>
      <c r="G195" s="47" t="s">
        <v>524</v>
      </c>
      <c r="H195" s="46">
        <v>30</v>
      </c>
      <c r="I195" s="47"/>
      <c r="J195" s="48">
        <f t="shared" si="29"/>
        <v>10</v>
      </c>
      <c r="K195" s="46">
        <v>40</v>
      </c>
      <c r="L195" s="47"/>
      <c r="M195" s="48">
        <f t="shared" si="30"/>
        <v>0</v>
      </c>
      <c r="N195" s="46">
        <v>40</v>
      </c>
      <c r="O195" s="47"/>
      <c r="P195" s="48">
        <f t="shared" si="31"/>
        <v>0</v>
      </c>
      <c r="Q195" s="46">
        <v>35</v>
      </c>
      <c r="R195" s="47"/>
      <c r="S195" s="48">
        <f t="shared" si="32"/>
        <v>5</v>
      </c>
      <c r="T195" s="29">
        <v>40</v>
      </c>
      <c r="U195" s="47"/>
      <c r="V195" s="48">
        <f t="shared" si="33"/>
        <v>0</v>
      </c>
      <c r="W195" s="2"/>
    </row>
    <row r="196" spans="1:23" ht="15" customHeight="1">
      <c r="A196" s="49">
        <v>36</v>
      </c>
      <c r="B196" s="50" t="s">
        <v>19</v>
      </c>
      <c r="C196" s="49" t="s">
        <v>124</v>
      </c>
      <c r="D196" s="49">
        <v>40</v>
      </c>
      <c r="E196" s="49">
        <v>40</v>
      </c>
      <c r="F196" s="50">
        <f t="shared" si="28"/>
        <v>40</v>
      </c>
      <c r="G196" s="47" t="s">
        <v>525</v>
      </c>
      <c r="H196" s="46">
        <v>20</v>
      </c>
      <c r="I196" s="47"/>
      <c r="J196" s="48">
        <f t="shared" si="29"/>
        <v>20</v>
      </c>
      <c r="K196" s="46">
        <v>30</v>
      </c>
      <c r="L196" s="47"/>
      <c r="M196" s="48">
        <f t="shared" si="30"/>
        <v>10</v>
      </c>
      <c r="N196" s="46">
        <v>35</v>
      </c>
      <c r="O196" s="47"/>
      <c r="P196" s="48">
        <f t="shared" si="31"/>
        <v>5</v>
      </c>
      <c r="Q196" s="46">
        <v>30</v>
      </c>
      <c r="R196" s="47"/>
      <c r="S196" s="48">
        <f t="shared" si="32"/>
        <v>10</v>
      </c>
      <c r="T196" s="29">
        <v>30</v>
      </c>
      <c r="U196" s="47"/>
      <c r="V196" s="48">
        <f t="shared" si="33"/>
        <v>10</v>
      </c>
      <c r="W196" s="2"/>
    </row>
    <row r="197" spans="1:23" ht="15" customHeight="1">
      <c r="A197" s="49">
        <v>38</v>
      </c>
      <c r="B197" s="49" t="s">
        <v>19</v>
      </c>
      <c r="C197" s="50" t="s">
        <v>129</v>
      </c>
      <c r="D197" s="49">
        <v>40</v>
      </c>
      <c r="E197" s="49">
        <v>30</v>
      </c>
      <c r="F197" s="50">
        <f t="shared" si="28"/>
        <v>35</v>
      </c>
      <c r="G197" s="47" t="s">
        <v>526</v>
      </c>
      <c r="H197" s="46">
        <v>20</v>
      </c>
      <c r="I197" s="47"/>
      <c r="J197" s="48">
        <f t="shared" si="29"/>
        <v>15</v>
      </c>
      <c r="K197" s="46">
        <v>25</v>
      </c>
      <c r="L197" s="47"/>
      <c r="M197" s="48">
        <f t="shared" si="30"/>
        <v>10</v>
      </c>
      <c r="N197" s="46">
        <v>30</v>
      </c>
      <c r="O197" s="47"/>
      <c r="P197" s="48">
        <f t="shared" si="31"/>
        <v>5</v>
      </c>
      <c r="Q197" s="46">
        <v>25</v>
      </c>
      <c r="R197" s="47"/>
      <c r="S197" s="48">
        <f t="shared" si="32"/>
        <v>10</v>
      </c>
      <c r="T197" s="29">
        <v>20</v>
      </c>
      <c r="U197" s="47"/>
      <c r="V197" s="48">
        <f t="shared" si="33"/>
        <v>15</v>
      </c>
      <c r="W197" s="2"/>
    </row>
    <row r="198" spans="1:23" ht="15" customHeight="1">
      <c r="A198" s="49">
        <v>39</v>
      </c>
      <c r="B198" s="49" t="s">
        <v>19</v>
      </c>
      <c r="C198" s="49" t="s">
        <v>132</v>
      </c>
      <c r="D198" s="49">
        <v>10</v>
      </c>
      <c r="E198" s="49">
        <v>10</v>
      </c>
      <c r="F198" s="50">
        <f t="shared" si="28"/>
        <v>10</v>
      </c>
      <c r="G198" s="47" t="s">
        <v>527</v>
      </c>
      <c r="H198" s="46">
        <v>20</v>
      </c>
      <c r="I198" s="47"/>
      <c r="J198" s="48">
        <f t="shared" si="29"/>
        <v>10</v>
      </c>
      <c r="K198" s="46">
        <v>20</v>
      </c>
      <c r="L198" s="47"/>
      <c r="M198" s="48">
        <f t="shared" si="30"/>
        <v>10</v>
      </c>
      <c r="N198" s="46">
        <v>20</v>
      </c>
      <c r="O198" s="47"/>
      <c r="P198" s="48">
        <f t="shared" si="31"/>
        <v>10</v>
      </c>
      <c r="Q198" s="46">
        <v>20</v>
      </c>
      <c r="R198" s="47"/>
      <c r="S198" s="48">
        <f t="shared" si="32"/>
        <v>10</v>
      </c>
      <c r="T198" s="29">
        <v>20</v>
      </c>
      <c r="U198" s="47"/>
      <c r="V198" s="48">
        <f t="shared" si="33"/>
        <v>10</v>
      </c>
      <c r="W198" s="2"/>
    </row>
    <row r="199" spans="1:23" ht="15" customHeight="1">
      <c r="A199" s="43">
        <v>40</v>
      </c>
      <c r="B199" s="49" t="s">
        <v>19</v>
      </c>
      <c r="C199" s="49" t="s">
        <v>135</v>
      </c>
      <c r="D199" s="49">
        <v>0</v>
      </c>
      <c r="E199" s="49">
        <v>0</v>
      </c>
      <c r="F199" s="49">
        <v>0</v>
      </c>
      <c r="G199" s="47" t="s">
        <v>528</v>
      </c>
      <c r="H199" s="46">
        <v>20</v>
      </c>
      <c r="I199" s="47"/>
      <c r="J199" s="48">
        <f t="shared" si="29"/>
        <v>20</v>
      </c>
      <c r="K199" s="46">
        <v>20</v>
      </c>
      <c r="L199" s="47"/>
      <c r="M199" s="48">
        <f t="shared" si="30"/>
        <v>20</v>
      </c>
      <c r="N199" s="46">
        <v>10</v>
      </c>
      <c r="O199" s="47"/>
      <c r="P199" s="48">
        <f t="shared" si="31"/>
        <v>10</v>
      </c>
      <c r="Q199" s="46">
        <v>25</v>
      </c>
      <c r="R199" s="47"/>
      <c r="S199" s="48">
        <f t="shared" si="32"/>
        <v>25</v>
      </c>
      <c r="T199" s="29">
        <v>20</v>
      </c>
      <c r="U199" s="47"/>
      <c r="V199" s="48">
        <f t="shared" si="33"/>
        <v>20</v>
      </c>
      <c r="W199" s="2"/>
    </row>
    <row r="200" spans="1:23" ht="15" customHeight="1">
      <c r="A200" s="49">
        <v>41</v>
      </c>
      <c r="B200" s="50" t="s">
        <v>19</v>
      </c>
      <c r="C200" s="50" t="s">
        <v>138</v>
      </c>
      <c r="D200" s="49">
        <v>0</v>
      </c>
      <c r="E200" s="49">
        <v>0</v>
      </c>
      <c r="F200" s="50">
        <f t="shared" ref="F200:F290" si="34">SUM(D200:E200)/2</f>
        <v>0</v>
      </c>
      <c r="G200" s="47" t="s">
        <v>529</v>
      </c>
      <c r="H200" s="46">
        <v>30</v>
      </c>
      <c r="I200" s="47"/>
      <c r="J200" s="48">
        <f t="shared" si="29"/>
        <v>30</v>
      </c>
      <c r="K200" s="46">
        <v>35</v>
      </c>
      <c r="L200" s="47"/>
      <c r="M200" s="48">
        <f t="shared" si="30"/>
        <v>35</v>
      </c>
      <c r="N200" s="46">
        <v>15</v>
      </c>
      <c r="O200" s="47"/>
      <c r="P200" s="48">
        <f t="shared" si="31"/>
        <v>15</v>
      </c>
      <c r="Q200" s="46">
        <v>30</v>
      </c>
      <c r="R200" s="47"/>
      <c r="S200" s="48">
        <f t="shared" si="32"/>
        <v>30</v>
      </c>
      <c r="T200" s="29">
        <v>30</v>
      </c>
      <c r="U200" s="47"/>
      <c r="V200" s="48">
        <f t="shared" si="33"/>
        <v>30</v>
      </c>
      <c r="W200" s="2"/>
    </row>
    <row r="201" spans="1:23" ht="15" customHeight="1">
      <c r="A201" s="49">
        <v>42</v>
      </c>
      <c r="B201" s="50" t="s">
        <v>19</v>
      </c>
      <c r="C201" s="50" t="s">
        <v>141</v>
      </c>
      <c r="D201" s="49">
        <v>15</v>
      </c>
      <c r="E201" s="49">
        <v>15</v>
      </c>
      <c r="F201" s="50">
        <f t="shared" si="34"/>
        <v>15</v>
      </c>
      <c r="G201" s="47" t="s">
        <v>530</v>
      </c>
      <c r="H201" s="46">
        <v>20</v>
      </c>
      <c r="I201" s="47"/>
      <c r="J201" s="48">
        <f t="shared" si="29"/>
        <v>5</v>
      </c>
      <c r="K201" s="46">
        <v>20</v>
      </c>
      <c r="L201" s="47"/>
      <c r="M201" s="48">
        <f t="shared" si="30"/>
        <v>5</v>
      </c>
      <c r="N201" s="46">
        <v>25</v>
      </c>
      <c r="O201" s="47"/>
      <c r="P201" s="48">
        <f t="shared" si="31"/>
        <v>10</v>
      </c>
      <c r="Q201" s="46">
        <v>25</v>
      </c>
      <c r="R201" s="47"/>
      <c r="S201" s="48">
        <f t="shared" si="32"/>
        <v>10</v>
      </c>
      <c r="T201" s="29">
        <v>30</v>
      </c>
      <c r="U201" s="47"/>
      <c r="V201" s="48">
        <f t="shared" si="33"/>
        <v>15</v>
      </c>
      <c r="W201" s="2"/>
    </row>
    <row r="202" spans="1:23" ht="15" customHeight="1">
      <c r="A202" s="51">
        <v>43</v>
      </c>
      <c r="B202" s="50" t="s">
        <v>19</v>
      </c>
      <c r="C202" s="50" t="s">
        <v>144</v>
      </c>
      <c r="D202" s="49">
        <v>40</v>
      </c>
      <c r="E202" s="49">
        <v>40</v>
      </c>
      <c r="F202" s="50">
        <f t="shared" si="34"/>
        <v>40</v>
      </c>
      <c r="G202" s="47" t="s">
        <v>531</v>
      </c>
      <c r="H202" s="46">
        <v>30</v>
      </c>
      <c r="I202" s="47"/>
      <c r="J202" s="48">
        <f t="shared" si="29"/>
        <v>10</v>
      </c>
      <c r="K202" s="46">
        <v>40</v>
      </c>
      <c r="L202" s="47"/>
      <c r="M202" s="48">
        <f t="shared" si="30"/>
        <v>0</v>
      </c>
      <c r="N202" s="46">
        <v>35</v>
      </c>
      <c r="O202" s="47"/>
      <c r="P202" s="48">
        <f t="shared" si="31"/>
        <v>5</v>
      </c>
      <c r="Q202" s="46">
        <v>35</v>
      </c>
      <c r="R202" s="47"/>
      <c r="S202" s="48">
        <f t="shared" si="32"/>
        <v>5</v>
      </c>
      <c r="T202" s="29">
        <v>40</v>
      </c>
      <c r="U202" s="47"/>
      <c r="V202" s="48">
        <f t="shared" si="33"/>
        <v>0</v>
      </c>
      <c r="W202" s="2"/>
    </row>
    <row r="203" spans="1:23" ht="15" customHeight="1">
      <c r="A203" s="49">
        <v>44</v>
      </c>
      <c r="B203" s="50" t="s">
        <v>19</v>
      </c>
      <c r="C203" s="50" t="s">
        <v>147</v>
      </c>
      <c r="D203" s="49">
        <v>30</v>
      </c>
      <c r="E203" s="49">
        <v>20</v>
      </c>
      <c r="F203" s="50">
        <f t="shared" si="34"/>
        <v>25</v>
      </c>
      <c r="G203" s="47" t="s">
        <v>532</v>
      </c>
      <c r="H203" s="46">
        <v>20</v>
      </c>
      <c r="I203" s="47"/>
      <c r="J203" s="48">
        <f t="shared" si="29"/>
        <v>5</v>
      </c>
      <c r="K203" s="46">
        <v>20</v>
      </c>
      <c r="L203" s="47"/>
      <c r="M203" s="48">
        <f t="shared" si="30"/>
        <v>5</v>
      </c>
      <c r="N203" s="46">
        <v>20</v>
      </c>
      <c r="O203" s="47"/>
      <c r="P203" s="48">
        <f t="shared" si="31"/>
        <v>5</v>
      </c>
      <c r="Q203" s="46">
        <v>25</v>
      </c>
      <c r="R203" s="47"/>
      <c r="S203" s="48">
        <f t="shared" si="32"/>
        <v>0</v>
      </c>
      <c r="T203" s="29">
        <v>20</v>
      </c>
      <c r="U203" s="47"/>
      <c r="V203" s="48">
        <f t="shared" si="33"/>
        <v>5</v>
      </c>
      <c r="W203" s="2"/>
    </row>
    <row r="204" spans="1:23" ht="15" customHeight="1">
      <c r="A204" s="49">
        <v>45</v>
      </c>
      <c r="B204" s="50" t="s">
        <v>19</v>
      </c>
      <c r="C204" s="49" t="s">
        <v>150</v>
      </c>
      <c r="D204" s="49">
        <v>25</v>
      </c>
      <c r="E204" s="49">
        <v>20</v>
      </c>
      <c r="F204" s="50">
        <f t="shared" si="34"/>
        <v>22.5</v>
      </c>
      <c r="G204" s="47" t="s">
        <v>533</v>
      </c>
      <c r="H204" s="46">
        <v>20</v>
      </c>
      <c r="I204" s="47"/>
      <c r="J204" s="48">
        <f t="shared" si="29"/>
        <v>2.5</v>
      </c>
      <c r="K204" s="46">
        <v>25</v>
      </c>
      <c r="L204" s="47"/>
      <c r="M204" s="48">
        <f t="shared" si="30"/>
        <v>2.5</v>
      </c>
      <c r="N204" s="46">
        <v>25</v>
      </c>
      <c r="O204" s="47"/>
      <c r="P204" s="48">
        <f t="shared" si="31"/>
        <v>2.5</v>
      </c>
      <c r="Q204" s="46">
        <v>30</v>
      </c>
      <c r="R204" s="47"/>
      <c r="S204" s="48">
        <f t="shared" si="32"/>
        <v>7.5</v>
      </c>
      <c r="T204" s="29">
        <v>40</v>
      </c>
      <c r="U204" s="47"/>
      <c r="V204" s="48">
        <f t="shared" si="33"/>
        <v>17.5</v>
      </c>
      <c r="W204" s="2"/>
    </row>
    <row r="205" spans="1:23" ht="15" customHeight="1">
      <c r="A205" s="43">
        <v>46</v>
      </c>
      <c r="B205" s="49" t="s">
        <v>19</v>
      </c>
      <c r="C205" s="50" t="s">
        <v>153</v>
      </c>
      <c r="D205" s="49">
        <v>15</v>
      </c>
      <c r="E205" s="49">
        <v>30</v>
      </c>
      <c r="F205" s="50">
        <f t="shared" si="34"/>
        <v>22.5</v>
      </c>
      <c r="G205" s="47" t="s">
        <v>534</v>
      </c>
      <c r="H205" s="46">
        <v>30</v>
      </c>
      <c r="I205" s="47"/>
      <c r="J205" s="48">
        <f t="shared" si="29"/>
        <v>7.5</v>
      </c>
      <c r="K205" s="46">
        <v>30</v>
      </c>
      <c r="L205" s="47"/>
      <c r="M205" s="48">
        <f t="shared" si="30"/>
        <v>7.5</v>
      </c>
      <c r="N205" s="46">
        <v>35</v>
      </c>
      <c r="O205" s="47"/>
      <c r="P205" s="48">
        <f t="shared" si="31"/>
        <v>12.5</v>
      </c>
      <c r="Q205" s="46">
        <v>30</v>
      </c>
      <c r="R205" s="47"/>
      <c r="S205" s="48">
        <f t="shared" si="32"/>
        <v>7.5</v>
      </c>
      <c r="T205" s="29">
        <v>40</v>
      </c>
      <c r="U205" s="47"/>
      <c r="V205" s="48">
        <f t="shared" si="33"/>
        <v>17.5</v>
      </c>
      <c r="W205" s="2"/>
    </row>
    <row r="206" spans="1:23" ht="15" customHeight="1">
      <c r="A206" s="49">
        <v>47</v>
      </c>
      <c r="B206" s="50" t="s">
        <v>19</v>
      </c>
      <c r="C206" s="49" t="s">
        <v>156</v>
      </c>
      <c r="D206" s="49">
        <v>30</v>
      </c>
      <c r="E206" s="49">
        <v>30</v>
      </c>
      <c r="F206" s="50">
        <f t="shared" si="34"/>
        <v>30</v>
      </c>
      <c r="G206" s="47" t="s">
        <v>535</v>
      </c>
      <c r="H206" s="46">
        <v>30</v>
      </c>
      <c r="I206" s="47"/>
      <c r="J206" s="48">
        <f t="shared" si="29"/>
        <v>0</v>
      </c>
      <c r="K206" s="46">
        <v>40</v>
      </c>
      <c r="L206" s="47"/>
      <c r="M206" s="48">
        <f t="shared" si="30"/>
        <v>10</v>
      </c>
      <c r="N206" s="46">
        <v>40</v>
      </c>
      <c r="O206" s="47"/>
      <c r="P206" s="48">
        <f t="shared" si="31"/>
        <v>10</v>
      </c>
      <c r="Q206" s="46">
        <v>35</v>
      </c>
      <c r="R206" s="47"/>
      <c r="S206" s="48">
        <f t="shared" si="32"/>
        <v>5</v>
      </c>
      <c r="T206" s="29">
        <v>40</v>
      </c>
      <c r="U206" s="47"/>
      <c r="V206" s="48">
        <f t="shared" si="33"/>
        <v>10</v>
      </c>
      <c r="W206" s="2"/>
    </row>
    <row r="207" spans="1:23" ht="15" customHeight="1">
      <c r="A207" s="49">
        <v>48</v>
      </c>
      <c r="B207" s="50" t="s">
        <v>19</v>
      </c>
      <c r="C207" s="49" t="s">
        <v>159</v>
      </c>
      <c r="D207" s="49">
        <v>35</v>
      </c>
      <c r="E207" s="49">
        <v>35</v>
      </c>
      <c r="F207" s="50">
        <f t="shared" si="34"/>
        <v>35</v>
      </c>
      <c r="G207" s="47" t="s">
        <v>536</v>
      </c>
      <c r="H207" s="46">
        <v>30</v>
      </c>
      <c r="I207" s="47"/>
      <c r="J207" s="48">
        <f t="shared" si="29"/>
        <v>5</v>
      </c>
      <c r="K207" s="46">
        <v>30</v>
      </c>
      <c r="L207" s="47"/>
      <c r="M207" s="48">
        <f t="shared" si="30"/>
        <v>5</v>
      </c>
      <c r="N207" s="46">
        <v>35</v>
      </c>
      <c r="O207" s="47"/>
      <c r="P207" s="48">
        <f t="shared" si="31"/>
        <v>0</v>
      </c>
      <c r="Q207" s="46">
        <v>30</v>
      </c>
      <c r="R207" s="47"/>
      <c r="S207" s="48">
        <f t="shared" si="32"/>
        <v>5</v>
      </c>
      <c r="T207" s="29">
        <v>40</v>
      </c>
      <c r="U207" s="47"/>
      <c r="V207" s="48">
        <f t="shared" si="33"/>
        <v>5</v>
      </c>
      <c r="W207" s="2"/>
    </row>
    <row r="208" spans="1:23" ht="15" customHeight="1">
      <c r="A208" s="51">
        <v>49</v>
      </c>
      <c r="B208" s="50" t="s">
        <v>19</v>
      </c>
      <c r="C208" s="49" t="s">
        <v>162</v>
      </c>
      <c r="D208" s="49">
        <v>10</v>
      </c>
      <c r="E208" s="49">
        <v>10</v>
      </c>
      <c r="F208" s="50">
        <f t="shared" si="34"/>
        <v>10</v>
      </c>
      <c r="G208" s="47" t="s">
        <v>537</v>
      </c>
      <c r="H208" s="46">
        <v>20</v>
      </c>
      <c r="I208" s="47"/>
      <c r="J208" s="48">
        <f t="shared" si="29"/>
        <v>10</v>
      </c>
      <c r="K208" s="46">
        <v>25</v>
      </c>
      <c r="L208" s="47"/>
      <c r="M208" s="48">
        <f t="shared" si="30"/>
        <v>15</v>
      </c>
      <c r="N208" s="46">
        <v>15</v>
      </c>
      <c r="O208" s="47"/>
      <c r="P208" s="48">
        <f t="shared" si="31"/>
        <v>5</v>
      </c>
      <c r="Q208" s="46">
        <v>30</v>
      </c>
      <c r="R208" s="47"/>
      <c r="S208" s="48">
        <f t="shared" si="32"/>
        <v>20</v>
      </c>
      <c r="T208" s="29">
        <v>20</v>
      </c>
      <c r="U208" s="47"/>
      <c r="V208" s="48">
        <f t="shared" si="33"/>
        <v>10</v>
      </c>
      <c r="W208" s="2"/>
    </row>
    <row r="209" spans="1:23" ht="15" customHeight="1">
      <c r="A209" s="49">
        <v>50</v>
      </c>
      <c r="B209" s="50" t="s">
        <v>19</v>
      </c>
      <c r="C209" s="50" t="s">
        <v>165</v>
      </c>
      <c r="D209" s="49">
        <v>10</v>
      </c>
      <c r="E209" s="49">
        <v>15</v>
      </c>
      <c r="F209" s="50">
        <f t="shared" si="34"/>
        <v>12.5</v>
      </c>
      <c r="G209" s="47" t="s">
        <v>538</v>
      </c>
      <c r="H209" s="46">
        <v>20</v>
      </c>
      <c r="I209" s="47"/>
      <c r="J209" s="48">
        <f t="shared" si="29"/>
        <v>7.5</v>
      </c>
      <c r="K209" s="46">
        <v>25</v>
      </c>
      <c r="L209" s="47"/>
      <c r="M209" s="48">
        <f t="shared" si="30"/>
        <v>12.5</v>
      </c>
      <c r="N209" s="46">
        <v>20</v>
      </c>
      <c r="O209" s="47"/>
      <c r="P209" s="48">
        <f t="shared" si="31"/>
        <v>7.5</v>
      </c>
      <c r="Q209" s="46">
        <v>25</v>
      </c>
      <c r="R209" s="47"/>
      <c r="S209" s="48">
        <f t="shared" si="32"/>
        <v>12.5</v>
      </c>
      <c r="T209" s="29">
        <v>20</v>
      </c>
      <c r="U209" s="47"/>
      <c r="V209" s="48">
        <f t="shared" si="33"/>
        <v>7.5</v>
      </c>
      <c r="W209" s="2"/>
    </row>
    <row r="210" spans="1:23" ht="15" customHeight="1">
      <c r="A210" s="49">
        <v>51</v>
      </c>
      <c r="B210" s="50" t="s">
        <v>19</v>
      </c>
      <c r="C210" s="50" t="s">
        <v>168</v>
      </c>
      <c r="D210" s="49">
        <v>30</v>
      </c>
      <c r="E210" s="49">
        <v>35</v>
      </c>
      <c r="F210" s="50">
        <f t="shared" si="34"/>
        <v>32.5</v>
      </c>
      <c r="G210" s="47" t="s">
        <v>539</v>
      </c>
      <c r="H210" s="46">
        <v>30</v>
      </c>
      <c r="I210" s="47"/>
      <c r="J210" s="48">
        <f t="shared" si="29"/>
        <v>2.5</v>
      </c>
      <c r="K210" s="46">
        <v>35</v>
      </c>
      <c r="L210" s="47"/>
      <c r="M210" s="48">
        <f t="shared" si="30"/>
        <v>2.5</v>
      </c>
      <c r="N210" s="46">
        <v>30</v>
      </c>
      <c r="O210" s="47"/>
      <c r="P210" s="48">
        <f t="shared" si="31"/>
        <v>2.5</v>
      </c>
      <c r="Q210" s="46">
        <v>35</v>
      </c>
      <c r="R210" s="47"/>
      <c r="S210" s="48">
        <f t="shared" si="32"/>
        <v>2.5</v>
      </c>
      <c r="T210" s="29">
        <v>30</v>
      </c>
      <c r="U210" s="47"/>
      <c r="V210" s="48">
        <f t="shared" si="33"/>
        <v>2.5</v>
      </c>
      <c r="W210" s="2"/>
    </row>
    <row r="211" spans="1:23" ht="15" customHeight="1">
      <c r="A211" s="43">
        <v>52</v>
      </c>
      <c r="B211" s="50" t="s">
        <v>19</v>
      </c>
      <c r="C211" s="49" t="s">
        <v>171</v>
      </c>
      <c r="D211" s="49">
        <v>40</v>
      </c>
      <c r="E211" s="49">
        <v>35</v>
      </c>
      <c r="F211" s="50">
        <f t="shared" si="34"/>
        <v>37.5</v>
      </c>
      <c r="G211" s="47" t="s">
        <v>540</v>
      </c>
      <c r="H211" s="46">
        <v>30</v>
      </c>
      <c r="I211" s="47"/>
      <c r="J211" s="48">
        <f t="shared" si="29"/>
        <v>7.5</v>
      </c>
      <c r="K211" s="46">
        <v>40</v>
      </c>
      <c r="L211" s="47"/>
      <c r="M211" s="48">
        <f t="shared" si="30"/>
        <v>2.5</v>
      </c>
      <c r="N211" s="46">
        <v>40</v>
      </c>
      <c r="O211" s="47"/>
      <c r="P211" s="48">
        <f t="shared" si="31"/>
        <v>2.5</v>
      </c>
      <c r="Q211" s="46">
        <v>35</v>
      </c>
      <c r="R211" s="47"/>
      <c r="S211" s="48">
        <f t="shared" si="32"/>
        <v>2.5</v>
      </c>
      <c r="T211" s="29">
        <v>40</v>
      </c>
      <c r="U211" s="47"/>
      <c r="V211" s="48">
        <f t="shared" si="33"/>
        <v>2.5</v>
      </c>
      <c r="W211" s="2"/>
    </row>
    <row r="212" spans="1:23" ht="15" customHeight="1">
      <c r="A212" s="49">
        <v>53</v>
      </c>
      <c r="B212" s="50" t="s">
        <v>19</v>
      </c>
      <c r="C212" s="49" t="s">
        <v>174</v>
      </c>
      <c r="D212" s="49">
        <v>20</v>
      </c>
      <c r="E212" s="49">
        <v>25</v>
      </c>
      <c r="F212" s="50">
        <f t="shared" si="34"/>
        <v>22.5</v>
      </c>
      <c r="G212" s="47" t="s">
        <v>541</v>
      </c>
      <c r="H212" s="46">
        <v>30</v>
      </c>
      <c r="I212" s="47"/>
      <c r="J212" s="48">
        <f t="shared" si="29"/>
        <v>7.5</v>
      </c>
      <c r="K212" s="46">
        <v>25</v>
      </c>
      <c r="L212" s="47"/>
      <c r="M212" s="48">
        <f t="shared" si="30"/>
        <v>2.5</v>
      </c>
      <c r="N212" s="46">
        <v>30</v>
      </c>
      <c r="O212" s="47"/>
      <c r="P212" s="48">
        <f t="shared" si="31"/>
        <v>7.5</v>
      </c>
      <c r="Q212" s="46">
        <v>35</v>
      </c>
      <c r="R212" s="47"/>
      <c r="S212" s="48">
        <f t="shared" si="32"/>
        <v>12.5</v>
      </c>
      <c r="T212" s="29">
        <v>30</v>
      </c>
      <c r="U212" s="47"/>
      <c r="V212" s="48">
        <f t="shared" si="33"/>
        <v>7.5</v>
      </c>
      <c r="W212" s="2"/>
    </row>
    <row r="213" spans="1:23" ht="15" customHeight="1">
      <c r="A213" s="49">
        <v>54</v>
      </c>
      <c r="B213" s="50" t="s">
        <v>19</v>
      </c>
      <c r="C213" s="49" t="s">
        <v>177</v>
      </c>
      <c r="D213" s="49">
        <v>27</v>
      </c>
      <c r="E213" s="49">
        <v>28</v>
      </c>
      <c r="F213" s="50">
        <f t="shared" si="34"/>
        <v>27.5</v>
      </c>
      <c r="G213" s="47" t="s">
        <v>542</v>
      </c>
      <c r="H213" s="46">
        <v>30</v>
      </c>
      <c r="I213" s="47"/>
      <c r="J213" s="48">
        <f t="shared" si="29"/>
        <v>2.5</v>
      </c>
      <c r="K213" s="46">
        <v>35</v>
      </c>
      <c r="L213" s="47"/>
      <c r="M213" s="48">
        <f t="shared" si="30"/>
        <v>7.5</v>
      </c>
      <c r="N213" s="46">
        <v>40</v>
      </c>
      <c r="O213" s="47"/>
      <c r="P213" s="48">
        <f t="shared" si="31"/>
        <v>12.5</v>
      </c>
      <c r="Q213" s="46">
        <v>30</v>
      </c>
      <c r="R213" s="47"/>
      <c r="S213" s="48">
        <f t="shared" si="32"/>
        <v>2.5</v>
      </c>
      <c r="T213" s="29">
        <v>35</v>
      </c>
      <c r="U213" s="47"/>
      <c r="V213" s="48">
        <f t="shared" si="33"/>
        <v>7.5</v>
      </c>
      <c r="W213" s="2"/>
    </row>
    <row r="214" spans="1:23" ht="15" customHeight="1">
      <c r="A214" s="51">
        <v>55</v>
      </c>
      <c r="B214" s="50" t="s">
        <v>19</v>
      </c>
      <c r="C214" s="49" t="s">
        <v>180</v>
      </c>
      <c r="D214" s="49">
        <v>40</v>
      </c>
      <c r="E214" s="49">
        <v>40</v>
      </c>
      <c r="F214" s="50">
        <f t="shared" si="34"/>
        <v>40</v>
      </c>
      <c r="G214" s="47" t="s">
        <v>543</v>
      </c>
      <c r="H214" s="46">
        <v>30</v>
      </c>
      <c r="I214" s="47"/>
      <c r="J214" s="48">
        <f t="shared" si="29"/>
        <v>10</v>
      </c>
      <c r="K214" s="46">
        <v>40</v>
      </c>
      <c r="L214" s="47"/>
      <c r="M214" s="48">
        <f t="shared" si="30"/>
        <v>0</v>
      </c>
      <c r="N214" s="46">
        <v>40</v>
      </c>
      <c r="O214" s="47"/>
      <c r="P214" s="48">
        <f t="shared" si="31"/>
        <v>0</v>
      </c>
      <c r="Q214" s="46">
        <v>35</v>
      </c>
      <c r="R214" s="47"/>
      <c r="S214" s="48">
        <f t="shared" si="32"/>
        <v>5</v>
      </c>
      <c r="T214" s="29">
        <v>40</v>
      </c>
      <c r="U214" s="47"/>
      <c r="V214" s="48">
        <f t="shared" si="33"/>
        <v>0</v>
      </c>
      <c r="W214" s="2"/>
    </row>
    <row r="215" spans="1:23" ht="15" customHeight="1">
      <c r="A215" s="49">
        <v>56</v>
      </c>
      <c r="B215" s="50" t="s">
        <v>19</v>
      </c>
      <c r="C215" s="50" t="s">
        <v>183</v>
      </c>
      <c r="D215" s="49">
        <v>25</v>
      </c>
      <c r="E215" s="49">
        <v>20</v>
      </c>
      <c r="F215" s="50">
        <f t="shared" si="34"/>
        <v>22.5</v>
      </c>
      <c r="G215" s="47" t="s">
        <v>544</v>
      </c>
      <c r="H215" s="46">
        <v>20</v>
      </c>
      <c r="I215" s="47"/>
      <c r="J215" s="48">
        <f t="shared" si="29"/>
        <v>2.5</v>
      </c>
      <c r="K215" s="46">
        <v>25</v>
      </c>
      <c r="L215" s="47"/>
      <c r="M215" s="48">
        <f t="shared" si="30"/>
        <v>2.5</v>
      </c>
      <c r="N215" s="46">
        <v>25</v>
      </c>
      <c r="O215" s="47"/>
      <c r="P215" s="48">
        <f t="shared" si="31"/>
        <v>2.5</v>
      </c>
      <c r="Q215" s="46">
        <v>25</v>
      </c>
      <c r="R215" s="47"/>
      <c r="S215" s="48">
        <f t="shared" si="32"/>
        <v>2.5</v>
      </c>
      <c r="T215" s="29">
        <v>20</v>
      </c>
      <c r="U215" s="47"/>
      <c r="V215" s="48">
        <f t="shared" si="33"/>
        <v>2.5</v>
      </c>
      <c r="W215" s="2"/>
    </row>
    <row r="216" spans="1:23" ht="15" customHeight="1">
      <c r="A216" s="49">
        <v>57</v>
      </c>
      <c r="B216" s="49" t="s">
        <v>19</v>
      </c>
      <c r="C216" s="49" t="s">
        <v>186</v>
      </c>
      <c r="D216" s="49">
        <v>30</v>
      </c>
      <c r="E216" s="49">
        <v>30</v>
      </c>
      <c r="F216" s="50">
        <f t="shared" si="34"/>
        <v>30</v>
      </c>
      <c r="G216" s="47" t="s">
        <v>545</v>
      </c>
      <c r="H216" s="46">
        <v>30</v>
      </c>
      <c r="I216" s="47"/>
      <c r="J216" s="48">
        <f t="shared" si="29"/>
        <v>0</v>
      </c>
      <c r="K216" s="46">
        <v>25</v>
      </c>
      <c r="L216" s="47"/>
      <c r="M216" s="48">
        <f t="shared" si="30"/>
        <v>5</v>
      </c>
      <c r="N216" s="46">
        <v>30</v>
      </c>
      <c r="O216" s="47"/>
      <c r="P216" s="48">
        <f t="shared" si="31"/>
        <v>0</v>
      </c>
      <c r="Q216" s="46">
        <v>30</v>
      </c>
      <c r="R216" s="47"/>
      <c r="S216" s="48">
        <f t="shared" si="32"/>
        <v>0</v>
      </c>
      <c r="T216" s="29">
        <v>40</v>
      </c>
      <c r="U216" s="47"/>
      <c r="V216" s="48">
        <f t="shared" si="33"/>
        <v>10</v>
      </c>
      <c r="W216" s="2"/>
    </row>
    <row r="217" spans="1:23" ht="15" customHeight="1">
      <c r="A217" s="43">
        <v>58</v>
      </c>
      <c r="B217" s="50" t="s">
        <v>19</v>
      </c>
      <c r="C217" s="50" t="s">
        <v>189</v>
      </c>
      <c r="D217" s="49">
        <v>0</v>
      </c>
      <c r="E217" s="49">
        <v>0</v>
      </c>
      <c r="F217" s="50">
        <f t="shared" si="34"/>
        <v>0</v>
      </c>
      <c r="G217" s="47" t="s">
        <v>546</v>
      </c>
      <c r="H217" s="46">
        <v>20</v>
      </c>
      <c r="I217" s="47"/>
      <c r="J217" s="48">
        <f t="shared" si="29"/>
        <v>20</v>
      </c>
      <c r="K217" s="46">
        <v>20</v>
      </c>
      <c r="L217" s="47"/>
      <c r="M217" s="48">
        <f t="shared" si="30"/>
        <v>20</v>
      </c>
      <c r="N217" s="46">
        <v>20</v>
      </c>
      <c r="O217" s="47"/>
      <c r="P217" s="48">
        <f t="shared" si="31"/>
        <v>20</v>
      </c>
      <c r="Q217" s="46">
        <v>20</v>
      </c>
      <c r="R217" s="47"/>
      <c r="S217" s="48">
        <f t="shared" si="32"/>
        <v>20</v>
      </c>
      <c r="T217" s="29">
        <v>20</v>
      </c>
      <c r="U217" s="47"/>
      <c r="V217" s="48">
        <f t="shared" si="33"/>
        <v>20</v>
      </c>
      <c r="W217" s="2"/>
    </row>
    <row r="218" spans="1:23" ht="15" customHeight="1">
      <c r="A218" s="49">
        <v>59</v>
      </c>
      <c r="B218" s="50" t="s">
        <v>19</v>
      </c>
      <c r="C218" s="50" t="s">
        <v>192</v>
      </c>
      <c r="D218" s="49">
        <v>30</v>
      </c>
      <c r="E218" s="49">
        <v>30</v>
      </c>
      <c r="F218" s="50">
        <f t="shared" si="34"/>
        <v>30</v>
      </c>
      <c r="G218" s="47" t="s">
        <v>547</v>
      </c>
      <c r="H218" s="46">
        <v>20</v>
      </c>
      <c r="I218" s="47"/>
      <c r="J218" s="48">
        <f t="shared" si="29"/>
        <v>10</v>
      </c>
      <c r="K218" s="46">
        <v>25</v>
      </c>
      <c r="L218" s="47"/>
      <c r="M218" s="48">
        <f t="shared" si="30"/>
        <v>5</v>
      </c>
      <c r="N218" s="46">
        <v>25</v>
      </c>
      <c r="O218" s="47"/>
      <c r="P218" s="48">
        <f t="shared" si="31"/>
        <v>5</v>
      </c>
      <c r="Q218" s="46">
        <v>25</v>
      </c>
      <c r="R218" s="47"/>
      <c r="S218" s="48">
        <f t="shared" si="32"/>
        <v>5</v>
      </c>
      <c r="T218" s="29">
        <v>20</v>
      </c>
      <c r="U218" s="47"/>
      <c r="V218" s="48">
        <f t="shared" si="33"/>
        <v>10</v>
      </c>
      <c r="W218" s="2"/>
    </row>
    <row r="219" spans="1:23" ht="15" customHeight="1">
      <c r="A219" s="49">
        <v>60</v>
      </c>
      <c r="B219" s="50" t="s">
        <v>19</v>
      </c>
      <c r="C219" s="50" t="s">
        <v>195</v>
      </c>
      <c r="D219" s="49">
        <v>40</v>
      </c>
      <c r="E219" s="49">
        <v>40</v>
      </c>
      <c r="F219" s="50">
        <f t="shared" si="34"/>
        <v>40</v>
      </c>
      <c r="G219" s="47" t="s">
        <v>548</v>
      </c>
      <c r="H219" s="46">
        <v>30</v>
      </c>
      <c r="I219" s="47"/>
      <c r="J219" s="48">
        <f t="shared" si="29"/>
        <v>10</v>
      </c>
      <c r="K219" s="46">
        <v>40</v>
      </c>
      <c r="L219" s="47"/>
      <c r="M219" s="48">
        <f t="shared" si="30"/>
        <v>0</v>
      </c>
      <c r="N219" s="46">
        <v>40</v>
      </c>
      <c r="O219" s="47"/>
      <c r="P219" s="48">
        <f t="shared" si="31"/>
        <v>0</v>
      </c>
      <c r="Q219" s="46">
        <v>35</v>
      </c>
      <c r="R219" s="47"/>
      <c r="S219" s="48">
        <f t="shared" si="32"/>
        <v>5</v>
      </c>
      <c r="T219" s="29">
        <v>30</v>
      </c>
      <c r="U219" s="47"/>
      <c r="V219" s="48">
        <f t="shared" si="33"/>
        <v>10</v>
      </c>
      <c r="W219" s="2"/>
    </row>
    <row r="220" spans="1:23" ht="15" customHeight="1">
      <c r="A220" s="51">
        <v>61</v>
      </c>
      <c r="B220" s="50" t="s">
        <v>19</v>
      </c>
      <c r="C220" s="49" t="s">
        <v>198</v>
      </c>
      <c r="D220" s="49">
        <v>10</v>
      </c>
      <c r="E220" s="49">
        <v>10</v>
      </c>
      <c r="F220" s="50">
        <f t="shared" si="34"/>
        <v>10</v>
      </c>
      <c r="G220" s="47" t="s">
        <v>549</v>
      </c>
      <c r="H220" s="46">
        <v>20</v>
      </c>
      <c r="I220" s="47"/>
      <c r="J220" s="48">
        <f t="shared" si="29"/>
        <v>10</v>
      </c>
      <c r="K220" s="46">
        <v>20</v>
      </c>
      <c r="L220" s="47"/>
      <c r="M220" s="48">
        <f t="shared" si="30"/>
        <v>10</v>
      </c>
      <c r="N220" s="46">
        <v>20</v>
      </c>
      <c r="O220" s="47"/>
      <c r="P220" s="48">
        <f t="shared" si="31"/>
        <v>10</v>
      </c>
      <c r="Q220" s="46">
        <v>35</v>
      </c>
      <c r="R220" s="47"/>
      <c r="S220" s="48">
        <f t="shared" si="32"/>
        <v>25</v>
      </c>
      <c r="T220" s="29">
        <v>20</v>
      </c>
      <c r="U220" s="47"/>
      <c r="V220" s="48">
        <f t="shared" si="33"/>
        <v>10</v>
      </c>
      <c r="W220" s="2"/>
    </row>
    <row r="221" spans="1:23" ht="15" customHeight="1">
      <c r="A221" s="49">
        <v>62</v>
      </c>
      <c r="B221" s="50" t="s">
        <v>19</v>
      </c>
      <c r="C221" s="49" t="s">
        <v>201</v>
      </c>
      <c r="D221" s="49">
        <v>10</v>
      </c>
      <c r="E221" s="49">
        <v>0</v>
      </c>
      <c r="F221" s="50">
        <f t="shared" si="34"/>
        <v>5</v>
      </c>
      <c r="G221" s="47" t="s">
        <v>550</v>
      </c>
      <c r="H221" s="46">
        <v>20</v>
      </c>
      <c r="I221" s="47"/>
      <c r="J221" s="48">
        <f t="shared" si="29"/>
        <v>15</v>
      </c>
      <c r="K221" s="46">
        <v>20</v>
      </c>
      <c r="L221" s="47"/>
      <c r="M221" s="48">
        <f t="shared" si="30"/>
        <v>15</v>
      </c>
      <c r="N221" s="46">
        <v>20</v>
      </c>
      <c r="O221" s="47"/>
      <c r="P221" s="48">
        <f t="shared" si="31"/>
        <v>15</v>
      </c>
      <c r="Q221" s="46">
        <v>25</v>
      </c>
      <c r="R221" s="47"/>
      <c r="S221" s="48">
        <f t="shared" si="32"/>
        <v>20</v>
      </c>
      <c r="T221" s="29">
        <v>20</v>
      </c>
      <c r="U221" s="47"/>
      <c r="V221" s="48">
        <f t="shared" si="33"/>
        <v>15</v>
      </c>
      <c r="W221" s="2"/>
    </row>
    <row r="222" spans="1:23" ht="15" customHeight="1">
      <c r="A222" s="49">
        <v>63</v>
      </c>
      <c r="B222" s="50" t="s">
        <v>19</v>
      </c>
      <c r="C222" s="50" t="s">
        <v>204</v>
      </c>
      <c r="D222" s="49">
        <v>30</v>
      </c>
      <c r="E222" s="49">
        <v>30</v>
      </c>
      <c r="F222" s="50">
        <f t="shared" si="34"/>
        <v>30</v>
      </c>
      <c r="G222" s="47" t="s">
        <v>551</v>
      </c>
      <c r="H222" s="46">
        <v>30</v>
      </c>
      <c r="I222" s="47"/>
      <c r="J222" s="48">
        <f t="shared" si="29"/>
        <v>0</v>
      </c>
      <c r="K222" s="46">
        <v>30</v>
      </c>
      <c r="L222" s="47"/>
      <c r="M222" s="48">
        <f t="shared" si="30"/>
        <v>0</v>
      </c>
      <c r="N222" s="46">
        <v>30</v>
      </c>
      <c r="O222" s="47"/>
      <c r="P222" s="48">
        <f t="shared" si="31"/>
        <v>0</v>
      </c>
      <c r="Q222" s="46">
        <v>35</v>
      </c>
      <c r="R222" s="47"/>
      <c r="S222" s="48">
        <f t="shared" si="32"/>
        <v>5</v>
      </c>
      <c r="T222" s="29">
        <v>40</v>
      </c>
      <c r="U222" s="47"/>
      <c r="V222" s="48">
        <f t="shared" si="33"/>
        <v>10</v>
      </c>
      <c r="W222" s="2"/>
    </row>
    <row r="223" spans="1:23" ht="15" customHeight="1">
      <c r="A223" s="43">
        <v>64</v>
      </c>
      <c r="B223" s="49" t="s">
        <v>19</v>
      </c>
      <c r="C223" s="49" t="s">
        <v>207</v>
      </c>
      <c r="D223" s="49">
        <v>25</v>
      </c>
      <c r="E223" s="49">
        <v>20</v>
      </c>
      <c r="F223" s="50">
        <f t="shared" si="34"/>
        <v>22.5</v>
      </c>
      <c r="G223" s="47" t="s">
        <v>552</v>
      </c>
      <c r="H223" s="46">
        <v>30</v>
      </c>
      <c r="I223" s="47"/>
      <c r="J223" s="48">
        <f t="shared" si="29"/>
        <v>7.5</v>
      </c>
      <c r="K223" s="46">
        <v>35</v>
      </c>
      <c r="L223" s="47"/>
      <c r="M223" s="48">
        <f t="shared" si="30"/>
        <v>12.5</v>
      </c>
      <c r="N223" s="46">
        <v>35</v>
      </c>
      <c r="O223" s="47"/>
      <c r="P223" s="48">
        <f t="shared" si="31"/>
        <v>12.5</v>
      </c>
      <c r="Q223" s="46">
        <v>25</v>
      </c>
      <c r="R223" s="47"/>
      <c r="S223" s="48">
        <f t="shared" si="32"/>
        <v>2.5</v>
      </c>
      <c r="T223" s="29">
        <v>30</v>
      </c>
      <c r="U223" s="47"/>
      <c r="V223" s="48">
        <f t="shared" si="33"/>
        <v>7.5</v>
      </c>
      <c r="W223" s="2"/>
    </row>
    <row r="224" spans="1:23" ht="15" customHeight="1">
      <c r="A224" s="49">
        <v>65</v>
      </c>
      <c r="B224" s="49" t="s">
        <v>19</v>
      </c>
      <c r="C224" s="49" t="s">
        <v>124</v>
      </c>
      <c r="D224" s="49">
        <v>40</v>
      </c>
      <c r="E224" s="49">
        <v>40</v>
      </c>
      <c r="F224" s="50">
        <f t="shared" si="34"/>
        <v>40</v>
      </c>
      <c r="G224" s="47" t="s">
        <v>525</v>
      </c>
      <c r="H224" s="46">
        <v>30</v>
      </c>
      <c r="I224" s="47"/>
      <c r="J224" s="48">
        <f t="shared" si="29"/>
        <v>10</v>
      </c>
      <c r="K224" s="46">
        <v>30</v>
      </c>
      <c r="L224" s="47"/>
      <c r="M224" s="48">
        <f t="shared" si="30"/>
        <v>10</v>
      </c>
      <c r="N224" s="46">
        <v>35</v>
      </c>
      <c r="O224" s="47"/>
      <c r="P224" s="48">
        <f t="shared" si="31"/>
        <v>5</v>
      </c>
      <c r="Q224" s="46">
        <v>30</v>
      </c>
      <c r="R224" s="47"/>
      <c r="S224" s="48">
        <f t="shared" si="32"/>
        <v>10</v>
      </c>
      <c r="T224" s="29">
        <v>40</v>
      </c>
      <c r="U224" s="47"/>
      <c r="V224" s="48">
        <f t="shared" si="33"/>
        <v>0</v>
      </c>
      <c r="W224" s="2"/>
    </row>
    <row r="225" spans="1:23" ht="15" customHeight="1">
      <c r="A225" s="49">
        <v>66</v>
      </c>
      <c r="B225" s="49" t="s">
        <v>19</v>
      </c>
      <c r="C225" s="50" t="s">
        <v>212</v>
      </c>
      <c r="D225" s="49">
        <v>10</v>
      </c>
      <c r="E225" s="49">
        <v>25</v>
      </c>
      <c r="F225" s="50">
        <f t="shared" si="34"/>
        <v>17.5</v>
      </c>
      <c r="G225" s="47" t="s">
        <v>553</v>
      </c>
      <c r="H225" s="46">
        <v>10</v>
      </c>
      <c r="I225" s="47"/>
      <c r="J225" s="48">
        <f t="shared" si="29"/>
        <v>7.5</v>
      </c>
      <c r="K225" s="46">
        <v>25</v>
      </c>
      <c r="L225" s="47"/>
      <c r="M225" s="48">
        <f t="shared" si="30"/>
        <v>7.5</v>
      </c>
      <c r="N225" s="46">
        <v>10</v>
      </c>
      <c r="O225" s="47"/>
      <c r="P225" s="48">
        <f t="shared" si="31"/>
        <v>7.5</v>
      </c>
      <c r="Q225" s="46">
        <v>25</v>
      </c>
      <c r="R225" s="47"/>
      <c r="S225" s="48">
        <f t="shared" si="32"/>
        <v>7.5</v>
      </c>
      <c r="T225" s="29">
        <v>20</v>
      </c>
      <c r="U225" s="47"/>
      <c r="V225" s="48">
        <f t="shared" si="33"/>
        <v>2.5</v>
      </c>
      <c r="W225" s="2"/>
    </row>
    <row r="226" spans="1:23" ht="15" customHeight="1">
      <c r="A226" s="51">
        <v>67</v>
      </c>
      <c r="B226" s="50" t="s">
        <v>19</v>
      </c>
      <c r="C226" s="50" t="s">
        <v>215</v>
      </c>
      <c r="D226" s="49">
        <v>0</v>
      </c>
      <c r="E226" s="49">
        <v>0</v>
      </c>
      <c r="F226" s="50">
        <f t="shared" si="34"/>
        <v>0</v>
      </c>
      <c r="G226" s="47" t="s">
        <v>554</v>
      </c>
      <c r="H226" s="46">
        <v>30</v>
      </c>
      <c r="I226" s="47"/>
      <c r="J226" s="48">
        <f t="shared" si="29"/>
        <v>30</v>
      </c>
      <c r="K226" s="46">
        <v>25</v>
      </c>
      <c r="L226" s="47"/>
      <c r="M226" s="48">
        <f t="shared" si="30"/>
        <v>25</v>
      </c>
      <c r="N226" s="46">
        <v>20</v>
      </c>
      <c r="O226" s="47"/>
      <c r="P226" s="48">
        <f t="shared" si="31"/>
        <v>20</v>
      </c>
      <c r="Q226" s="46">
        <v>35</v>
      </c>
      <c r="R226" s="47"/>
      <c r="S226" s="48">
        <f t="shared" si="32"/>
        <v>35</v>
      </c>
      <c r="T226" s="29">
        <v>40</v>
      </c>
      <c r="U226" s="47"/>
      <c r="V226" s="48">
        <f t="shared" si="33"/>
        <v>40</v>
      </c>
      <c r="W226" s="2"/>
    </row>
    <row r="227" spans="1:23" ht="15" customHeight="1">
      <c r="A227" s="49">
        <v>68</v>
      </c>
      <c r="B227" s="50" t="s">
        <v>19</v>
      </c>
      <c r="C227" s="50" t="s">
        <v>218</v>
      </c>
      <c r="D227" s="49">
        <v>10</v>
      </c>
      <c r="E227" s="49">
        <v>10</v>
      </c>
      <c r="F227" s="50">
        <f t="shared" si="34"/>
        <v>10</v>
      </c>
      <c r="G227" s="47" t="s">
        <v>555</v>
      </c>
      <c r="H227" s="46">
        <v>30</v>
      </c>
      <c r="I227" s="47"/>
      <c r="J227" s="48">
        <f t="shared" si="29"/>
        <v>20</v>
      </c>
      <c r="K227" s="46">
        <v>40</v>
      </c>
      <c r="L227" s="47"/>
      <c r="M227" s="48">
        <f t="shared" si="30"/>
        <v>30</v>
      </c>
      <c r="N227" s="46">
        <v>20</v>
      </c>
      <c r="O227" s="47"/>
      <c r="P227" s="48">
        <f t="shared" si="31"/>
        <v>10</v>
      </c>
      <c r="Q227" s="46">
        <v>35</v>
      </c>
      <c r="R227" s="47"/>
      <c r="S227" s="48">
        <f t="shared" si="32"/>
        <v>25</v>
      </c>
      <c r="T227" s="29">
        <v>30</v>
      </c>
      <c r="U227" s="47"/>
      <c r="V227" s="48">
        <f t="shared" si="33"/>
        <v>20</v>
      </c>
      <c r="W227" s="2"/>
    </row>
    <row r="228" spans="1:23" ht="15" customHeight="1">
      <c r="A228" s="51">
        <v>70</v>
      </c>
      <c r="B228" s="50" t="s">
        <v>19</v>
      </c>
      <c r="C228" s="49" t="s">
        <v>223</v>
      </c>
      <c r="D228" s="49">
        <v>20</v>
      </c>
      <c r="E228" s="49">
        <v>20</v>
      </c>
      <c r="F228" s="50">
        <f t="shared" si="34"/>
        <v>20</v>
      </c>
      <c r="G228" s="47" t="s">
        <v>556</v>
      </c>
      <c r="H228" s="46">
        <v>10</v>
      </c>
      <c r="I228" s="47"/>
      <c r="J228" s="48">
        <f t="shared" si="29"/>
        <v>10</v>
      </c>
      <c r="K228" s="46">
        <v>25</v>
      </c>
      <c r="L228" s="47"/>
      <c r="M228" s="48">
        <f t="shared" si="30"/>
        <v>5</v>
      </c>
      <c r="N228" s="46">
        <v>35</v>
      </c>
      <c r="O228" s="47"/>
      <c r="P228" s="48">
        <f t="shared" si="31"/>
        <v>15</v>
      </c>
      <c r="Q228" s="46">
        <v>25</v>
      </c>
      <c r="R228" s="47"/>
      <c r="S228" s="48">
        <f t="shared" si="32"/>
        <v>5</v>
      </c>
      <c r="T228" s="29">
        <v>20</v>
      </c>
      <c r="U228" s="47"/>
      <c r="V228" s="48">
        <f t="shared" si="33"/>
        <v>0</v>
      </c>
      <c r="W228" s="2"/>
    </row>
    <row r="229" spans="1:23" ht="15" customHeight="1">
      <c r="A229" s="49">
        <v>71</v>
      </c>
      <c r="B229" s="50" t="s">
        <v>19</v>
      </c>
      <c r="C229" s="50" t="s">
        <v>226</v>
      </c>
      <c r="D229" s="49">
        <v>20</v>
      </c>
      <c r="E229" s="49">
        <v>30</v>
      </c>
      <c r="F229" s="50">
        <f t="shared" si="34"/>
        <v>25</v>
      </c>
      <c r="G229" s="47" t="s">
        <v>557</v>
      </c>
      <c r="H229" s="46">
        <v>20</v>
      </c>
      <c r="I229" s="47"/>
      <c r="J229" s="48">
        <f t="shared" si="29"/>
        <v>5</v>
      </c>
      <c r="K229" s="46">
        <v>10</v>
      </c>
      <c r="L229" s="47"/>
      <c r="M229" s="48">
        <f t="shared" si="30"/>
        <v>15</v>
      </c>
      <c r="N229" s="46">
        <v>30</v>
      </c>
      <c r="O229" s="47"/>
      <c r="P229" s="48">
        <f t="shared" si="31"/>
        <v>5</v>
      </c>
      <c r="Q229" s="46">
        <v>25</v>
      </c>
      <c r="R229" s="47"/>
      <c r="S229" s="48">
        <f t="shared" si="32"/>
        <v>0</v>
      </c>
      <c r="T229" s="29">
        <v>20</v>
      </c>
      <c r="U229" s="47"/>
      <c r="V229" s="48">
        <f t="shared" si="33"/>
        <v>5</v>
      </c>
      <c r="W229" s="2"/>
    </row>
    <row r="230" spans="1:23" ht="15" customHeight="1">
      <c r="A230" s="49">
        <v>72</v>
      </c>
      <c r="B230" s="50" t="s">
        <v>19</v>
      </c>
      <c r="C230" s="50" t="s">
        <v>229</v>
      </c>
      <c r="D230" s="49">
        <v>5</v>
      </c>
      <c r="E230" s="49">
        <v>10</v>
      </c>
      <c r="F230" s="50">
        <f t="shared" si="34"/>
        <v>7.5</v>
      </c>
      <c r="G230" s="47" t="s">
        <v>558</v>
      </c>
      <c r="H230" s="46">
        <v>20</v>
      </c>
      <c r="I230" s="47"/>
      <c r="J230" s="48">
        <f t="shared" si="29"/>
        <v>12.5</v>
      </c>
      <c r="K230" s="46">
        <v>25</v>
      </c>
      <c r="L230" s="47"/>
      <c r="M230" s="48">
        <f t="shared" si="30"/>
        <v>17.5</v>
      </c>
      <c r="N230" s="46">
        <v>35</v>
      </c>
      <c r="O230" s="47"/>
      <c r="P230" s="48">
        <f t="shared" si="31"/>
        <v>27.5</v>
      </c>
      <c r="Q230" s="46">
        <v>30</v>
      </c>
      <c r="R230" s="47"/>
      <c r="S230" s="48">
        <f t="shared" si="32"/>
        <v>22.5</v>
      </c>
      <c r="T230" s="29">
        <v>40</v>
      </c>
      <c r="U230" s="47"/>
      <c r="V230" s="48">
        <f t="shared" si="33"/>
        <v>32.5</v>
      </c>
      <c r="W230" s="2"/>
    </row>
    <row r="231" spans="1:23" ht="15" customHeight="1">
      <c r="A231" s="43">
        <v>73</v>
      </c>
      <c r="B231" s="50" t="s">
        <v>19</v>
      </c>
      <c r="C231" s="50" t="s">
        <v>232</v>
      </c>
      <c r="D231" s="49">
        <v>10</v>
      </c>
      <c r="E231" s="49">
        <v>20</v>
      </c>
      <c r="F231" s="50">
        <f t="shared" si="34"/>
        <v>15</v>
      </c>
      <c r="G231" s="47" t="s">
        <v>559</v>
      </c>
      <c r="H231" s="46">
        <v>10</v>
      </c>
      <c r="I231" s="47"/>
      <c r="J231" s="48">
        <f t="shared" si="29"/>
        <v>5</v>
      </c>
      <c r="K231" s="46">
        <v>10</v>
      </c>
      <c r="L231" s="47"/>
      <c r="M231" s="48">
        <f t="shared" si="30"/>
        <v>5</v>
      </c>
      <c r="N231" s="46">
        <v>10</v>
      </c>
      <c r="O231" s="47"/>
      <c r="P231" s="48">
        <f t="shared" si="31"/>
        <v>5</v>
      </c>
      <c r="Q231" s="46">
        <v>15</v>
      </c>
      <c r="R231" s="47"/>
      <c r="S231" s="48">
        <f t="shared" si="32"/>
        <v>0</v>
      </c>
      <c r="T231" s="29">
        <v>20</v>
      </c>
      <c r="U231" s="47"/>
      <c r="V231" s="48">
        <f t="shared" si="33"/>
        <v>5</v>
      </c>
      <c r="W231" s="2"/>
    </row>
    <row r="232" spans="1:23" ht="15" customHeight="1">
      <c r="A232" s="49">
        <v>74</v>
      </c>
      <c r="B232" s="50" t="s">
        <v>19</v>
      </c>
      <c r="C232" s="50" t="s">
        <v>235</v>
      </c>
      <c r="D232" s="49">
        <v>20</v>
      </c>
      <c r="E232" s="49">
        <v>20</v>
      </c>
      <c r="F232" s="50">
        <f t="shared" si="34"/>
        <v>20</v>
      </c>
      <c r="G232" s="47" t="s">
        <v>560</v>
      </c>
      <c r="H232" s="46">
        <v>30</v>
      </c>
      <c r="I232" s="47"/>
      <c r="J232" s="48">
        <f t="shared" si="29"/>
        <v>10</v>
      </c>
      <c r="K232" s="46">
        <v>40</v>
      </c>
      <c r="L232" s="47"/>
      <c r="M232" s="48">
        <f t="shared" si="30"/>
        <v>20</v>
      </c>
      <c r="N232" s="46">
        <v>40</v>
      </c>
      <c r="O232" s="47"/>
      <c r="P232" s="48">
        <f t="shared" si="31"/>
        <v>20</v>
      </c>
      <c r="Q232" s="46">
        <v>35</v>
      </c>
      <c r="R232" s="47"/>
      <c r="S232" s="48">
        <f t="shared" si="32"/>
        <v>15</v>
      </c>
      <c r="T232" s="29">
        <v>35</v>
      </c>
      <c r="U232" s="47"/>
      <c r="V232" s="48">
        <f t="shared" si="33"/>
        <v>15</v>
      </c>
      <c r="W232" s="2"/>
    </row>
    <row r="233" spans="1:23" ht="15" customHeight="1">
      <c r="A233" s="49">
        <v>75</v>
      </c>
      <c r="B233" s="50" t="s">
        <v>19</v>
      </c>
      <c r="C233" s="50" t="s">
        <v>238</v>
      </c>
      <c r="D233" s="49">
        <v>0</v>
      </c>
      <c r="E233" s="49">
        <v>0</v>
      </c>
      <c r="F233" s="50">
        <f t="shared" si="34"/>
        <v>0</v>
      </c>
      <c r="G233" s="47" t="s">
        <v>561</v>
      </c>
      <c r="H233" s="46">
        <v>20</v>
      </c>
      <c r="I233" s="47"/>
      <c r="J233" s="48">
        <f t="shared" si="29"/>
        <v>20</v>
      </c>
      <c r="K233" s="46">
        <v>20</v>
      </c>
      <c r="L233" s="47"/>
      <c r="M233" s="48">
        <f t="shared" si="30"/>
        <v>20</v>
      </c>
      <c r="N233" s="46">
        <v>20</v>
      </c>
      <c r="O233" s="47"/>
      <c r="P233" s="48">
        <f t="shared" si="31"/>
        <v>20</v>
      </c>
      <c r="Q233" s="46">
        <v>20</v>
      </c>
      <c r="R233" s="47"/>
      <c r="S233" s="48">
        <f t="shared" si="32"/>
        <v>20</v>
      </c>
      <c r="T233" s="29">
        <v>20</v>
      </c>
      <c r="U233" s="47"/>
      <c r="V233" s="48">
        <f t="shared" si="33"/>
        <v>20</v>
      </c>
      <c r="W233" s="2"/>
    </row>
    <row r="234" spans="1:23" ht="15" customHeight="1">
      <c r="A234" s="51">
        <v>76</v>
      </c>
      <c r="B234" s="50" t="s">
        <v>19</v>
      </c>
      <c r="C234" s="50" t="s">
        <v>241</v>
      </c>
      <c r="D234" s="49">
        <v>40</v>
      </c>
      <c r="E234" s="49">
        <v>40</v>
      </c>
      <c r="F234" s="50">
        <f t="shared" si="34"/>
        <v>40</v>
      </c>
      <c r="G234" s="47" t="s">
        <v>562</v>
      </c>
      <c r="H234" s="46">
        <v>30</v>
      </c>
      <c r="I234" s="47"/>
      <c r="J234" s="48">
        <f t="shared" si="29"/>
        <v>10</v>
      </c>
      <c r="K234" s="46">
        <v>25</v>
      </c>
      <c r="L234" s="47"/>
      <c r="M234" s="48">
        <f t="shared" si="30"/>
        <v>15</v>
      </c>
      <c r="N234" s="46">
        <v>25</v>
      </c>
      <c r="O234" s="47"/>
      <c r="P234" s="48">
        <f t="shared" si="31"/>
        <v>15</v>
      </c>
      <c r="Q234" s="46">
        <v>35</v>
      </c>
      <c r="R234" s="47"/>
      <c r="S234" s="48">
        <f t="shared" si="32"/>
        <v>5</v>
      </c>
      <c r="T234" s="29">
        <v>20</v>
      </c>
      <c r="U234" s="47"/>
      <c r="V234" s="48">
        <f t="shared" si="33"/>
        <v>20</v>
      </c>
      <c r="W234" s="2"/>
    </row>
    <row r="235" spans="1:23" ht="15" customHeight="1">
      <c r="A235" s="49">
        <v>77</v>
      </c>
      <c r="B235" s="50" t="s">
        <v>19</v>
      </c>
      <c r="C235" s="50" t="s">
        <v>244</v>
      </c>
      <c r="D235" s="49">
        <v>40</v>
      </c>
      <c r="E235" s="49">
        <v>40</v>
      </c>
      <c r="F235" s="50">
        <f t="shared" si="34"/>
        <v>40</v>
      </c>
      <c r="G235" s="47" t="s">
        <v>563</v>
      </c>
      <c r="H235" s="46">
        <v>30</v>
      </c>
      <c r="I235" s="47"/>
      <c r="J235" s="48">
        <f t="shared" si="29"/>
        <v>10</v>
      </c>
      <c r="K235" s="46">
        <v>35</v>
      </c>
      <c r="L235" s="47"/>
      <c r="M235" s="48">
        <f t="shared" si="30"/>
        <v>5</v>
      </c>
      <c r="N235" s="46">
        <v>40</v>
      </c>
      <c r="O235" s="47"/>
      <c r="P235" s="48">
        <f t="shared" si="31"/>
        <v>0</v>
      </c>
      <c r="Q235" s="46">
        <v>35</v>
      </c>
      <c r="R235" s="47"/>
      <c r="S235" s="48">
        <f t="shared" si="32"/>
        <v>5</v>
      </c>
      <c r="T235" s="29">
        <v>40</v>
      </c>
      <c r="U235" s="47"/>
      <c r="V235" s="48">
        <f t="shared" si="33"/>
        <v>0</v>
      </c>
      <c r="W235" s="2"/>
    </row>
    <row r="236" spans="1:23" ht="15" customHeight="1">
      <c r="A236" s="49">
        <v>78</v>
      </c>
      <c r="B236" s="50" t="s">
        <v>19</v>
      </c>
      <c r="C236" s="50" t="s">
        <v>247</v>
      </c>
      <c r="D236" s="49">
        <v>40</v>
      </c>
      <c r="E236" s="49">
        <v>40</v>
      </c>
      <c r="F236" s="50">
        <f t="shared" si="34"/>
        <v>40</v>
      </c>
      <c r="G236" s="47" t="s">
        <v>564</v>
      </c>
      <c r="H236" s="46">
        <v>30</v>
      </c>
      <c r="I236" s="47"/>
      <c r="J236" s="48">
        <f t="shared" si="29"/>
        <v>10</v>
      </c>
      <c r="K236" s="46">
        <v>35</v>
      </c>
      <c r="L236" s="47"/>
      <c r="M236" s="48">
        <f t="shared" si="30"/>
        <v>5</v>
      </c>
      <c r="N236" s="46">
        <v>40</v>
      </c>
      <c r="O236" s="47"/>
      <c r="P236" s="48">
        <f t="shared" si="31"/>
        <v>0</v>
      </c>
      <c r="Q236" s="46">
        <v>35</v>
      </c>
      <c r="R236" s="47"/>
      <c r="S236" s="48">
        <f t="shared" si="32"/>
        <v>5</v>
      </c>
      <c r="T236" s="29">
        <v>35</v>
      </c>
      <c r="U236" s="47"/>
      <c r="V236" s="48">
        <f t="shared" si="33"/>
        <v>5</v>
      </c>
      <c r="W236" s="2"/>
    </row>
    <row r="237" spans="1:23" ht="15" customHeight="1">
      <c r="A237" s="49">
        <v>80</v>
      </c>
      <c r="B237" s="50" t="s">
        <v>19</v>
      </c>
      <c r="C237" s="49" t="s">
        <v>252</v>
      </c>
      <c r="D237" s="49">
        <v>0</v>
      </c>
      <c r="E237" s="49">
        <v>5</v>
      </c>
      <c r="F237" s="50">
        <f t="shared" si="34"/>
        <v>2.5</v>
      </c>
      <c r="G237" s="47" t="s">
        <v>565</v>
      </c>
      <c r="H237" s="46">
        <v>30</v>
      </c>
      <c r="I237" s="47"/>
      <c r="J237" s="48">
        <f t="shared" si="29"/>
        <v>27.5</v>
      </c>
      <c r="K237" s="46">
        <v>30</v>
      </c>
      <c r="L237" s="47"/>
      <c r="M237" s="48">
        <f t="shared" si="30"/>
        <v>27.5</v>
      </c>
      <c r="N237" s="46">
        <v>30</v>
      </c>
      <c r="O237" s="47"/>
      <c r="P237" s="48">
        <f t="shared" si="31"/>
        <v>27.5</v>
      </c>
      <c r="Q237" s="46">
        <v>35</v>
      </c>
      <c r="R237" s="47"/>
      <c r="S237" s="48">
        <f t="shared" si="32"/>
        <v>32.5</v>
      </c>
      <c r="T237" s="29">
        <v>20</v>
      </c>
      <c r="U237" s="47"/>
      <c r="V237" s="48">
        <f t="shared" si="33"/>
        <v>17.5</v>
      </c>
      <c r="W237" s="2"/>
    </row>
    <row r="238" spans="1:23" ht="15" customHeight="1">
      <c r="A238" s="49">
        <v>81</v>
      </c>
      <c r="B238" s="50" t="s">
        <v>19</v>
      </c>
      <c r="C238" s="49" t="s">
        <v>255</v>
      </c>
      <c r="D238" s="49">
        <v>10</v>
      </c>
      <c r="E238" s="49">
        <v>10</v>
      </c>
      <c r="F238" s="50">
        <f t="shared" si="34"/>
        <v>10</v>
      </c>
      <c r="G238" s="47" t="s">
        <v>566</v>
      </c>
      <c r="H238" s="46">
        <v>20</v>
      </c>
      <c r="I238" s="47"/>
      <c r="J238" s="48">
        <f t="shared" si="29"/>
        <v>10</v>
      </c>
      <c r="K238" s="46">
        <v>20</v>
      </c>
      <c r="L238" s="47"/>
      <c r="M238" s="48">
        <f t="shared" si="30"/>
        <v>10</v>
      </c>
      <c r="N238" s="46">
        <v>15</v>
      </c>
      <c r="O238" s="47"/>
      <c r="P238" s="48">
        <f t="shared" si="31"/>
        <v>5</v>
      </c>
      <c r="Q238" s="46">
        <v>25</v>
      </c>
      <c r="R238" s="47"/>
      <c r="S238" s="48">
        <f t="shared" si="32"/>
        <v>15</v>
      </c>
      <c r="T238" s="29">
        <v>20</v>
      </c>
      <c r="U238" s="47"/>
      <c r="V238" s="48">
        <f t="shared" si="33"/>
        <v>10</v>
      </c>
      <c r="W238" s="2"/>
    </row>
    <row r="239" spans="1:23" ht="15" customHeight="1">
      <c r="A239" s="43">
        <v>82</v>
      </c>
      <c r="B239" s="50" t="s">
        <v>19</v>
      </c>
      <c r="C239" s="49" t="s">
        <v>258</v>
      </c>
      <c r="D239" s="49">
        <v>30</v>
      </c>
      <c r="E239" s="49">
        <v>32</v>
      </c>
      <c r="F239" s="50">
        <f t="shared" si="34"/>
        <v>31</v>
      </c>
      <c r="G239" s="47" t="s">
        <v>567</v>
      </c>
      <c r="H239" s="46">
        <v>30</v>
      </c>
      <c r="I239" s="47"/>
      <c r="J239" s="48">
        <f t="shared" si="29"/>
        <v>1</v>
      </c>
      <c r="K239" s="46">
        <v>35</v>
      </c>
      <c r="L239" s="47"/>
      <c r="M239" s="48">
        <f t="shared" si="30"/>
        <v>4</v>
      </c>
      <c r="N239" s="46">
        <v>40</v>
      </c>
      <c r="O239" s="47"/>
      <c r="P239" s="48">
        <f t="shared" si="31"/>
        <v>9</v>
      </c>
      <c r="Q239" s="46">
        <v>35</v>
      </c>
      <c r="R239" s="47"/>
      <c r="S239" s="48">
        <f t="shared" si="32"/>
        <v>4</v>
      </c>
      <c r="T239" s="29">
        <v>30</v>
      </c>
      <c r="U239" s="47"/>
      <c r="V239" s="48">
        <f t="shared" si="33"/>
        <v>1</v>
      </c>
      <c r="W239" s="2"/>
    </row>
    <row r="240" spans="1:23" ht="15" customHeight="1">
      <c r="A240" s="49">
        <v>83</v>
      </c>
      <c r="B240" s="50" t="s">
        <v>19</v>
      </c>
      <c r="C240" s="50" t="s">
        <v>261</v>
      </c>
      <c r="D240" s="49">
        <v>0</v>
      </c>
      <c r="E240" s="49">
        <v>0</v>
      </c>
      <c r="F240" s="50">
        <f t="shared" si="34"/>
        <v>0</v>
      </c>
      <c r="G240" s="47" t="s">
        <v>568</v>
      </c>
      <c r="H240" s="46">
        <v>20</v>
      </c>
      <c r="I240" s="47"/>
      <c r="J240" s="48">
        <f t="shared" si="29"/>
        <v>20</v>
      </c>
      <c r="K240" s="46">
        <v>20</v>
      </c>
      <c r="L240" s="47"/>
      <c r="M240" s="48">
        <f t="shared" si="30"/>
        <v>20</v>
      </c>
      <c r="N240" s="46">
        <v>10</v>
      </c>
      <c r="O240" s="47"/>
      <c r="P240" s="48">
        <f t="shared" si="31"/>
        <v>10</v>
      </c>
      <c r="Q240" s="46">
        <v>25</v>
      </c>
      <c r="R240" s="47"/>
      <c r="S240" s="48">
        <f t="shared" si="32"/>
        <v>25</v>
      </c>
      <c r="T240" s="29">
        <v>20</v>
      </c>
      <c r="U240" s="47"/>
      <c r="V240" s="48">
        <f t="shared" si="33"/>
        <v>20</v>
      </c>
      <c r="W240" s="2"/>
    </row>
    <row r="241" spans="1:23" ht="15" customHeight="1">
      <c r="A241" s="49">
        <v>84</v>
      </c>
      <c r="B241" s="50" t="s">
        <v>19</v>
      </c>
      <c r="C241" s="50" t="s">
        <v>264</v>
      </c>
      <c r="D241" s="49">
        <v>30</v>
      </c>
      <c r="E241" s="49">
        <v>35</v>
      </c>
      <c r="F241" s="50">
        <f t="shared" si="34"/>
        <v>32.5</v>
      </c>
      <c r="G241" s="47" t="s">
        <v>569</v>
      </c>
      <c r="H241" s="46">
        <v>30</v>
      </c>
      <c r="I241" s="47"/>
      <c r="J241" s="48">
        <f t="shared" si="29"/>
        <v>2.5</v>
      </c>
      <c r="K241" s="46">
        <v>35</v>
      </c>
      <c r="L241" s="47"/>
      <c r="M241" s="48">
        <f t="shared" si="30"/>
        <v>2.5</v>
      </c>
      <c r="N241" s="46">
        <v>40</v>
      </c>
      <c r="O241" s="47"/>
      <c r="P241" s="48">
        <f t="shared" si="31"/>
        <v>7.5</v>
      </c>
      <c r="Q241" s="46">
        <v>35</v>
      </c>
      <c r="R241" s="47"/>
      <c r="S241" s="48">
        <f t="shared" si="32"/>
        <v>2.5</v>
      </c>
      <c r="T241" s="29">
        <v>35</v>
      </c>
      <c r="U241" s="47"/>
      <c r="V241" s="48">
        <f t="shared" si="33"/>
        <v>2.5</v>
      </c>
      <c r="W241" s="2"/>
    </row>
    <row r="242" spans="1:23" ht="15" customHeight="1">
      <c r="A242" s="51">
        <v>85</v>
      </c>
      <c r="B242" s="50" t="s">
        <v>19</v>
      </c>
      <c r="C242" s="50" t="s">
        <v>267</v>
      </c>
      <c r="D242" s="49">
        <v>40</v>
      </c>
      <c r="E242" s="49">
        <v>40</v>
      </c>
      <c r="F242" s="50">
        <f t="shared" si="34"/>
        <v>40</v>
      </c>
      <c r="G242" s="47" t="s">
        <v>570</v>
      </c>
      <c r="H242" s="46">
        <v>30</v>
      </c>
      <c r="I242" s="47"/>
      <c r="J242" s="48">
        <f t="shared" si="29"/>
        <v>10</v>
      </c>
      <c r="K242" s="46">
        <v>40</v>
      </c>
      <c r="L242" s="47"/>
      <c r="M242" s="48">
        <f t="shared" si="30"/>
        <v>0</v>
      </c>
      <c r="N242" s="46">
        <v>40</v>
      </c>
      <c r="O242" s="47"/>
      <c r="P242" s="48">
        <f t="shared" si="31"/>
        <v>0</v>
      </c>
      <c r="Q242" s="46">
        <v>35</v>
      </c>
      <c r="R242" s="47"/>
      <c r="S242" s="48">
        <f t="shared" si="32"/>
        <v>5</v>
      </c>
      <c r="T242" s="29">
        <v>35</v>
      </c>
      <c r="U242" s="47"/>
      <c r="V242" s="48">
        <f t="shared" si="33"/>
        <v>5</v>
      </c>
      <c r="W242" s="2"/>
    </row>
    <row r="243" spans="1:23" ht="15" customHeight="1">
      <c r="A243" s="49">
        <v>86</v>
      </c>
      <c r="B243" s="49" t="s">
        <v>19</v>
      </c>
      <c r="C243" s="50" t="s">
        <v>270</v>
      </c>
      <c r="D243" s="49">
        <v>0.5</v>
      </c>
      <c r="E243" s="49">
        <v>0</v>
      </c>
      <c r="F243" s="50">
        <f t="shared" si="34"/>
        <v>0.25</v>
      </c>
      <c r="G243" s="47" t="s">
        <v>571</v>
      </c>
      <c r="H243" s="46">
        <v>20</v>
      </c>
      <c r="I243" s="47"/>
      <c r="J243" s="48">
        <f t="shared" si="29"/>
        <v>19.75</v>
      </c>
      <c r="K243" s="46">
        <v>20</v>
      </c>
      <c r="L243" s="47"/>
      <c r="M243" s="48">
        <f t="shared" si="30"/>
        <v>19.75</v>
      </c>
      <c r="N243" s="46">
        <v>20</v>
      </c>
      <c r="O243" s="47"/>
      <c r="P243" s="48">
        <f t="shared" si="31"/>
        <v>19.75</v>
      </c>
      <c r="Q243" s="46">
        <v>15</v>
      </c>
      <c r="R243" s="47"/>
      <c r="S243" s="48">
        <f t="shared" si="32"/>
        <v>14.75</v>
      </c>
      <c r="T243" s="29">
        <v>15</v>
      </c>
      <c r="U243" s="47"/>
      <c r="V243" s="48">
        <f t="shared" si="33"/>
        <v>14.75</v>
      </c>
      <c r="W243" s="2"/>
    </row>
    <row r="244" spans="1:23" ht="15" customHeight="1">
      <c r="A244" s="49">
        <v>87</v>
      </c>
      <c r="B244" s="50" t="s">
        <v>19</v>
      </c>
      <c r="C244" s="50" t="s">
        <v>273</v>
      </c>
      <c r="D244" s="49">
        <v>40</v>
      </c>
      <c r="E244" s="49">
        <v>40</v>
      </c>
      <c r="F244" s="50">
        <f t="shared" si="34"/>
        <v>40</v>
      </c>
      <c r="G244" s="47" t="s">
        <v>572</v>
      </c>
      <c r="H244" s="46">
        <v>30</v>
      </c>
      <c r="I244" s="47"/>
      <c r="J244" s="48">
        <f t="shared" si="29"/>
        <v>10</v>
      </c>
      <c r="K244" s="46">
        <v>35</v>
      </c>
      <c r="L244" s="47"/>
      <c r="M244" s="48">
        <f t="shared" si="30"/>
        <v>5</v>
      </c>
      <c r="N244" s="46">
        <v>40</v>
      </c>
      <c r="O244" s="47"/>
      <c r="P244" s="48">
        <f t="shared" si="31"/>
        <v>0</v>
      </c>
      <c r="Q244" s="46">
        <v>35</v>
      </c>
      <c r="R244" s="47"/>
      <c r="S244" s="48">
        <f t="shared" si="32"/>
        <v>5</v>
      </c>
      <c r="T244" s="29">
        <v>30</v>
      </c>
      <c r="U244" s="47"/>
      <c r="V244" s="48">
        <f t="shared" si="33"/>
        <v>10</v>
      </c>
      <c r="W244" s="2"/>
    </row>
    <row r="245" spans="1:23" ht="15" customHeight="1">
      <c r="A245" s="43">
        <v>88</v>
      </c>
      <c r="B245" s="49" t="s">
        <v>19</v>
      </c>
      <c r="C245" s="50" t="s">
        <v>276</v>
      </c>
      <c r="D245" s="49">
        <v>20</v>
      </c>
      <c r="E245" s="49">
        <v>30</v>
      </c>
      <c r="F245" s="50">
        <f t="shared" si="34"/>
        <v>25</v>
      </c>
      <c r="G245" s="47" t="s">
        <v>573</v>
      </c>
      <c r="H245" s="46">
        <v>30</v>
      </c>
      <c r="I245" s="47"/>
      <c r="J245" s="48">
        <f t="shared" si="29"/>
        <v>5</v>
      </c>
      <c r="K245" s="46">
        <v>25</v>
      </c>
      <c r="L245" s="47"/>
      <c r="M245" s="48">
        <f t="shared" si="30"/>
        <v>0</v>
      </c>
      <c r="N245" s="46">
        <v>30</v>
      </c>
      <c r="O245" s="47"/>
      <c r="P245" s="48">
        <f t="shared" si="31"/>
        <v>5</v>
      </c>
      <c r="Q245" s="46">
        <v>30</v>
      </c>
      <c r="R245" s="47"/>
      <c r="S245" s="48">
        <f t="shared" si="32"/>
        <v>5</v>
      </c>
      <c r="T245" s="29">
        <v>35</v>
      </c>
      <c r="U245" s="47"/>
      <c r="V245" s="48">
        <f t="shared" si="33"/>
        <v>10</v>
      </c>
      <c r="W245" s="2"/>
    </row>
    <row r="246" spans="1:23" ht="15" customHeight="1">
      <c r="A246" s="49">
        <v>89</v>
      </c>
      <c r="B246" s="50" t="s">
        <v>19</v>
      </c>
      <c r="C246" s="50" t="s">
        <v>279</v>
      </c>
      <c r="D246" s="49">
        <v>0</v>
      </c>
      <c r="E246" s="49">
        <v>0</v>
      </c>
      <c r="F246" s="50">
        <f t="shared" si="34"/>
        <v>0</v>
      </c>
      <c r="G246" s="47" t="s">
        <v>574</v>
      </c>
      <c r="H246" s="46">
        <v>30</v>
      </c>
      <c r="I246" s="47"/>
      <c r="J246" s="48">
        <f t="shared" si="29"/>
        <v>30</v>
      </c>
      <c r="K246" s="46">
        <v>30</v>
      </c>
      <c r="L246" s="47"/>
      <c r="M246" s="48">
        <f t="shared" si="30"/>
        <v>30</v>
      </c>
      <c r="N246" s="46">
        <v>25</v>
      </c>
      <c r="O246" s="47"/>
      <c r="P246" s="48">
        <f t="shared" si="31"/>
        <v>25</v>
      </c>
      <c r="Q246" s="46">
        <v>35</v>
      </c>
      <c r="R246" s="47"/>
      <c r="S246" s="48">
        <f t="shared" si="32"/>
        <v>35</v>
      </c>
      <c r="T246" s="29">
        <v>35</v>
      </c>
      <c r="U246" s="47"/>
      <c r="V246" s="48">
        <f t="shared" si="33"/>
        <v>35</v>
      </c>
      <c r="W246" s="2"/>
    </row>
    <row r="247" spans="1:23" ht="15" customHeight="1">
      <c r="A247" s="49">
        <v>90</v>
      </c>
      <c r="B247" s="50" t="s">
        <v>19</v>
      </c>
      <c r="C247" s="50" t="s">
        <v>282</v>
      </c>
      <c r="D247" s="49">
        <v>30</v>
      </c>
      <c r="E247" s="49">
        <v>30</v>
      </c>
      <c r="F247" s="50">
        <f t="shared" si="34"/>
        <v>30</v>
      </c>
      <c r="G247" s="47" t="s">
        <v>575</v>
      </c>
      <c r="H247" s="46">
        <v>30</v>
      </c>
      <c r="I247" s="47"/>
      <c r="J247" s="48">
        <f t="shared" si="29"/>
        <v>0</v>
      </c>
      <c r="K247" s="46">
        <v>40</v>
      </c>
      <c r="L247" s="47"/>
      <c r="M247" s="48">
        <f t="shared" si="30"/>
        <v>10</v>
      </c>
      <c r="N247" s="46">
        <v>30</v>
      </c>
      <c r="O247" s="47"/>
      <c r="P247" s="48">
        <f t="shared" si="31"/>
        <v>0</v>
      </c>
      <c r="Q247" s="46">
        <v>35</v>
      </c>
      <c r="R247" s="47"/>
      <c r="S247" s="48">
        <f t="shared" si="32"/>
        <v>5</v>
      </c>
      <c r="T247" s="29">
        <v>35</v>
      </c>
      <c r="U247" s="47"/>
      <c r="V247" s="48">
        <f t="shared" si="33"/>
        <v>5</v>
      </c>
      <c r="W247" s="2"/>
    </row>
    <row r="248" spans="1:23" ht="15" customHeight="1">
      <c r="A248" s="51">
        <v>91</v>
      </c>
      <c r="B248" s="50" t="s">
        <v>19</v>
      </c>
      <c r="C248" s="50" t="s">
        <v>285</v>
      </c>
      <c r="D248" s="49">
        <v>40</v>
      </c>
      <c r="E248" s="49">
        <v>40</v>
      </c>
      <c r="F248" s="50">
        <f t="shared" si="34"/>
        <v>40</v>
      </c>
      <c r="G248" s="47" t="s">
        <v>576</v>
      </c>
      <c r="H248" s="46">
        <v>30</v>
      </c>
      <c r="I248" s="47"/>
      <c r="J248" s="48">
        <f t="shared" si="29"/>
        <v>10</v>
      </c>
      <c r="K248" s="46">
        <v>30</v>
      </c>
      <c r="L248" s="47"/>
      <c r="M248" s="48">
        <f t="shared" si="30"/>
        <v>10</v>
      </c>
      <c r="N248" s="46">
        <v>40</v>
      </c>
      <c r="O248" s="47"/>
      <c r="P248" s="48">
        <f t="shared" si="31"/>
        <v>0</v>
      </c>
      <c r="Q248" s="46">
        <v>35</v>
      </c>
      <c r="R248" s="47"/>
      <c r="S248" s="48">
        <f t="shared" si="32"/>
        <v>5</v>
      </c>
      <c r="T248" s="29">
        <v>35</v>
      </c>
      <c r="U248" s="47"/>
      <c r="V248" s="48">
        <f t="shared" si="33"/>
        <v>5</v>
      </c>
      <c r="W248" s="2"/>
    </row>
    <row r="249" spans="1:23" ht="15" customHeight="1">
      <c r="A249" s="49">
        <v>92</v>
      </c>
      <c r="B249" s="50" t="s">
        <v>19</v>
      </c>
      <c r="C249" s="50" t="s">
        <v>288</v>
      </c>
      <c r="D249" s="49">
        <v>30</v>
      </c>
      <c r="E249" s="49">
        <v>30</v>
      </c>
      <c r="F249" s="50">
        <f t="shared" si="34"/>
        <v>30</v>
      </c>
      <c r="G249" s="47" t="s">
        <v>577</v>
      </c>
      <c r="H249" s="46">
        <v>30</v>
      </c>
      <c r="I249" s="47"/>
      <c r="J249" s="48">
        <f t="shared" si="29"/>
        <v>0</v>
      </c>
      <c r="K249" s="46">
        <v>25</v>
      </c>
      <c r="L249" s="47"/>
      <c r="M249" s="48">
        <f t="shared" si="30"/>
        <v>5</v>
      </c>
      <c r="N249" s="46">
        <v>30</v>
      </c>
      <c r="O249" s="47"/>
      <c r="P249" s="48">
        <f t="shared" si="31"/>
        <v>0</v>
      </c>
      <c r="Q249" s="46">
        <v>35</v>
      </c>
      <c r="R249" s="47"/>
      <c r="S249" s="48">
        <f t="shared" si="32"/>
        <v>5</v>
      </c>
      <c r="T249" s="29">
        <v>40</v>
      </c>
      <c r="U249" s="47"/>
      <c r="V249" s="48">
        <f t="shared" si="33"/>
        <v>10</v>
      </c>
      <c r="W249" s="2"/>
    </row>
    <row r="250" spans="1:23" ht="15" customHeight="1">
      <c r="A250" s="49">
        <v>93</v>
      </c>
      <c r="B250" s="50" t="s">
        <v>19</v>
      </c>
      <c r="C250" s="50" t="s">
        <v>291</v>
      </c>
      <c r="D250" s="49">
        <v>10</v>
      </c>
      <c r="E250" s="49">
        <v>0</v>
      </c>
      <c r="F250" s="50">
        <f t="shared" si="34"/>
        <v>5</v>
      </c>
      <c r="G250" s="47" t="s">
        <v>578</v>
      </c>
      <c r="H250" s="46">
        <v>30</v>
      </c>
      <c r="I250" s="47"/>
      <c r="J250" s="48">
        <f t="shared" si="29"/>
        <v>25</v>
      </c>
      <c r="K250" s="46">
        <v>20</v>
      </c>
      <c r="L250" s="47"/>
      <c r="M250" s="48">
        <f t="shared" si="30"/>
        <v>15</v>
      </c>
      <c r="N250" s="46">
        <v>20</v>
      </c>
      <c r="O250" s="47"/>
      <c r="P250" s="48">
        <f t="shared" si="31"/>
        <v>15</v>
      </c>
      <c r="Q250" s="46">
        <v>25</v>
      </c>
      <c r="R250" s="47"/>
      <c r="S250" s="48">
        <f t="shared" si="32"/>
        <v>20</v>
      </c>
      <c r="T250" s="29">
        <v>20</v>
      </c>
      <c r="U250" s="47"/>
      <c r="V250" s="48">
        <f t="shared" si="33"/>
        <v>15</v>
      </c>
      <c r="W250" s="2"/>
    </row>
    <row r="251" spans="1:23" ht="15" customHeight="1">
      <c r="A251" s="43">
        <v>94</v>
      </c>
      <c r="B251" s="50" t="s">
        <v>19</v>
      </c>
      <c r="C251" s="50" t="s">
        <v>294</v>
      </c>
      <c r="D251" s="49">
        <v>30</v>
      </c>
      <c r="E251" s="49">
        <v>30</v>
      </c>
      <c r="F251" s="50">
        <f t="shared" si="34"/>
        <v>30</v>
      </c>
      <c r="G251" s="47" t="s">
        <v>579</v>
      </c>
      <c r="H251" s="46">
        <v>20</v>
      </c>
      <c r="I251" s="47"/>
      <c r="J251" s="48">
        <f t="shared" si="29"/>
        <v>10</v>
      </c>
      <c r="K251" s="46">
        <v>25</v>
      </c>
      <c r="L251" s="47"/>
      <c r="M251" s="48">
        <f t="shared" si="30"/>
        <v>5</v>
      </c>
      <c r="N251" s="46">
        <v>30</v>
      </c>
      <c r="O251" s="47"/>
      <c r="P251" s="48">
        <f t="shared" si="31"/>
        <v>0</v>
      </c>
      <c r="Q251" s="46">
        <v>30</v>
      </c>
      <c r="R251" s="47"/>
      <c r="S251" s="48">
        <f t="shared" si="32"/>
        <v>0</v>
      </c>
      <c r="T251" s="29">
        <v>40</v>
      </c>
      <c r="U251" s="47"/>
      <c r="V251" s="48">
        <f t="shared" si="33"/>
        <v>10</v>
      </c>
      <c r="W251" s="2"/>
    </row>
    <row r="252" spans="1:23" ht="15" customHeight="1">
      <c r="A252" s="49">
        <v>95</v>
      </c>
      <c r="B252" s="50" t="s">
        <v>19</v>
      </c>
      <c r="C252" s="49" t="s">
        <v>297</v>
      </c>
      <c r="D252" s="49">
        <v>12</v>
      </c>
      <c r="E252" s="49">
        <v>10</v>
      </c>
      <c r="F252" s="50">
        <f t="shared" si="34"/>
        <v>11</v>
      </c>
      <c r="G252" s="47" t="s">
        <v>580</v>
      </c>
      <c r="H252" s="46">
        <v>20</v>
      </c>
      <c r="I252" s="47"/>
      <c r="J252" s="48">
        <f t="shared" si="29"/>
        <v>9</v>
      </c>
      <c r="K252" s="46">
        <v>20</v>
      </c>
      <c r="L252" s="47"/>
      <c r="M252" s="48">
        <f t="shared" si="30"/>
        <v>9</v>
      </c>
      <c r="N252" s="46">
        <v>20</v>
      </c>
      <c r="O252" s="47"/>
      <c r="P252" s="48">
        <f t="shared" si="31"/>
        <v>9</v>
      </c>
      <c r="Q252" s="46">
        <v>20</v>
      </c>
      <c r="R252" s="47"/>
      <c r="S252" s="48">
        <f t="shared" si="32"/>
        <v>9</v>
      </c>
      <c r="T252" s="29">
        <v>20</v>
      </c>
      <c r="U252" s="47"/>
      <c r="V252" s="48">
        <f t="shared" si="33"/>
        <v>9</v>
      </c>
      <c r="W252" s="2"/>
    </row>
    <row r="253" spans="1:23" ht="15" customHeight="1">
      <c r="A253" s="49">
        <v>96</v>
      </c>
      <c r="B253" s="50" t="s">
        <v>19</v>
      </c>
      <c r="C253" s="49" t="s">
        <v>300</v>
      </c>
      <c r="D253" s="49">
        <v>20</v>
      </c>
      <c r="E253" s="49">
        <v>20</v>
      </c>
      <c r="F253" s="50">
        <f t="shared" si="34"/>
        <v>20</v>
      </c>
      <c r="G253" s="47" t="s">
        <v>581</v>
      </c>
      <c r="H253" s="46">
        <v>30</v>
      </c>
      <c r="I253" s="47"/>
      <c r="J253" s="48">
        <f t="shared" si="29"/>
        <v>10</v>
      </c>
      <c r="K253" s="46">
        <v>25</v>
      </c>
      <c r="L253" s="47"/>
      <c r="M253" s="48">
        <f t="shared" si="30"/>
        <v>5</v>
      </c>
      <c r="N253" s="46">
        <v>30</v>
      </c>
      <c r="O253" s="47"/>
      <c r="P253" s="48">
        <f t="shared" si="31"/>
        <v>10</v>
      </c>
      <c r="Q253" s="46">
        <v>25</v>
      </c>
      <c r="R253" s="47"/>
      <c r="S253" s="48">
        <f t="shared" si="32"/>
        <v>5</v>
      </c>
      <c r="T253" s="29">
        <v>40</v>
      </c>
      <c r="U253" s="47"/>
      <c r="V253" s="48">
        <f t="shared" si="33"/>
        <v>20</v>
      </c>
      <c r="W253" s="2"/>
    </row>
    <row r="254" spans="1:23" ht="15" customHeight="1">
      <c r="A254" s="51">
        <v>97</v>
      </c>
      <c r="B254" s="50" t="s">
        <v>19</v>
      </c>
      <c r="C254" s="50" t="s">
        <v>303</v>
      </c>
      <c r="D254" s="49">
        <v>10</v>
      </c>
      <c r="E254" s="49">
        <v>10</v>
      </c>
      <c r="F254" s="50">
        <f t="shared" si="34"/>
        <v>10</v>
      </c>
      <c r="G254" s="47" t="s">
        <v>582</v>
      </c>
      <c r="H254" s="46">
        <v>20</v>
      </c>
      <c r="I254" s="47"/>
      <c r="J254" s="48">
        <f t="shared" si="29"/>
        <v>10</v>
      </c>
      <c r="K254" s="46">
        <v>20</v>
      </c>
      <c r="L254" s="47"/>
      <c r="M254" s="48">
        <f t="shared" si="30"/>
        <v>10</v>
      </c>
      <c r="N254" s="46">
        <v>15</v>
      </c>
      <c r="O254" s="47"/>
      <c r="P254" s="48">
        <f t="shared" si="31"/>
        <v>5</v>
      </c>
      <c r="Q254" s="46">
        <v>25</v>
      </c>
      <c r="R254" s="47"/>
      <c r="S254" s="48">
        <f t="shared" si="32"/>
        <v>15</v>
      </c>
      <c r="T254" s="29">
        <v>20</v>
      </c>
      <c r="U254" s="47"/>
      <c r="V254" s="48">
        <f t="shared" si="33"/>
        <v>10</v>
      </c>
      <c r="W254" s="2"/>
    </row>
    <row r="255" spans="1:23" ht="15" customHeight="1">
      <c r="A255" s="49">
        <v>98</v>
      </c>
      <c r="B255" s="50" t="s">
        <v>19</v>
      </c>
      <c r="C255" s="50" t="s">
        <v>306</v>
      </c>
      <c r="D255" s="49">
        <v>35</v>
      </c>
      <c r="E255" s="49">
        <v>40</v>
      </c>
      <c r="F255" s="50">
        <f t="shared" si="34"/>
        <v>37.5</v>
      </c>
      <c r="G255" s="47" t="s">
        <v>583</v>
      </c>
      <c r="H255" s="46">
        <v>30</v>
      </c>
      <c r="I255" s="47"/>
      <c r="J255" s="48">
        <f t="shared" si="29"/>
        <v>7.5</v>
      </c>
      <c r="K255" s="46">
        <v>40</v>
      </c>
      <c r="L255" s="47"/>
      <c r="M255" s="48">
        <f t="shared" si="30"/>
        <v>2.5</v>
      </c>
      <c r="N255" s="46">
        <v>40</v>
      </c>
      <c r="O255" s="47"/>
      <c r="P255" s="48">
        <f t="shared" si="31"/>
        <v>2.5</v>
      </c>
      <c r="Q255" s="46">
        <v>35</v>
      </c>
      <c r="R255" s="47"/>
      <c r="S255" s="48">
        <f t="shared" si="32"/>
        <v>2.5</v>
      </c>
      <c r="T255" s="29">
        <v>40</v>
      </c>
      <c r="U255" s="47"/>
      <c r="V255" s="48">
        <f t="shared" si="33"/>
        <v>2.5</v>
      </c>
      <c r="W255" s="2"/>
    </row>
    <row r="256" spans="1:23" ht="15" customHeight="1">
      <c r="A256" s="49">
        <v>99</v>
      </c>
      <c r="B256" s="50" t="s">
        <v>19</v>
      </c>
      <c r="C256" s="50" t="s">
        <v>309</v>
      </c>
      <c r="D256" s="49">
        <v>30</v>
      </c>
      <c r="E256" s="49">
        <v>30</v>
      </c>
      <c r="F256" s="50">
        <f t="shared" si="34"/>
        <v>30</v>
      </c>
      <c r="G256" s="47" t="s">
        <v>584</v>
      </c>
      <c r="H256" s="46">
        <v>30</v>
      </c>
      <c r="I256" s="47"/>
      <c r="J256" s="48">
        <f t="shared" si="29"/>
        <v>0</v>
      </c>
      <c r="K256" s="46">
        <v>20</v>
      </c>
      <c r="L256" s="47"/>
      <c r="M256" s="48">
        <f t="shared" si="30"/>
        <v>10</v>
      </c>
      <c r="N256" s="46">
        <v>30</v>
      </c>
      <c r="O256" s="47"/>
      <c r="P256" s="48">
        <f t="shared" si="31"/>
        <v>0</v>
      </c>
      <c r="Q256" s="46">
        <v>25</v>
      </c>
      <c r="R256" s="47"/>
      <c r="S256" s="48">
        <f t="shared" si="32"/>
        <v>5</v>
      </c>
      <c r="T256" s="29">
        <v>30</v>
      </c>
      <c r="U256" s="47"/>
      <c r="V256" s="48">
        <f t="shared" si="33"/>
        <v>0</v>
      </c>
      <c r="W256" s="2"/>
    </row>
    <row r="257" spans="1:23" ht="15" customHeight="1">
      <c r="A257" s="43">
        <v>100</v>
      </c>
      <c r="B257" s="49" t="s">
        <v>19</v>
      </c>
      <c r="C257" s="50" t="s">
        <v>312</v>
      </c>
      <c r="D257" s="49">
        <v>20</v>
      </c>
      <c r="E257" s="49">
        <v>20</v>
      </c>
      <c r="F257" s="50">
        <f t="shared" si="34"/>
        <v>20</v>
      </c>
      <c r="G257" s="47" t="s">
        <v>585</v>
      </c>
      <c r="H257" s="46">
        <v>30</v>
      </c>
      <c r="I257" s="47"/>
      <c r="J257" s="48">
        <f t="shared" si="29"/>
        <v>10</v>
      </c>
      <c r="K257" s="46">
        <v>25</v>
      </c>
      <c r="L257" s="47"/>
      <c r="M257" s="48">
        <f t="shared" si="30"/>
        <v>5</v>
      </c>
      <c r="N257" s="46">
        <v>20</v>
      </c>
      <c r="O257" s="47"/>
      <c r="P257" s="48">
        <f t="shared" si="31"/>
        <v>0</v>
      </c>
      <c r="Q257" s="46">
        <v>35</v>
      </c>
      <c r="R257" s="47"/>
      <c r="S257" s="48">
        <f t="shared" si="32"/>
        <v>15</v>
      </c>
      <c r="T257" s="29">
        <v>20</v>
      </c>
      <c r="U257" s="47"/>
      <c r="V257" s="48">
        <f t="shared" si="33"/>
        <v>0</v>
      </c>
      <c r="W257" s="2"/>
    </row>
    <row r="258" spans="1:23" ht="15" customHeight="1">
      <c r="A258" s="49">
        <v>101</v>
      </c>
      <c r="B258" s="50" t="s">
        <v>19</v>
      </c>
      <c r="C258" s="50" t="s">
        <v>315</v>
      </c>
      <c r="D258" s="49">
        <v>10</v>
      </c>
      <c r="E258" s="49">
        <v>7</v>
      </c>
      <c r="F258" s="50">
        <f t="shared" si="34"/>
        <v>8.5</v>
      </c>
      <c r="G258" s="47" t="s">
        <v>586</v>
      </c>
      <c r="H258" s="46">
        <v>20</v>
      </c>
      <c r="I258" s="47"/>
      <c r="J258" s="48">
        <f t="shared" si="29"/>
        <v>11.5</v>
      </c>
      <c r="K258" s="46">
        <v>15</v>
      </c>
      <c r="L258" s="47"/>
      <c r="M258" s="48">
        <f t="shared" si="30"/>
        <v>6.5</v>
      </c>
      <c r="N258" s="46">
        <v>10</v>
      </c>
      <c r="O258" s="47"/>
      <c r="P258" s="48">
        <f t="shared" si="31"/>
        <v>1.5</v>
      </c>
      <c r="Q258" s="46">
        <v>25</v>
      </c>
      <c r="R258" s="47"/>
      <c r="S258" s="48">
        <f t="shared" si="32"/>
        <v>16.5</v>
      </c>
      <c r="T258" s="29">
        <v>20</v>
      </c>
      <c r="U258" s="47"/>
      <c r="V258" s="48">
        <f t="shared" si="33"/>
        <v>11.5</v>
      </c>
      <c r="W258" s="2"/>
    </row>
    <row r="259" spans="1:23" ht="15" customHeight="1">
      <c r="A259" s="49">
        <v>102</v>
      </c>
      <c r="B259" s="50" t="s">
        <v>19</v>
      </c>
      <c r="C259" s="49" t="s">
        <v>318</v>
      </c>
      <c r="D259" s="49">
        <v>20</v>
      </c>
      <c r="E259" s="49">
        <v>20</v>
      </c>
      <c r="F259" s="50">
        <f t="shared" si="34"/>
        <v>20</v>
      </c>
      <c r="G259" s="47" t="s">
        <v>587</v>
      </c>
      <c r="H259" s="46">
        <v>30</v>
      </c>
      <c r="I259" s="47"/>
      <c r="J259" s="48">
        <f t="shared" si="29"/>
        <v>10</v>
      </c>
      <c r="K259" s="46">
        <v>25</v>
      </c>
      <c r="L259" s="47"/>
      <c r="M259" s="48">
        <f t="shared" si="30"/>
        <v>5</v>
      </c>
      <c r="N259" s="46">
        <v>30</v>
      </c>
      <c r="O259" s="47"/>
      <c r="P259" s="48">
        <f t="shared" si="31"/>
        <v>10</v>
      </c>
      <c r="Q259" s="46">
        <v>25</v>
      </c>
      <c r="R259" s="47"/>
      <c r="S259" s="48">
        <f t="shared" si="32"/>
        <v>5</v>
      </c>
      <c r="T259" s="29">
        <v>35</v>
      </c>
      <c r="U259" s="47"/>
      <c r="V259" s="48">
        <f t="shared" si="33"/>
        <v>15</v>
      </c>
      <c r="W259" s="2"/>
    </row>
    <row r="260" spans="1:23" ht="15" customHeight="1">
      <c r="A260" s="51">
        <v>103</v>
      </c>
      <c r="B260" s="50" t="s">
        <v>19</v>
      </c>
      <c r="C260" s="50" t="s">
        <v>321</v>
      </c>
      <c r="D260" s="49">
        <v>30</v>
      </c>
      <c r="E260" s="49">
        <v>40</v>
      </c>
      <c r="F260" s="50">
        <f t="shared" si="34"/>
        <v>35</v>
      </c>
      <c r="G260" s="47" t="s">
        <v>588</v>
      </c>
      <c r="H260" s="46">
        <v>20</v>
      </c>
      <c r="I260" s="47"/>
      <c r="J260" s="48">
        <f t="shared" si="29"/>
        <v>15</v>
      </c>
      <c r="K260" s="46">
        <v>30</v>
      </c>
      <c r="L260" s="47"/>
      <c r="M260" s="48">
        <f t="shared" si="30"/>
        <v>5</v>
      </c>
      <c r="N260" s="46">
        <v>25</v>
      </c>
      <c r="O260" s="47"/>
      <c r="P260" s="48">
        <f t="shared" si="31"/>
        <v>10</v>
      </c>
      <c r="Q260" s="46">
        <v>30</v>
      </c>
      <c r="R260" s="47"/>
      <c r="S260" s="48">
        <f t="shared" si="32"/>
        <v>5</v>
      </c>
      <c r="T260" s="29">
        <v>20</v>
      </c>
      <c r="U260" s="47"/>
      <c r="V260" s="48">
        <f t="shared" si="33"/>
        <v>15</v>
      </c>
      <c r="W260" s="2"/>
    </row>
    <row r="261" spans="1:23" ht="15" customHeight="1">
      <c r="A261" s="49">
        <v>104</v>
      </c>
      <c r="B261" s="50" t="s">
        <v>19</v>
      </c>
      <c r="C261" s="50" t="s">
        <v>324</v>
      </c>
      <c r="D261" s="49">
        <v>40</v>
      </c>
      <c r="E261" s="49">
        <v>40</v>
      </c>
      <c r="F261" s="50">
        <f t="shared" si="34"/>
        <v>40</v>
      </c>
      <c r="G261" s="47" t="s">
        <v>589</v>
      </c>
      <c r="H261" s="46">
        <v>30</v>
      </c>
      <c r="I261" s="47"/>
      <c r="J261" s="48">
        <f t="shared" si="29"/>
        <v>10</v>
      </c>
      <c r="K261" s="46">
        <v>30</v>
      </c>
      <c r="L261" s="47"/>
      <c r="M261" s="48">
        <f t="shared" si="30"/>
        <v>10</v>
      </c>
      <c r="N261" s="46">
        <v>40</v>
      </c>
      <c r="O261" s="47"/>
      <c r="P261" s="48">
        <f t="shared" si="31"/>
        <v>0</v>
      </c>
      <c r="Q261" s="46">
        <v>25</v>
      </c>
      <c r="R261" s="47"/>
      <c r="S261" s="48">
        <f t="shared" si="32"/>
        <v>15</v>
      </c>
      <c r="T261" s="29">
        <v>20</v>
      </c>
      <c r="U261" s="47"/>
      <c r="V261" s="48">
        <f t="shared" si="33"/>
        <v>20</v>
      </c>
      <c r="W261" s="2"/>
    </row>
    <row r="262" spans="1:23" ht="15" customHeight="1">
      <c r="A262" s="49">
        <v>105</v>
      </c>
      <c r="B262" s="50" t="s">
        <v>19</v>
      </c>
      <c r="C262" s="49" t="s">
        <v>327</v>
      </c>
      <c r="D262" s="49">
        <v>25</v>
      </c>
      <c r="E262" s="49">
        <v>27</v>
      </c>
      <c r="F262" s="50">
        <f t="shared" si="34"/>
        <v>26</v>
      </c>
      <c r="G262" s="47" t="s">
        <v>590</v>
      </c>
      <c r="H262" s="46">
        <v>20</v>
      </c>
      <c r="I262" s="47"/>
      <c r="J262" s="48">
        <f t="shared" si="29"/>
        <v>6</v>
      </c>
      <c r="K262" s="46">
        <v>30</v>
      </c>
      <c r="L262" s="47"/>
      <c r="M262" s="48">
        <f t="shared" si="30"/>
        <v>4</v>
      </c>
      <c r="N262" s="46">
        <v>30</v>
      </c>
      <c r="O262" s="47"/>
      <c r="P262" s="48">
        <f t="shared" si="31"/>
        <v>4</v>
      </c>
      <c r="Q262" s="46">
        <v>30</v>
      </c>
      <c r="R262" s="47"/>
      <c r="S262" s="48">
        <f t="shared" si="32"/>
        <v>4</v>
      </c>
      <c r="T262" s="29">
        <v>40</v>
      </c>
      <c r="U262" s="47"/>
      <c r="V262" s="48">
        <f t="shared" si="33"/>
        <v>14</v>
      </c>
      <c r="W262" s="2"/>
    </row>
    <row r="263" spans="1:23" ht="15" customHeight="1">
      <c r="A263" s="43">
        <v>106</v>
      </c>
      <c r="B263" s="50" t="s">
        <v>19</v>
      </c>
      <c r="C263" s="50" t="s">
        <v>330</v>
      </c>
      <c r="D263" s="49">
        <v>40</v>
      </c>
      <c r="E263" s="49">
        <v>35</v>
      </c>
      <c r="F263" s="50">
        <f t="shared" si="34"/>
        <v>37.5</v>
      </c>
      <c r="G263" s="47" t="s">
        <v>591</v>
      </c>
      <c r="H263" s="46">
        <v>30</v>
      </c>
      <c r="I263" s="47"/>
      <c r="J263" s="48">
        <f t="shared" si="29"/>
        <v>7.5</v>
      </c>
      <c r="K263" s="46">
        <v>30</v>
      </c>
      <c r="L263" s="47"/>
      <c r="M263" s="48">
        <f t="shared" si="30"/>
        <v>7.5</v>
      </c>
      <c r="N263" s="46">
        <v>30</v>
      </c>
      <c r="O263" s="47"/>
      <c r="P263" s="48">
        <f t="shared" si="31"/>
        <v>7.5</v>
      </c>
      <c r="Q263" s="46">
        <v>25</v>
      </c>
      <c r="R263" s="47"/>
      <c r="S263" s="48">
        <f t="shared" si="32"/>
        <v>12.5</v>
      </c>
      <c r="T263" s="29">
        <v>35</v>
      </c>
      <c r="U263" s="47"/>
      <c r="V263" s="48">
        <f t="shared" si="33"/>
        <v>2.5</v>
      </c>
      <c r="W263" s="2"/>
    </row>
    <row r="264" spans="1:23" ht="15" customHeight="1">
      <c r="A264" s="49">
        <v>107</v>
      </c>
      <c r="B264" s="50" t="s">
        <v>19</v>
      </c>
      <c r="C264" s="50" t="s">
        <v>333</v>
      </c>
      <c r="D264" s="49">
        <v>10</v>
      </c>
      <c r="E264" s="49">
        <v>25</v>
      </c>
      <c r="F264" s="50">
        <f t="shared" si="34"/>
        <v>17.5</v>
      </c>
      <c r="G264" s="47" t="s">
        <v>592</v>
      </c>
      <c r="H264" s="46">
        <v>30</v>
      </c>
      <c r="I264" s="47"/>
      <c r="J264" s="48">
        <f t="shared" si="29"/>
        <v>12.5</v>
      </c>
      <c r="K264" s="46">
        <v>35</v>
      </c>
      <c r="L264" s="47"/>
      <c r="M264" s="48">
        <f t="shared" si="30"/>
        <v>17.5</v>
      </c>
      <c r="N264" s="46">
        <v>35</v>
      </c>
      <c r="O264" s="47"/>
      <c r="P264" s="48">
        <f t="shared" si="31"/>
        <v>17.5</v>
      </c>
      <c r="Q264" s="46">
        <v>35</v>
      </c>
      <c r="R264" s="47"/>
      <c r="S264" s="48">
        <f t="shared" si="32"/>
        <v>17.5</v>
      </c>
      <c r="T264" s="29">
        <v>40</v>
      </c>
      <c r="U264" s="47"/>
      <c r="V264" s="48">
        <f t="shared" si="33"/>
        <v>22.5</v>
      </c>
      <c r="W264" s="2"/>
    </row>
    <row r="265" spans="1:23" ht="15" customHeight="1">
      <c r="A265" s="49">
        <v>108</v>
      </c>
      <c r="B265" s="50" t="s">
        <v>19</v>
      </c>
      <c r="C265" s="49" t="s">
        <v>336</v>
      </c>
      <c r="D265" s="49">
        <v>25</v>
      </c>
      <c r="E265" s="49">
        <v>25</v>
      </c>
      <c r="F265" s="50">
        <f t="shared" si="34"/>
        <v>25</v>
      </c>
      <c r="G265" s="47" t="s">
        <v>593</v>
      </c>
      <c r="H265" s="46">
        <v>30</v>
      </c>
      <c r="I265" s="47"/>
      <c r="J265" s="48">
        <f t="shared" si="29"/>
        <v>5</v>
      </c>
      <c r="K265" s="46">
        <v>40</v>
      </c>
      <c r="L265" s="47"/>
      <c r="M265" s="48">
        <f t="shared" si="30"/>
        <v>15</v>
      </c>
      <c r="N265" s="46">
        <v>30</v>
      </c>
      <c r="O265" s="47"/>
      <c r="P265" s="48">
        <f t="shared" si="31"/>
        <v>5</v>
      </c>
      <c r="Q265" s="46">
        <v>25</v>
      </c>
      <c r="R265" s="47"/>
      <c r="S265" s="48">
        <f t="shared" si="32"/>
        <v>0</v>
      </c>
      <c r="T265" s="29">
        <v>30</v>
      </c>
      <c r="U265" s="47"/>
      <c r="V265" s="48">
        <f t="shared" si="33"/>
        <v>5</v>
      </c>
      <c r="W265" s="2"/>
    </row>
    <row r="266" spans="1:23" ht="15" customHeight="1">
      <c r="A266" s="51">
        <v>109</v>
      </c>
      <c r="B266" s="50" t="s">
        <v>19</v>
      </c>
      <c r="C266" s="50" t="s">
        <v>339</v>
      </c>
      <c r="D266" s="49">
        <v>35</v>
      </c>
      <c r="E266" s="49">
        <v>35</v>
      </c>
      <c r="F266" s="50">
        <f t="shared" si="34"/>
        <v>35</v>
      </c>
      <c r="G266" s="47" t="s">
        <v>594</v>
      </c>
      <c r="H266" s="46">
        <v>30</v>
      </c>
      <c r="I266" s="47"/>
      <c r="J266" s="48">
        <f t="shared" si="29"/>
        <v>5</v>
      </c>
      <c r="K266" s="46">
        <v>25</v>
      </c>
      <c r="L266" s="47"/>
      <c r="M266" s="48">
        <f t="shared" si="30"/>
        <v>10</v>
      </c>
      <c r="N266" s="46">
        <v>30</v>
      </c>
      <c r="O266" s="47"/>
      <c r="P266" s="48">
        <f t="shared" si="31"/>
        <v>5</v>
      </c>
      <c r="Q266" s="46">
        <v>25</v>
      </c>
      <c r="R266" s="47"/>
      <c r="S266" s="48">
        <f t="shared" si="32"/>
        <v>10</v>
      </c>
      <c r="T266" s="29">
        <v>20</v>
      </c>
      <c r="U266" s="47"/>
      <c r="V266" s="48">
        <f t="shared" si="33"/>
        <v>15</v>
      </c>
      <c r="W266" s="2"/>
    </row>
    <row r="267" spans="1:23" ht="15" customHeight="1">
      <c r="A267" s="49">
        <v>110</v>
      </c>
      <c r="B267" s="50" t="s">
        <v>19</v>
      </c>
      <c r="C267" s="50" t="s">
        <v>342</v>
      </c>
      <c r="D267" s="49">
        <v>30</v>
      </c>
      <c r="E267" s="49">
        <v>35</v>
      </c>
      <c r="F267" s="50">
        <f t="shared" si="34"/>
        <v>32.5</v>
      </c>
      <c r="G267" s="47" t="s">
        <v>595</v>
      </c>
      <c r="H267" s="46">
        <v>30</v>
      </c>
      <c r="I267" s="47"/>
      <c r="J267" s="48">
        <f t="shared" si="29"/>
        <v>2.5</v>
      </c>
      <c r="K267" s="46">
        <v>35</v>
      </c>
      <c r="L267" s="47"/>
      <c r="M267" s="48">
        <f t="shared" si="30"/>
        <v>2.5</v>
      </c>
      <c r="N267" s="46">
        <v>40</v>
      </c>
      <c r="O267" s="47"/>
      <c r="P267" s="48">
        <f t="shared" si="31"/>
        <v>7.5</v>
      </c>
      <c r="Q267" s="46">
        <v>35</v>
      </c>
      <c r="R267" s="47"/>
      <c r="S267" s="48">
        <f t="shared" si="32"/>
        <v>2.5</v>
      </c>
      <c r="T267" s="29">
        <v>40</v>
      </c>
      <c r="U267" s="47"/>
      <c r="V267" s="48">
        <f t="shared" si="33"/>
        <v>7.5</v>
      </c>
      <c r="W267" s="2"/>
    </row>
    <row r="268" spans="1:23" ht="15" customHeight="1">
      <c r="A268" s="49">
        <v>111</v>
      </c>
      <c r="B268" s="50" t="s">
        <v>19</v>
      </c>
      <c r="C268" s="50" t="s">
        <v>345</v>
      </c>
      <c r="D268" s="49">
        <v>10</v>
      </c>
      <c r="E268" s="49">
        <v>5</v>
      </c>
      <c r="F268" s="50">
        <f t="shared" si="34"/>
        <v>7.5</v>
      </c>
      <c r="G268" s="47" t="s">
        <v>596</v>
      </c>
      <c r="H268" s="46">
        <v>10</v>
      </c>
      <c r="I268" s="47"/>
      <c r="J268" s="48">
        <f t="shared" si="29"/>
        <v>2.5</v>
      </c>
      <c r="K268" s="46">
        <v>10</v>
      </c>
      <c r="L268" s="47"/>
      <c r="M268" s="48">
        <f t="shared" si="30"/>
        <v>2.5</v>
      </c>
      <c r="N268" s="46">
        <v>10</v>
      </c>
      <c r="O268" s="47"/>
      <c r="P268" s="48">
        <f t="shared" si="31"/>
        <v>2.5</v>
      </c>
      <c r="Q268" s="46">
        <v>15</v>
      </c>
      <c r="R268" s="47"/>
      <c r="S268" s="48">
        <f t="shared" si="32"/>
        <v>7.5</v>
      </c>
      <c r="T268" s="29">
        <v>20</v>
      </c>
      <c r="U268" s="47"/>
      <c r="V268" s="48">
        <f t="shared" si="33"/>
        <v>12.5</v>
      </c>
      <c r="W268" s="2"/>
    </row>
    <row r="269" spans="1:23" ht="15" customHeight="1">
      <c r="A269" s="43">
        <v>112</v>
      </c>
      <c r="B269" s="50" t="s">
        <v>19</v>
      </c>
      <c r="C269" s="49" t="s">
        <v>348</v>
      </c>
      <c r="D269" s="49">
        <v>12</v>
      </c>
      <c r="E269" s="49">
        <v>10</v>
      </c>
      <c r="F269" s="50">
        <f t="shared" si="34"/>
        <v>11</v>
      </c>
      <c r="G269" s="47" t="s">
        <v>597</v>
      </c>
      <c r="H269" s="46">
        <v>25</v>
      </c>
      <c r="I269" s="47"/>
      <c r="J269" s="48">
        <f t="shared" si="29"/>
        <v>14</v>
      </c>
      <c r="K269" s="46">
        <v>30</v>
      </c>
      <c r="L269" s="47"/>
      <c r="M269" s="48">
        <f t="shared" si="30"/>
        <v>19</v>
      </c>
      <c r="N269" s="46">
        <v>25</v>
      </c>
      <c r="O269" s="47"/>
      <c r="P269" s="48">
        <f t="shared" si="31"/>
        <v>14</v>
      </c>
      <c r="Q269" s="46">
        <v>30</v>
      </c>
      <c r="R269" s="47"/>
      <c r="S269" s="48">
        <f t="shared" si="32"/>
        <v>19</v>
      </c>
      <c r="T269" s="29">
        <v>30</v>
      </c>
      <c r="U269" s="47"/>
      <c r="V269" s="48">
        <f t="shared" si="33"/>
        <v>19</v>
      </c>
      <c r="W269" s="2"/>
    </row>
    <row r="270" spans="1:23" ht="15" customHeight="1">
      <c r="A270" s="49">
        <v>113</v>
      </c>
      <c r="B270" s="50" t="s">
        <v>19</v>
      </c>
      <c r="C270" s="49" t="s">
        <v>351</v>
      </c>
      <c r="D270" s="49">
        <v>25</v>
      </c>
      <c r="E270" s="49">
        <v>20</v>
      </c>
      <c r="F270" s="50">
        <f t="shared" si="34"/>
        <v>22.5</v>
      </c>
      <c r="G270" s="47" t="s">
        <v>598</v>
      </c>
      <c r="H270" s="46">
        <v>20</v>
      </c>
      <c r="I270" s="47"/>
      <c r="J270" s="48">
        <f t="shared" si="29"/>
        <v>2.5</v>
      </c>
      <c r="K270" s="46">
        <v>30</v>
      </c>
      <c r="L270" s="47"/>
      <c r="M270" s="48">
        <f t="shared" si="30"/>
        <v>7.5</v>
      </c>
      <c r="N270" s="46">
        <v>30</v>
      </c>
      <c r="O270" s="47"/>
      <c r="P270" s="48">
        <f t="shared" si="31"/>
        <v>7.5</v>
      </c>
      <c r="Q270" s="46">
        <v>30</v>
      </c>
      <c r="R270" s="47"/>
      <c r="S270" s="48">
        <f t="shared" si="32"/>
        <v>7.5</v>
      </c>
      <c r="T270" s="29">
        <v>20</v>
      </c>
      <c r="U270" s="47"/>
      <c r="V270" s="48">
        <f t="shared" si="33"/>
        <v>2.5</v>
      </c>
      <c r="W270" s="2"/>
    </row>
    <row r="271" spans="1:23" ht="15" customHeight="1">
      <c r="A271" s="49">
        <v>114</v>
      </c>
      <c r="B271" s="50" t="s">
        <v>19</v>
      </c>
      <c r="C271" s="50" t="s">
        <v>354</v>
      </c>
      <c r="D271" s="49">
        <v>10</v>
      </c>
      <c r="E271" s="49">
        <v>20</v>
      </c>
      <c r="F271" s="50">
        <f t="shared" si="34"/>
        <v>15</v>
      </c>
      <c r="G271" s="47" t="s">
        <v>599</v>
      </c>
      <c r="H271" s="46">
        <v>30</v>
      </c>
      <c r="I271" s="47"/>
      <c r="J271" s="48">
        <f t="shared" si="29"/>
        <v>15</v>
      </c>
      <c r="K271" s="46">
        <v>30</v>
      </c>
      <c r="L271" s="47"/>
      <c r="M271" s="48">
        <f t="shared" si="30"/>
        <v>15</v>
      </c>
      <c r="N271" s="46">
        <v>30</v>
      </c>
      <c r="O271" s="47"/>
      <c r="P271" s="48">
        <f t="shared" si="31"/>
        <v>15</v>
      </c>
      <c r="Q271" s="46">
        <v>35</v>
      </c>
      <c r="R271" s="47"/>
      <c r="S271" s="48">
        <f t="shared" si="32"/>
        <v>20</v>
      </c>
      <c r="T271" s="29">
        <v>30</v>
      </c>
      <c r="U271" s="47"/>
      <c r="V271" s="48">
        <f t="shared" si="33"/>
        <v>15</v>
      </c>
      <c r="W271" s="2"/>
    </row>
    <row r="272" spans="1:23" ht="15" customHeight="1">
      <c r="A272" s="51">
        <v>115</v>
      </c>
      <c r="B272" s="50" t="s">
        <v>19</v>
      </c>
      <c r="C272" s="50" t="s">
        <v>357</v>
      </c>
      <c r="D272" s="49">
        <v>30</v>
      </c>
      <c r="E272" s="49">
        <v>35</v>
      </c>
      <c r="F272" s="50">
        <f t="shared" si="34"/>
        <v>32.5</v>
      </c>
      <c r="G272" s="47" t="s">
        <v>600</v>
      </c>
      <c r="H272" s="46">
        <v>30</v>
      </c>
      <c r="I272" s="47"/>
      <c r="J272" s="48">
        <f t="shared" si="29"/>
        <v>2.5</v>
      </c>
      <c r="K272" s="46">
        <v>25</v>
      </c>
      <c r="L272" s="47"/>
      <c r="M272" s="48">
        <f t="shared" si="30"/>
        <v>7.5</v>
      </c>
      <c r="N272" s="46">
        <v>25</v>
      </c>
      <c r="O272" s="47"/>
      <c r="P272" s="48">
        <f t="shared" si="31"/>
        <v>7.5</v>
      </c>
      <c r="Q272" s="46">
        <v>30</v>
      </c>
      <c r="R272" s="47"/>
      <c r="S272" s="48">
        <f t="shared" si="32"/>
        <v>2.5</v>
      </c>
      <c r="T272" s="29">
        <v>20</v>
      </c>
      <c r="U272" s="47"/>
      <c r="V272" s="48">
        <f t="shared" si="33"/>
        <v>12.5</v>
      </c>
      <c r="W272" s="2"/>
    </row>
    <row r="273" spans="1:23" ht="15" customHeight="1">
      <c r="A273" s="49">
        <v>116</v>
      </c>
      <c r="B273" s="50" t="s">
        <v>19</v>
      </c>
      <c r="C273" s="50" t="s">
        <v>360</v>
      </c>
      <c r="D273" s="49">
        <v>20</v>
      </c>
      <c r="E273" s="49">
        <v>20</v>
      </c>
      <c r="F273" s="50">
        <f t="shared" si="34"/>
        <v>20</v>
      </c>
      <c r="G273" s="47" t="s">
        <v>601</v>
      </c>
      <c r="H273" s="46">
        <v>30</v>
      </c>
      <c r="I273" s="47"/>
      <c r="J273" s="48">
        <f t="shared" si="29"/>
        <v>10</v>
      </c>
      <c r="K273" s="46">
        <v>25</v>
      </c>
      <c r="L273" s="47"/>
      <c r="M273" s="48">
        <f t="shared" si="30"/>
        <v>5</v>
      </c>
      <c r="N273" s="46">
        <v>25</v>
      </c>
      <c r="O273" s="47"/>
      <c r="P273" s="48">
        <f t="shared" si="31"/>
        <v>5</v>
      </c>
      <c r="Q273" s="46">
        <v>30</v>
      </c>
      <c r="R273" s="47"/>
      <c r="S273" s="48">
        <f t="shared" si="32"/>
        <v>10</v>
      </c>
      <c r="T273" s="29">
        <v>30</v>
      </c>
      <c r="U273" s="47"/>
      <c r="V273" s="48">
        <f t="shared" si="33"/>
        <v>10</v>
      </c>
      <c r="W273" s="2"/>
    </row>
    <row r="274" spans="1:23" ht="15" customHeight="1">
      <c r="A274" s="49">
        <v>117</v>
      </c>
      <c r="B274" s="50" t="s">
        <v>19</v>
      </c>
      <c r="C274" s="50" t="s">
        <v>363</v>
      </c>
      <c r="D274" s="49">
        <v>10</v>
      </c>
      <c r="E274" s="49">
        <v>10</v>
      </c>
      <c r="F274" s="50">
        <f t="shared" si="34"/>
        <v>10</v>
      </c>
      <c r="G274" s="47" t="s">
        <v>602</v>
      </c>
      <c r="H274" s="46">
        <v>30</v>
      </c>
      <c r="I274" s="47"/>
      <c r="J274" s="48">
        <f t="shared" si="29"/>
        <v>20</v>
      </c>
      <c r="K274" s="46">
        <v>25</v>
      </c>
      <c r="L274" s="47"/>
      <c r="M274" s="48">
        <f t="shared" si="30"/>
        <v>15</v>
      </c>
      <c r="N274" s="46">
        <v>30</v>
      </c>
      <c r="O274" s="47"/>
      <c r="P274" s="48">
        <f t="shared" si="31"/>
        <v>20</v>
      </c>
      <c r="Q274" s="46">
        <v>25</v>
      </c>
      <c r="R274" s="47"/>
      <c r="S274" s="48">
        <f t="shared" si="32"/>
        <v>15</v>
      </c>
      <c r="T274" s="29">
        <v>35</v>
      </c>
      <c r="U274" s="47"/>
      <c r="V274" s="48">
        <f t="shared" si="33"/>
        <v>25</v>
      </c>
      <c r="W274" s="2"/>
    </row>
    <row r="275" spans="1:23" ht="15" customHeight="1">
      <c r="A275" s="43">
        <v>118</v>
      </c>
      <c r="B275" s="50" t="s">
        <v>19</v>
      </c>
      <c r="C275" s="50" t="s">
        <v>366</v>
      </c>
      <c r="D275" s="49">
        <v>40</v>
      </c>
      <c r="E275" s="49">
        <v>40</v>
      </c>
      <c r="F275" s="50">
        <f t="shared" si="34"/>
        <v>40</v>
      </c>
      <c r="G275" s="47" t="s">
        <v>603</v>
      </c>
      <c r="H275" s="46">
        <v>30</v>
      </c>
      <c r="I275" s="47"/>
      <c r="J275" s="48">
        <f t="shared" si="29"/>
        <v>10</v>
      </c>
      <c r="K275" s="46">
        <v>35</v>
      </c>
      <c r="L275" s="47"/>
      <c r="M275" s="48">
        <f t="shared" si="30"/>
        <v>5</v>
      </c>
      <c r="N275" s="46">
        <v>30</v>
      </c>
      <c r="O275" s="47"/>
      <c r="P275" s="48">
        <f t="shared" si="31"/>
        <v>10</v>
      </c>
      <c r="Q275" s="46">
        <v>35</v>
      </c>
      <c r="R275" s="47"/>
      <c r="S275" s="48">
        <f t="shared" si="32"/>
        <v>5</v>
      </c>
      <c r="T275" s="29">
        <v>40</v>
      </c>
      <c r="U275" s="47"/>
      <c r="V275" s="48">
        <f t="shared" si="33"/>
        <v>0</v>
      </c>
      <c r="W275" s="2"/>
    </row>
    <row r="276" spans="1:23" ht="15" customHeight="1">
      <c r="A276" s="49">
        <v>119</v>
      </c>
      <c r="B276" s="49" t="s">
        <v>19</v>
      </c>
      <c r="C276" s="49" t="s">
        <v>369</v>
      </c>
      <c r="D276" s="49">
        <v>20</v>
      </c>
      <c r="E276" s="49">
        <v>20</v>
      </c>
      <c r="F276" s="50">
        <f t="shared" si="34"/>
        <v>20</v>
      </c>
      <c r="G276" s="47" t="s">
        <v>604</v>
      </c>
      <c r="H276" s="46">
        <v>20</v>
      </c>
      <c r="I276" s="47"/>
      <c r="J276" s="48">
        <f t="shared" si="29"/>
        <v>0</v>
      </c>
      <c r="K276" s="46">
        <v>30</v>
      </c>
      <c r="L276" s="47"/>
      <c r="M276" s="48">
        <f t="shared" si="30"/>
        <v>10</v>
      </c>
      <c r="N276" s="46">
        <v>20</v>
      </c>
      <c r="O276" s="47"/>
      <c r="P276" s="48">
        <f t="shared" si="31"/>
        <v>0</v>
      </c>
      <c r="Q276" s="46">
        <v>30</v>
      </c>
      <c r="R276" s="47"/>
      <c r="S276" s="48">
        <f t="shared" si="32"/>
        <v>10</v>
      </c>
      <c r="T276" s="29">
        <v>20</v>
      </c>
      <c r="U276" s="47"/>
      <c r="V276" s="48">
        <f t="shared" si="33"/>
        <v>0</v>
      </c>
      <c r="W276" s="2"/>
    </row>
    <row r="277" spans="1:23" ht="15" customHeight="1">
      <c r="A277" s="49">
        <v>120</v>
      </c>
      <c r="B277" s="50" t="s">
        <v>19</v>
      </c>
      <c r="C277" s="49" t="s">
        <v>372</v>
      </c>
      <c r="D277" s="49">
        <v>20</v>
      </c>
      <c r="E277" s="49">
        <v>22</v>
      </c>
      <c r="F277" s="50">
        <f t="shared" si="34"/>
        <v>21</v>
      </c>
      <c r="G277" s="47" t="s">
        <v>605</v>
      </c>
      <c r="H277" s="46">
        <v>20</v>
      </c>
      <c r="I277" s="47"/>
      <c r="J277" s="48">
        <f t="shared" si="29"/>
        <v>1</v>
      </c>
      <c r="K277" s="46">
        <v>20</v>
      </c>
      <c r="L277" s="47"/>
      <c r="M277" s="48">
        <f t="shared" si="30"/>
        <v>1</v>
      </c>
      <c r="N277" s="46">
        <v>20</v>
      </c>
      <c r="O277" s="47"/>
      <c r="P277" s="48">
        <f t="shared" si="31"/>
        <v>1</v>
      </c>
      <c r="Q277" s="46">
        <v>25</v>
      </c>
      <c r="R277" s="47"/>
      <c r="S277" s="48">
        <f t="shared" si="32"/>
        <v>4</v>
      </c>
      <c r="T277" s="29">
        <v>20</v>
      </c>
      <c r="U277" s="47"/>
      <c r="V277" s="48">
        <f t="shared" si="33"/>
        <v>1</v>
      </c>
      <c r="W277" s="2"/>
    </row>
    <row r="278" spans="1:23" ht="15" customHeight="1">
      <c r="A278" s="51">
        <v>121</v>
      </c>
      <c r="B278" s="50" t="s">
        <v>19</v>
      </c>
      <c r="C278" s="50" t="s">
        <v>375</v>
      </c>
      <c r="D278" s="49">
        <v>20</v>
      </c>
      <c r="E278" s="49">
        <v>20</v>
      </c>
      <c r="F278" s="50">
        <f t="shared" si="34"/>
        <v>20</v>
      </c>
      <c r="G278" s="47" t="s">
        <v>606</v>
      </c>
      <c r="H278" s="46">
        <v>20</v>
      </c>
      <c r="I278" s="47"/>
      <c r="J278" s="48">
        <f t="shared" si="29"/>
        <v>0</v>
      </c>
      <c r="K278" s="46">
        <v>20</v>
      </c>
      <c r="L278" s="47"/>
      <c r="M278" s="48">
        <f t="shared" si="30"/>
        <v>0</v>
      </c>
      <c r="N278" s="46">
        <v>10</v>
      </c>
      <c r="O278" s="47"/>
      <c r="P278" s="48">
        <f t="shared" si="31"/>
        <v>10</v>
      </c>
      <c r="Q278" s="46">
        <v>25</v>
      </c>
      <c r="R278" s="47"/>
      <c r="S278" s="48">
        <f t="shared" si="32"/>
        <v>5</v>
      </c>
      <c r="T278" s="29">
        <v>20</v>
      </c>
      <c r="U278" s="47"/>
      <c r="V278" s="48">
        <f t="shared" si="33"/>
        <v>0</v>
      </c>
      <c r="W278" s="2"/>
    </row>
    <row r="279" spans="1:23" ht="15" customHeight="1">
      <c r="A279" s="49">
        <v>122</v>
      </c>
      <c r="B279" s="50" t="s">
        <v>19</v>
      </c>
      <c r="C279" s="50" t="s">
        <v>378</v>
      </c>
      <c r="D279" s="49">
        <v>25</v>
      </c>
      <c r="E279" s="49">
        <v>40</v>
      </c>
      <c r="F279" s="50">
        <f t="shared" si="34"/>
        <v>32.5</v>
      </c>
      <c r="G279" s="47" t="s">
        <v>607</v>
      </c>
      <c r="H279" s="46">
        <v>30</v>
      </c>
      <c r="I279" s="47"/>
      <c r="J279" s="48">
        <f t="shared" si="29"/>
        <v>2.5</v>
      </c>
      <c r="K279" s="46">
        <v>35</v>
      </c>
      <c r="L279" s="47"/>
      <c r="M279" s="48">
        <f t="shared" si="30"/>
        <v>2.5</v>
      </c>
      <c r="N279" s="46">
        <v>30</v>
      </c>
      <c r="O279" s="47"/>
      <c r="P279" s="48">
        <f t="shared" si="31"/>
        <v>2.5</v>
      </c>
      <c r="Q279" s="46">
        <v>35</v>
      </c>
      <c r="R279" s="47"/>
      <c r="S279" s="48">
        <f t="shared" si="32"/>
        <v>2.5</v>
      </c>
      <c r="T279" s="29">
        <v>35</v>
      </c>
      <c r="U279" s="47"/>
      <c r="V279" s="48">
        <f t="shared" si="33"/>
        <v>2.5</v>
      </c>
      <c r="W279" s="2"/>
    </row>
    <row r="280" spans="1:23" ht="15" customHeight="1">
      <c r="A280" s="49">
        <v>123</v>
      </c>
      <c r="B280" s="50" t="s">
        <v>19</v>
      </c>
      <c r="C280" s="50" t="s">
        <v>381</v>
      </c>
      <c r="D280" s="49">
        <v>40</v>
      </c>
      <c r="E280" s="49">
        <v>40</v>
      </c>
      <c r="F280" s="50">
        <f t="shared" si="34"/>
        <v>40</v>
      </c>
      <c r="G280" s="47" t="s">
        <v>608</v>
      </c>
      <c r="H280" s="46">
        <v>30</v>
      </c>
      <c r="I280" s="47"/>
      <c r="J280" s="48">
        <f t="shared" si="29"/>
        <v>10</v>
      </c>
      <c r="K280" s="46">
        <v>40</v>
      </c>
      <c r="L280" s="47"/>
      <c r="M280" s="48">
        <f t="shared" si="30"/>
        <v>0</v>
      </c>
      <c r="N280" s="46">
        <v>40</v>
      </c>
      <c r="O280" s="47"/>
      <c r="P280" s="48">
        <f t="shared" si="31"/>
        <v>0</v>
      </c>
      <c r="Q280" s="46">
        <v>35</v>
      </c>
      <c r="R280" s="47"/>
      <c r="S280" s="48">
        <f t="shared" si="32"/>
        <v>5</v>
      </c>
      <c r="T280" s="29">
        <v>40</v>
      </c>
      <c r="U280" s="47"/>
      <c r="V280" s="48">
        <f t="shared" si="33"/>
        <v>0</v>
      </c>
      <c r="W280" s="2"/>
    </row>
    <row r="281" spans="1:23" ht="15" customHeight="1">
      <c r="A281" s="43">
        <v>124</v>
      </c>
      <c r="B281" s="50" t="s">
        <v>19</v>
      </c>
      <c r="C281" s="49" t="s">
        <v>384</v>
      </c>
      <c r="D281" s="49">
        <v>40</v>
      </c>
      <c r="E281" s="49">
        <v>40</v>
      </c>
      <c r="F281" s="50">
        <f t="shared" si="34"/>
        <v>40</v>
      </c>
      <c r="G281" s="47" t="s">
        <v>609</v>
      </c>
      <c r="H281" s="46">
        <v>35</v>
      </c>
      <c r="I281" s="47"/>
      <c r="J281" s="48">
        <f t="shared" si="29"/>
        <v>5</v>
      </c>
      <c r="K281" s="46">
        <v>40</v>
      </c>
      <c r="L281" s="47"/>
      <c r="M281" s="48">
        <f t="shared" si="30"/>
        <v>0</v>
      </c>
      <c r="N281" s="46">
        <v>40</v>
      </c>
      <c r="O281" s="47"/>
      <c r="P281" s="48">
        <f t="shared" si="31"/>
        <v>0</v>
      </c>
      <c r="Q281" s="46">
        <v>35</v>
      </c>
      <c r="R281" s="47"/>
      <c r="S281" s="48">
        <f t="shared" si="32"/>
        <v>5</v>
      </c>
      <c r="T281" s="29">
        <v>40</v>
      </c>
      <c r="U281" s="47"/>
      <c r="V281" s="48">
        <f t="shared" si="33"/>
        <v>0</v>
      </c>
      <c r="W281" s="2"/>
    </row>
    <row r="282" spans="1:23" ht="15" customHeight="1">
      <c r="A282" s="49">
        <v>125</v>
      </c>
      <c r="B282" s="50" t="s">
        <v>19</v>
      </c>
      <c r="C282" s="50" t="s">
        <v>387</v>
      </c>
      <c r="D282" s="49">
        <v>10</v>
      </c>
      <c r="E282" s="49">
        <v>0</v>
      </c>
      <c r="F282" s="50">
        <f t="shared" si="34"/>
        <v>5</v>
      </c>
      <c r="G282" s="47" t="s">
        <v>610</v>
      </c>
      <c r="H282" s="46">
        <v>10</v>
      </c>
      <c r="I282" s="47"/>
      <c r="J282" s="48">
        <f t="shared" si="29"/>
        <v>5</v>
      </c>
      <c r="K282" s="46">
        <v>10</v>
      </c>
      <c r="L282" s="47"/>
      <c r="M282" s="48">
        <f t="shared" si="30"/>
        <v>5</v>
      </c>
      <c r="N282" s="46">
        <v>15</v>
      </c>
      <c r="O282" s="47"/>
      <c r="P282" s="48">
        <f t="shared" si="31"/>
        <v>10</v>
      </c>
      <c r="Q282" s="46">
        <v>25</v>
      </c>
      <c r="R282" s="47"/>
      <c r="S282" s="48">
        <f t="shared" si="32"/>
        <v>20</v>
      </c>
      <c r="T282" s="29">
        <v>20</v>
      </c>
      <c r="U282" s="47"/>
      <c r="V282" s="48">
        <f t="shared" si="33"/>
        <v>15</v>
      </c>
      <c r="W282" s="2"/>
    </row>
    <row r="283" spans="1:23" ht="15" customHeight="1">
      <c r="A283" s="49">
        <v>126</v>
      </c>
      <c r="B283" s="50" t="s">
        <v>19</v>
      </c>
      <c r="C283" s="50" t="s">
        <v>390</v>
      </c>
      <c r="D283" s="49">
        <v>20</v>
      </c>
      <c r="E283" s="49">
        <v>30</v>
      </c>
      <c r="F283" s="50">
        <f t="shared" si="34"/>
        <v>25</v>
      </c>
      <c r="G283" s="47" t="s">
        <v>611</v>
      </c>
      <c r="H283" s="46">
        <v>30</v>
      </c>
      <c r="I283" s="47"/>
      <c r="J283" s="48">
        <f t="shared" si="29"/>
        <v>5</v>
      </c>
      <c r="K283" s="46">
        <v>30</v>
      </c>
      <c r="L283" s="47"/>
      <c r="M283" s="48">
        <f t="shared" si="30"/>
        <v>5</v>
      </c>
      <c r="N283" s="46">
        <v>35</v>
      </c>
      <c r="O283" s="47"/>
      <c r="P283" s="48">
        <f t="shared" si="31"/>
        <v>10</v>
      </c>
      <c r="Q283" s="46">
        <v>30</v>
      </c>
      <c r="R283" s="47"/>
      <c r="S283" s="48">
        <f t="shared" si="32"/>
        <v>5</v>
      </c>
      <c r="T283" s="29">
        <v>25</v>
      </c>
      <c r="U283" s="47"/>
      <c r="V283" s="48">
        <f t="shared" si="33"/>
        <v>0</v>
      </c>
      <c r="W283" s="2"/>
    </row>
    <row r="284" spans="1:23" ht="15" customHeight="1">
      <c r="A284" s="51">
        <v>127</v>
      </c>
      <c r="B284" s="50" t="s">
        <v>19</v>
      </c>
      <c r="C284" s="50" t="s">
        <v>393</v>
      </c>
      <c r="D284" s="49">
        <v>10</v>
      </c>
      <c r="E284" s="49">
        <v>10</v>
      </c>
      <c r="F284" s="50">
        <f t="shared" si="34"/>
        <v>10</v>
      </c>
      <c r="G284" s="47" t="s">
        <v>612</v>
      </c>
      <c r="H284" s="46">
        <v>10</v>
      </c>
      <c r="I284" s="47"/>
      <c r="J284" s="48">
        <f t="shared" si="29"/>
        <v>0</v>
      </c>
      <c r="K284" s="46">
        <v>15</v>
      </c>
      <c r="L284" s="47"/>
      <c r="M284" s="48">
        <f t="shared" si="30"/>
        <v>5</v>
      </c>
      <c r="N284" s="46">
        <v>15</v>
      </c>
      <c r="O284" s="47"/>
      <c r="P284" s="48">
        <f t="shared" si="31"/>
        <v>5</v>
      </c>
      <c r="Q284" s="46">
        <v>15</v>
      </c>
      <c r="R284" s="47"/>
      <c r="S284" s="48">
        <f t="shared" si="32"/>
        <v>5</v>
      </c>
      <c r="T284" s="29">
        <v>20</v>
      </c>
      <c r="U284" s="47"/>
      <c r="V284" s="48">
        <f t="shared" si="33"/>
        <v>10</v>
      </c>
      <c r="W284" s="2"/>
    </row>
    <row r="285" spans="1:23" ht="15" customHeight="1">
      <c r="A285" s="49">
        <v>128</v>
      </c>
      <c r="B285" s="50" t="s">
        <v>19</v>
      </c>
      <c r="C285" s="50" t="s">
        <v>396</v>
      </c>
      <c r="D285" s="49">
        <v>0</v>
      </c>
      <c r="E285" s="49">
        <v>0</v>
      </c>
      <c r="F285" s="50">
        <f t="shared" si="34"/>
        <v>0</v>
      </c>
      <c r="G285" s="47" t="s">
        <v>613</v>
      </c>
      <c r="H285" s="46">
        <v>10</v>
      </c>
      <c r="I285" s="47"/>
      <c r="J285" s="48">
        <f t="shared" si="29"/>
        <v>10</v>
      </c>
      <c r="K285" s="46">
        <v>25</v>
      </c>
      <c r="L285" s="47"/>
      <c r="M285" s="48">
        <f t="shared" si="30"/>
        <v>25</v>
      </c>
      <c r="N285" s="46">
        <v>15</v>
      </c>
      <c r="O285" s="47"/>
      <c r="P285" s="48">
        <f t="shared" si="31"/>
        <v>15</v>
      </c>
      <c r="Q285" s="46">
        <v>15</v>
      </c>
      <c r="R285" s="47"/>
      <c r="S285" s="48">
        <f t="shared" si="32"/>
        <v>15</v>
      </c>
      <c r="T285" s="29">
        <v>20</v>
      </c>
      <c r="U285" s="47"/>
      <c r="V285" s="48">
        <f t="shared" si="33"/>
        <v>20</v>
      </c>
      <c r="W285" s="2"/>
    </row>
    <row r="286" spans="1:23" ht="15" customHeight="1">
      <c r="A286" s="49">
        <v>129</v>
      </c>
      <c r="B286" s="50" t="s">
        <v>19</v>
      </c>
      <c r="C286" s="49" t="s">
        <v>399</v>
      </c>
      <c r="D286" s="49">
        <v>25</v>
      </c>
      <c r="E286" s="49">
        <v>25</v>
      </c>
      <c r="F286" s="50">
        <f t="shared" si="34"/>
        <v>25</v>
      </c>
      <c r="G286" s="47" t="s">
        <v>614</v>
      </c>
      <c r="H286" s="46">
        <v>30</v>
      </c>
      <c r="I286" s="47"/>
      <c r="J286" s="48">
        <f t="shared" si="29"/>
        <v>5</v>
      </c>
      <c r="K286" s="46">
        <v>10</v>
      </c>
      <c r="L286" s="47"/>
      <c r="M286" s="48">
        <f t="shared" si="30"/>
        <v>15</v>
      </c>
      <c r="N286" s="46">
        <v>30</v>
      </c>
      <c r="O286" s="47"/>
      <c r="P286" s="48">
        <f t="shared" si="31"/>
        <v>5</v>
      </c>
      <c r="Q286" s="46">
        <v>30</v>
      </c>
      <c r="R286" s="47"/>
      <c r="S286" s="48">
        <f t="shared" si="32"/>
        <v>5</v>
      </c>
      <c r="T286" s="29">
        <v>20</v>
      </c>
      <c r="U286" s="47"/>
      <c r="V286" s="48">
        <f t="shared" si="33"/>
        <v>5</v>
      </c>
      <c r="W286" s="2"/>
    </row>
    <row r="287" spans="1:23" ht="15" customHeight="1">
      <c r="A287" s="43">
        <v>130</v>
      </c>
      <c r="B287" s="50" t="s">
        <v>19</v>
      </c>
      <c r="C287" s="49" t="s">
        <v>402</v>
      </c>
      <c r="D287" s="49">
        <v>10</v>
      </c>
      <c r="E287" s="49">
        <v>10</v>
      </c>
      <c r="F287" s="50">
        <f t="shared" si="34"/>
        <v>10</v>
      </c>
      <c r="G287" s="47" t="s">
        <v>615</v>
      </c>
      <c r="H287" s="46">
        <v>20</v>
      </c>
      <c r="I287" s="47"/>
      <c r="J287" s="48">
        <f t="shared" si="29"/>
        <v>10</v>
      </c>
      <c r="K287" s="46">
        <v>20</v>
      </c>
      <c r="L287" s="47"/>
      <c r="M287" s="48">
        <f t="shared" si="30"/>
        <v>10</v>
      </c>
      <c r="N287" s="46">
        <v>20</v>
      </c>
      <c r="O287" s="47"/>
      <c r="P287" s="48">
        <f t="shared" si="31"/>
        <v>10</v>
      </c>
      <c r="Q287" s="46">
        <v>25</v>
      </c>
      <c r="R287" s="47"/>
      <c r="S287" s="48">
        <f t="shared" si="32"/>
        <v>15</v>
      </c>
      <c r="T287" s="29">
        <v>20</v>
      </c>
      <c r="U287" s="47"/>
      <c r="V287" s="48">
        <f t="shared" si="33"/>
        <v>10</v>
      </c>
      <c r="W287" s="2"/>
    </row>
    <row r="288" spans="1:23" ht="15" customHeight="1">
      <c r="A288" s="49">
        <v>131</v>
      </c>
      <c r="B288" s="50" t="s">
        <v>19</v>
      </c>
      <c r="C288" s="50" t="s">
        <v>405</v>
      </c>
      <c r="D288" s="49">
        <v>40</v>
      </c>
      <c r="E288" s="49">
        <v>40</v>
      </c>
      <c r="F288" s="50">
        <f t="shared" si="34"/>
        <v>40</v>
      </c>
      <c r="G288" s="47" t="s">
        <v>616</v>
      </c>
      <c r="H288" s="46">
        <v>30</v>
      </c>
      <c r="I288" s="47"/>
      <c r="J288" s="48">
        <f t="shared" si="29"/>
        <v>10</v>
      </c>
      <c r="K288" s="46">
        <v>40</v>
      </c>
      <c r="L288" s="47"/>
      <c r="M288" s="48">
        <f t="shared" si="30"/>
        <v>0</v>
      </c>
      <c r="N288" s="46">
        <v>40</v>
      </c>
      <c r="O288" s="47"/>
      <c r="P288" s="48">
        <f t="shared" si="31"/>
        <v>0</v>
      </c>
      <c r="Q288" s="46">
        <v>35</v>
      </c>
      <c r="R288" s="47"/>
      <c r="S288" s="48">
        <f t="shared" si="32"/>
        <v>5</v>
      </c>
      <c r="T288" s="29">
        <v>35</v>
      </c>
      <c r="U288" s="47"/>
      <c r="V288" s="48">
        <f t="shared" si="33"/>
        <v>5</v>
      </c>
      <c r="W288" s="2"/>
    </row>
    <row r="289" spans="1:29" ht="15" customHeight="1">
      <c r="A289" s="49">
        <v>132</v>
      </c>
      <c r="B289" s="50" t="s">
        <v>19</v>
      </c>
      <c r="C289" s="50" t="s">
        <v>408</v>
      </c>
      <c r="D289" s="49">
        <v>0</v>
      </c>
      <c r="E289" s="49">
        <v>0</v>
      </c>
      <c r="F289" s="50">
        <f t="shared" si="34"/>
        <v>0</v>
      </c>
      <c r="G289" s="47" t="s">
        <v>617</v>
      </c>
      <c r="H289" s="46">
        <v>20</v>
      </c>
      <c r="I289" s="47"/>
      <c r="J289" s="48">
        <f t="shared" si="29"/>
        <v>20</v>
      </c>
      <c r="K289" s="46">
        <v>20</v>
      </c>
      <c r="L289" s="47"/>
      <c r="M289" s="48">
        <f t="shared" si="30"/>
        <v>20</v>
      </c>
      <c r="N289" s="46">
        <v>20</v>
      </c>
      <c r="O289" s="47"/>
      <c r="P289" s="48">
        <f t="shared" si="31"/>
        <v>20</v>
      </c>
      <c r="Q289" s="46">
        <v>20</v>
      </c>
      <c r="R289" s="47"/>
      <c r="S289" s="48">
        <f t="shared" si="32"/>
        <v>20</v>
      </c>
      <c r="T289" s="29">
        <v>20</v>
      </c>
      <c r="U289" s="47"/>
      <c r="V289" s="48">
        <f t="shared" si="33"/>
        <v>20</v>
      </c>
      <c r="W289" s="2"/>
    </row>
    <row r="290" spans="1:29" ht="15" customHeight="1">
      <c r="A290" s="51">
        <v>133</v>
      </c>
      <c r="B290" s="50" t="s">
        <v>19</v>
      </c>
      <c r="C290" s="50" t="s">
        <v>411</v>
      </c>
      <c r="D290" s="49">
        <v>20</v>
      </c>
      <c r="E290" s="49">
        <v>10</v>
      </c>
      <c r="F290" s="50">
        <f t="shared" si="34"/>
        <v>15</v>
      </c>
      <c r="G290" s="47" t="s">
        <v>618</v>
      </c>
      <c r="H290" s="46">
        <v>30</v>
      </c>
      <c r="I290" s="47"/>
      <c r="J290" s="48">
        <f t="shared" si="29"/>
        <v>15</v>
      </c>
      <c r="K290" s="46">
        <v>35</v>
      </c>
      <c r="L290" s="47"/>
      <c r="M290" s="48">
        <f t="shared" si="30"/>
        <v>20</v>
      </c>
      <c r="N290" s="46">
        <v>35</v>
      </c>
      <c r="O290" s="47"/>
      <c r="P290" s="48">
        <f t="shared" si="31"/>
        <v>20</v>
      </c>
      <c r="Q290" s="46">
        <v>35</v>
      </c>
      <c r="R290" s="47"/>
      <c r="S290" s="48">
        <f t="shared" si="32"/>
        <v>20</v>
      </c>
      <c r="T290" s="29">
        <v>30</v>
      </c>
      <c r="U290" s="47"/>
      <c r="V290" s="48">
        <f t="shared" si="33"/>
        <v>15</v>
      </c>
      <c r="W290" s="2"/>
    </row>
    <row r="291" spans="1:29" ht="15" customHeight="1">
      <c r="A291" s="49">
        <v>134</v>
      </c>
      <c r="B291" s="50" t="s">
        <v>19</v>
      </c>
      <c r="C291" s="50" t="s">
        <v>414</v>
      </c>
      <c r="D291" s="49">
        <v>10</v>
      </c>
      <c r="E291" s="49">
        <v>10</v>
      </c>
      <c r="F291" s="49">
        <v>10</v>
      </c>
      <c r="G291" s="47" t="s">
        <v>619</v>
      </c>
      <c r="H291" s="46">
        <v>20</v>
      </c>
      <c r="I291" s="47"/>
      <c r="J291" s="48">
        <f t="shared" si="29"/>
        <v>10</v>
      </c>
      <c r="K291" s="46">
        <v>25</v>
      </c>
      <c r="L291" s="47"/>
      <c r="M291" s="48">
        <f t="shared" si="30"/>
        <v>15</v>
      </c>
      <c r="N291" s="46">
        <v>10</v>
      </c>
      <c r="O291" s="47"/>
      <c r="P291" s="48">
        <f t="shared" si="31"/>
        <v>0</v>
      </c>
      <c r="Q291" s="46">
        <v>25</v>
      </c>
      <c r="R291" s="47"/>
      <c r="S291" s="48">
        <f t="shared" si="32"/>
        <v>15</v>
      </c>
      <c r="T291" s="29">
        <v>20</v>
      </c>
      <c r="U291" s="47"/>
      <c r="V291" s="48">
        <f t="shared" si="33"/>
        <v>10</v>
      </c>
      <c r="W291" s="2"/>
    </row>
    <row r="292" spans="1:29">
      <c r="A292" s="47"/>
      <c r="B292" s="47"/>
      <c r="C292" s="47"/>
      <c r="D292" s="47"/>
      <c r="E292" s="47"/>
      <c r="F292" s="47"/>
      <c r="G292" s="47"/>
      <c r="H292" s="46"/>
      <c r="I292" s="47"/>
      <c r="J292" s="48"/>
      <c r="K292" s="46"/>
      <c r="L292" s="47"/>
      <c r="M292" s="48"/>
      <c r="N292" s="46"/>
      <c r="O292" s="47"/>
      <c r="P292" s="48"/>
      <c r="Q292" s="46"/>
      <c r="R292" s="47"/>
      <c r="S292" s="48"/>
      <c r="T292" s="29"/>
      <c r="U292" s="2"/>
      <c r="V292" s="34"/>
      <c r="W292" s="2"/>
    </row>
    <row r="293" spans="1:29">
      <c r="A293" s="136"/>
      <c r="B293" s="136"/>
      <c r="C293" s="136"/>
      <c r="D293" s="136"/>
      <c r="E293" s="136"/>
      <c r="F293" s="136"/>
      <c r="G293" s="136"/>
      <c r="H293" s="137"/>
      <c r="I293" s="136"/>
      <c r="J293" s="138"/>
      <c r="K293" s="137"/>
      <c r="L293" s="136"/>
      <c r="M293" s="138"/>
      <c r="N293" s="137"/>
      <c r="O293" s="136"/>
      <c r="P293" s="138"/>
      <c r="Q293" s="137"/>
      <c r="R293" s="136"/>
      <c r="S293" s="138"/>
      <c r="T293" s="139"/>
      <c r="U293" s="140"/>
      <c r="V293" s="141"/>
      <c r="W293" s="140"/>
    </row>
    <row r="294" spans="1:29">
      <c r="A294" s="1" t="s">
        <v>620</v>
      </c>
      <c r="B294" s="1" t="s">
        <v>621</v>
      </c>
      <c r="C294" s="47"/>
      <c r="D294" s="40" t="s">
        <v>622</v>
      </c>
      <c r="E294" s="47"/>
      <c r="F294" s="47"/>
      <c r="G294" s="47"/>
      <c r="H294" s="46"/>
      <c r="I294" s="47"/>
      <c r="J294" s="48"/>
      <c r="K294" s="46"/>
      <c r="L294" s="47"/>
      <c r="M294" s="48"/>
      <c r="N294" s="46"/>
      <c r="O294" s="47"/>
      <c r="P294" s="48"/>
      <c r="Q294" s="46"/>
      <c r="R294" s="47"/>
      <c r="S294" s="48"/>
      <c r="T294" s="29"/>
      <c r="U294" s="2"/>
      <c r="V294" s="34"/>
      <c r="W294" s="2"/>
    </row>
    <row r="295" spans="1:29">
      <c r="A295" s="2"/>
      <c r="B295" s="47" t="s">
        <v>8</v>
      </c>
      <c r="C295" s="2"/>
      <c r="D295" s="2" t="s">
        <v>438</v>
      </c>
      <c r="E295" s="47"/>
      <c r="F295" s="47"/>
      <c r="G295" s="47" t="s">
        <v>455</v>
      </c>
      <c r="H295" s="46"/>
      <c r="I295" s="47"/>
      <c r="J295" s="48"/>
      <c r="K295" s="46"/>
      <c r="L295" s="47"/>
      <c r="M295" s="48"/>
      <c r="N295" s="46"/>
      <c r="O295" s="47"/>
      <c r="P295" s="48"/>
      <c r="Q295" s="46"/>
      <c r="R295" s="47"/>
      <c r="S295" s="48"/>
      <c r="T295" s="29"/>
      <c r="U295" s="2"/>
      <c r="V295" s="34"/>
      <c r="W295" s="2"/>
    </row>
    <row r="296" spans="1:29">
      <c r="A296" s="142" t="s">
        <v>456</v>
      </c>
      <c r="B296" s="142" t="s">
        <v>457</v>
      </c>
      <c r="C296" s="142" t="s">
        <v>458</v>
      </c>
      <c r="D296" s="143" t="s">
        <v>15</v>
      </c>
      <c r="E296" s="143" t="s">
        <v>16</v>
      </c>
      <c r="F296" s="143" t="s">
        <v>17</v>
      </c>
      <c r="G296" s="144"/>
      <c r="H296" s="145"/>
      <c r="I296" s="144"/>
      <c r="J296" s="146"/>
      <c r="K296" s="145"/>
      <c r="L296" s="144"/>
      <c r="M296" s="146"/>
      <c r="N296" s="145"/>
      <c r="O296" s="144"/>
      <c r="P296" s="146"/>
      <c r="Q296" s="145"/>
      <c r="R296" s="144"/>
      <c r="S296" s="146"/>
      <c r="T296" s="147"/>
      <c r="U296" s="148"/>
      <c r="V296" s="149"/>
      <c r="W296" s="148"/>
      <c r="X296" s="150"/>
      <c r="Y296" s="150"/>
      <c r="Z296" s="150"/>
      <c r="AA296" s="150"/>
      <c r="AB296" s="150"/>
      <c r="AC296" s="150"/>
    </row>
    <row r="297" spans="1:29" ht="15" customHeight="1">
      <c r="A297" s="43">
        <v>1</v>
      </c>
      <c r="B297" s="43" t="s">
        <v>19</v>
      </c>
      <c r="C297" s="43" t="s">
        <v>20</v>
      </c>
      <c r="D297" s="43">
        <v>0</v>
      </c>
      <c r="E297" s="43">
        <v>0</v>
      </c>
      <c r="F297" s="151">
        <f t="shared" ref="F297:F335" si="35">SUM(D297:E297)/2</f>
        <v>0</v>
      </c>
      <c r="G297" s="47" t="s">
        <v>455</v>
      </c>
      <c r="H297" s="46" t="str">
        <f t="shared" ref="H297:H430" si="36">SUBSTITUTE(SUBSTITUTE(SUBSTITUTE($D$295,"&lt;TEXTO_BASE&gt;",$B$295),"&lt;ENUNCIADO_QUESTAO&gt;",B297),"&lt;RESPOSTA_ALUNO&gt;",C297)</f>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Esse recurso deve auxiliar a pessoa que o está usando, enquanto este pode focar em outras coisas além de planejar rota.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297" s="47"/>
      <c r="J297" s="48"/>
      <c r="K297" s="46"/>
      <c r="L297" s="47"/>
      <c r="M297" s="48"/>
      <c r="N297" s="46"/>
      <c r="O297" s="47"/>
      <c r="P297" s="48"/>
      <c r="Q297" s="46"/>
      <c r="R297" s="47"/>
      <c r="S297" s="48"/>
      <c r="T297" s="29"/>
      <c r="U297" s="2"/>
      <c r="V297" s="34"/>
      <c r="W297" s="2"/>
    </row>
    <row r="298" spans="1:29" ht="15" customHeight="1">
      <c r="A298" s="49">
        <v>2</v>
      </c>
      <c r="B298" s="49" t="s">
        <v>19</v>
      </c>
      <c r="C298" s="49" t="s">
        <v>23</v>
      </c>
      <c r="D298" s="49">
        <v>20</v>
      </c>
      <c r="E298" s="49">
        <v>0</v>
      </c>
      <c r="F298" s="50">
        <f t="shared" si="35"/>
        <v>10</v>
      </c>
      <c r="G298" s="47" t="s">
        <v>455</v>
      </c>
      <c r="H29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é uma ferramenta utilizada para facilitar o dia a dia, nós repassamos a origem e o destino e os algoritmo calcula a rota mais fácil, para que não tenhamos que ficar pensando um problemas como semáforos, buracos, trânsito.. e com o algoritmo fazendo esse trabalho por nós, não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298" s="47"/>
      <c r="J298" s="48"/>
      <c r="K298" s="46"/>
      <c r="L298" s="47"/>
      <c r="M298" s="48"/>
      <c r="N298" s="46"/>
      <c r="O298" s="47"/>
      <c r="P298" s="48"/>
      <c r="Q298" s="46"/>
      <c r="R298" s="47"/>
      <c r="S298" s="48"/>
      <c r="T298" s="29"/>
      <c r="U298" s="2"/>
      <c r="V298" s="34"/>
      <c r="W298" s="2"/>
    </row>
    <row r="299" spans="1:29" ht="15" customHeight="1">
      <c r="A299" s="49">
        <v>3</v>
      </c>
      <c r="B299" s="49" t="s">
        <v>19</v>
      </c>
      <c r="C299" s="49" t="s">
        <v>26</v>
      </c>
      <c r="D299" s="49">
        <v>20</v>
      </c>
      <c r="E299" s="49">
        <v>15</v>
      </c>
      <c r="F299" s="50">
        <f t="shared" si="35"/>
        <v>17.5</v>
      </c>
      <c r="G299" s="47" t="s">
        <v>455</v>
      </c>
      <c r="H29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calculadores inteligentes de rotas, pois consideram o que é mais facil para o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299" s="152"/>
      <c r="J299" s="152"/>
      <c r="K299" s="153"/>
      <c r="L299" s="152"/>
      <c r="M299" s="152"/>
      <c r="N299" s="153"/>
      <c r="O299" s="152"/>
      <c r="P299" s="152"/>
      <c r="Q299" s="154"/>
      <c r="T299" s="154"/>
      <c r="V299" s="80"/>
    </row>
    <row r="300" spans="1:29" ht="15" customHeight="1">
      <c r="A300" s="51">
        <v>4</v>
      </c>
      <c r="B300" s="49" t="s">
        <v>19</v>
      </c>
      <c r="C300" s="50" t="s">
        <v>29</v>
      </c>
      <c r="D300" s="49">
        <v>40</v>
      </c>
      <c r="E300" s="49">
        <v>30</v>
      </c>
      <c r="F300" s="50">
        <f t="shared" si="35"/>
        <v>35</v>
      </c>
      <c r="G300" s="47" t="s">
        <v>455</v>
      </c>
      <c r="H30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está aqui por um bom tempo e serve para ajudar o ser humano (mas não escolher por ele)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0" s="152"/>
      <c r="J300" s="152"/>
      <c r="K300" s="153"/>
      <c r="L300" s="152"/>
      <c r="M300" s="152"/>
      <c r="N300" s="153"/>
      <c r="O300" s="152"/>
      <c r="P300" s="152"/>
      <c r="Q300" s="154"/>
      <c r="T300" s="154"/>
      <c r="V300" s="80"/>
    </row>
    <row r="301" spans="1:29" ht="15" customHeight="1">
      <c r="A301" s="49">
        <v>5</v>
      </c>
      <c r="B301" s="49" t="s">
        <v>19</v>
      </c>
      <c r="C301" s="49" t="s">
        <v>32</v>
      </c>
      <c r="D301" s="49">
        <v>5</v>
      </c>
      <c r="E301" s="49">
        <v>10</v>
      </c>
      <c r="F301" s="50">
        <f t="shared" si="35"/>
        <v>7.5</v>
      </c>
      <c r="G301" s="152"/>
      <c r="H30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Utilizar técnicas que nos ajudam, pode ser um ponto positivo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1" s="152"/>
      <c r="J301" s="152"/>
      <c r="K301" s="153"/>
      <c r="L301" s="152"/>
      <c r="M301" s="152"/>
      <c r="N301" s="153"/>
      <c r="O301" s="152"/>
      <c r="P301" s="152"/>
      <c r="Q301" s="154"/>
      <c r="T301" s="154"/>
      <c r="V301" s="80"/>
    </row>
    <row r="302" spans="1:29" ht="15" customHeight="1">
      <c r="A302" s="49">
        <v>6</v>
      </c>
      <c r="B302" s="50" t="s">
        <v>19</v>
      </c>
      <c r="C302" s="50" t="s">
        <v>35</v>
      </c>
      <c r="D302" s="49">
        <v>5</v>
      </c>
      <c r="E302" s="49">
        <v>10</v>
      </c>
      <c r="F302" s="50">
        <f t="shared" si="35"/>
        <v>7.5</v>
      </c>
      <c r="G302" s="152"/>
      <c r="H30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algorítimos contribuem de forma positiva para as rotas de transito.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2" s="152"/>
      <c r="J302" s="152"/>
      <c r="K302" s="153"/>
      <c r="L302" s="152"/>
      <c r="M302" s="152"/>
      <c r="N302" s="153"/>
      <c r="O302" s="152"/>
      <c r="P302" s="152"/>
      <c r="Q302" s="154"/>
      <c r="T302" s="154"/>
      <c r="V302" s="80"/>
    </row>
    <row r="303" spans="1:29" ht="15" customHeight="1">
      <c r="A303" s="43">
        <v>7</v>
      </c>
      <c r="B303" s="49" t="s">
        <v>19</v>
      </c>
      <c r="C303" s="49" t="s">
        <v>37</v>
      </c>
      <c r="D303" s="49">
        <v>15</v>
      </c>
      <c r="E303" s="49">
        <v>15</v>
      </c>
      <c r="F303" s="50">
        <f t="shared" si="35"/>
        <v>15</v>
      </c>
      <c r="G303" s="152"/>
      <c r="H30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ferramenta que, por meio do auxilio com a escolha do melhor trajeto, facilita nossa vida e nos poupa tempo, ao contrário de outros algoritmos que atrasam nossas vidas e não contribuem para uma produção efetiva.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3" s="152"/>
      <c r="J303" s="152"/>
      <c r="K303" s="153"/>
      <c r="L303" s="152"/>
      <c r="M303" s="152"/>
      <c r="N303" s="153"/>
      <c r="O303" s="152"/>
      <c r="P303" s="152"/>
      <c r="Q303" s="154"/>
      <c r="T303" s="154"/>
      <c r="V303" s="80"/>
    </row>
    <row r="304" spans="1:29" ht="15" customHeight="1">
      <c r="A304" s="49">
        <v>8</v>
      </c>
      <c r="B304" s="49" t="s">
        <v>19</v>
      </c>
      <c r="C304" s="50" t="s">
        <v>40</v>
      </c>
      <c r="D304" s="49">
        <v>25</v>
      </c>
      <c r="E304" s="49">
        <v>10</v>
      </c>
      <c r="F304" s="50">
        <f t="shared" si="35"/>
        <v>17.5</v>
      </c>
      <c r="G304" s="152"/>
      <c r="H30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Autora usa o gps como exemplo para dizer que a tecnologia é uma ferramenta extremamente importante que se usada de maneira correta pode nós auxiliar em vários aspectos. Mas é preciso saber o que se busca na internet e saber selecionar os conteúdos é de extrema importância.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4" s="152"/>
      <c r="J304" s="152"/>
      <c r="K304" s="153"/>
      <c r="L304" s="152"/>
      <c r="M304" s="152"/>
      <c r="N304" s="153"/>
      <c r="O304" s="152"/>
      <c r="P304" s="152"/>
      <c r="Q304" s="154"/>
      <c r="T304" s="154"/>
      <c r="V304" s="80"/>
    </row>
    <row r="305" spans="1:22" ht="15" customHeight="1">
      <c r="A305" s="49">
        <v>9</v>
      </c>
      <c r="B305" s="49" t="s">
        <v>19</v>
      </c>
      <c r="C305" s="49" t="s">
        <v>43</v>
      </c>
      <c r="D305" s="49">
        <v>25</v>
      </c>
      <c r="E305" s="49">
        <v>25</v>
      </c>
      <c r="F305" s="50">
        <f t="shared" si="35"/>
        <v>25</v>
      </c>
      <c r="G305" s="152"/>
      <c r="H30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optimiza o tempo, poupa esforço, e tem resultados satisfatórios.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5" s="152"/>
      <c r="J305" s="152"/>
      <c r="K305" s="153"/>
      <c r="L305" s="152"/>
      <c r="M305" s="152"/>
      <c r="N305" s="153"/>
      <c r="O305" s="152"/>
      <c r="P305" s="152"/>
      <c r="Q305" s="154"/>
      <c r="T305" s="154"/>
      <c r="V305" s="80"/>
    </row>
    <row r="306" spans="1:22" ht="15" customHeight="1">
      <c r="A306" s="51">
        <v>10</v>
      </c>
      <c r="B306" s="49" t="s">
        <v>19</v>
      </c>
      <c r="C306" s="49" t="s">
        <v>46</v>
      </c>
      <c r="D306" s="49">
        <v>40</v>
      </c>
      <c r="E306" s="49">
        <v>40</v>
      </c>
      <c r="F306" s="50">
        <f t="shared" si="35"/>
        <v>40</v>
      </c>
      <c r="G306" s="152"/>
      <c r="H30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auxilia o homem nas escolhas das decisões práticas do cotidiano enquanto ele se ocupa de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6" s="152"/>
      <c r="J306" s="152"/>
      <c r="K306" s="153"/>
      <c r="L306" s="152"/>
      <c r="M306" s="152"/>
      <c r="N306" s="153"/>
      <c r="O306" s="152"/>
      <c r="P306" s="152"/>
      <c r="Q306" s="154"/>
      <c r="T306" s="154"/>
      <c r="V306" s="80"/>
    </row>
    <row r="307" spans="1:22" ht="15" customHeight="1">
      <c r="A307" s="49">
        <v>11</v>
      </c>
      <c r="B307" s="50" t="s">
        <v>19</v>
      </c>
      <c r="C307" s="49" t="s">
        <v>49</v>
      </c>
      <c r="D307" s="49">
        <v>0</v>
      </c>
      <c r="E307" s="49">
        <v>0</v>
      </c>
      <c r="F307" s="50">
        <f t="shared" si="35"/>
        <v>0</v>
      </c>
      <c r="G307" s="152"/>
      <c r="H30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 meio rápido e simplificado de solucionar problemas, poupando o tempo do usuario- que tem outras coisas com que se preocupar.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7" s="152"/>
      <c r="J307" s="152"/>
      <c r="K307" s="153"/>
      <c r="L307" s="152"/>
      <c r="M307" s="152"/>
      <c r="N307" s="153"/>
      <c r="O307" s="152"/>
      <c r="P307" s="152"/>
      <c r="Q307" s="154"/>
      <c r="T307" s="154"/>
      <c r="V307" s="80"/>
    </row>
    <row r="308" spans="1:22" ht="15" customHeight="1">
      <c r="A308" s="49">
        <v>12</v>
      </c>
      <c r="B308" s="49" t="s">
        <v>19</v>
      </c>
      <c r="C308" s="49" t="s">
        <v>52</v>
      </c>
      <c r="D308" s="49">
        <v>40</v>
      </c>
      <c r="E308" s="49">
        <v>40</v>
      </c>
      <c r="F308" s="50">
        <f t="shared" si="35"/>
        <v>40</v>
      </c>
      <c r="G308" s="152"/>
      <c r="H30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está na humanidade há muito tempo e ela pode servir como auxilio para tomada de decisões, guiando o usuário para soluções inteligentes.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8" s="152"/>
      <c r="J308" s="152"/>
      <c r="K308" s="153"/>
      <c r="L308" s="152"/>
      <c r="M308" s="152"/>
      <c r="N308" s="153"/>
      <c r="O308" s="152"/>
      <c r="P308" s="152"/>
      <c r="Q308" s="154"/>
      <c r="T308" s="154"/>
      <c r="V308" s="80"/>
    </row>
    <row r="309" spans="1:22" ht="15" customHeight="1">
      <c r="A309" s="43">
        <v>13</v>
      </c>
      <c r="B309" s="50" t="s">
        <v>19</v>
      </c>
      <c r="C309" s="50" t="s">
        <v>55</v>
      </c>
      <c r="D309" s="49">
        <v>0</v>
      </c>
      <c r="E309" s="49">
        <v>10</v>
      </c>
      <c r="F309" s="50">
        <f t="shared" si="35"/>
        <v>5</v>
      </c>
      <c r="G309" s="152"/>
      <c r="H30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GPS, são aplicativos que ajudam seus usuários, calculando rotas de acordo com a preferência do mesmo.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9" s="152"/>
      <c r="J309" s="152"/>
      <c r="K309" s="153"/>
      <c r="L309" s="152"/>
      <c r="M309" s="152"/>
      <c r="N309" s="153"/>
      <c r="O309" s="152"/>
      <c r="P309" s="152"/>
      <c r="Q309" s="154"/>
      <c r="T309" s="154"/>
      <c r="V309" s="80"/>
    </row>
    <row r="310" spans="1:22" ht="15" customHeight="1">
      <c r="A310" s="49">
        <v>14</v>
      </c>
      <c r="B310" s="155" t="s">
        <v>19</v>
      </c>
      <c r="C310" s="155" t="s">
        <v>58</v>
      </c>
      <c r="D310" s="156">
        <v>35</v>
      </c>
      <c r="E310" s="156">
        <v>30</v>
      </c>
      <c r="F310" s="155">
        <f t="shared" si="35"/>
        <v>32.5</v>
      </c>
      <c r="G310" s="152"/>
      <c r="H31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calcula a rota mais rápida ou uma melhor e assim você pode-se preocupar com outros problemas que não sejam exatamente o caminho.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0" s="152"/>
      <c r="J310" s="152"/>
      <c r="K310" s="153"/>
      <c r="L310" s="152"/>
      <c r="M310" s="152"/>
      <c r="N310" s="153"/>
      <c r="O310" s="152"/>
      <c r="P310" s="152"/>
      <c r="Q310" s="154"/>
      <c r="T310" s="154"/>
      <c r="V310" s="80"/>
    </row>
    <row r="311" spans="1:22" ht="15" customHeight="1">
      <c r="A311" s="49">
        <v>15</v>
      </c>
      <c r="B311" s="50" t="s">
        <v>19</v>
      </c>
      <c r="C311" s="49" t="s">
        <v>61</v>
      </c>
      <c r="D311" s="49">
        <v>27</v>
      </c>
      <c r="E311" s="49">
        <v>25</v>
      </c>
      <c r="F311" s="50">
        <f t="shared" si="35"/>
        <v>26</v>
      </c>
      <c r="G311" s="152"/>
      <c r="H31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ideia de que eles podem agilizar os processos humanos diarios enquanto nós podemso focar em problemas mais importantes diários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1" s="152"/>
      <c r="J311" s="152"/>
      <c r="K311" s="153"/>
      <c r="L311" s="152"/>
      <c r="M311" s="152"/>
      <c r="N311" s="153"/>
      <c r="O311" s="152"/>
      <c r="P311" s="152"/>
      <c r="Q311" s="154"/>
      <c r="T311" s="154"/>
      <c r="V311" s="80"/>
    </row>
    <row r="312" spans="1:22" ht="15" customHeight="1">
      <c r="A312" s="51">
        <v>16</v>
      </c>
      <c r="B312" s="50" t="s">
        <v>19</v>
      </c>
      <c r="C312" s="50" t="s">
        <v>64</v>
      </c>
      <c r="D312" s="49">
        <v>38</v>
      </c>
      <c r="E312" s="49">
        <v>35</v>
      </c>
      <c r="F312" s="50">
        <f t="shared" si="35"/>
        <v>36.5</v>
      </c>
      <c r="G312" s="152"/>
      <c r="H31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articifial se porta, mais especificamente, como uma alternativa ao usuário e, não, como algo definitivo e impassível de interferências, ou que diminui a autonomia do sujeito: seria realmente uma ferramenta, com o propósito de auxiliar e permitir um aproveitamento maior do tempo empregado em certa atividade.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2" s="152"/>
      <c r="J312" s="152"/>
      <c r="K312" s="153"/>
      <c r="L312" s="152"/>
      <c r="M312" s="152"/>
      <c r="N312" s="153"/>
      <c r="O312" s="152"/>
      <c r="P312" s="152"/>
      <c r="Q312" s="154"/>
      <c r="T312" s="154"/>
      <c r="V312" s="80"/>
    </row>
    <row r="313" spans="1:22" ht="15" customHeight="1">
      <c r="A313" s="49">
        <v>17</v>
      </c>
      <c r="B313" s="50" t="s">
        <v>19</v>
      </c>
      <c r="C313" s="50" t="s">
        <v>67</v>
      </c>
      <c r="D313" s="49">
        <v>20</v>
      </c>
      <c r="E313" s="49">
        <v>20</v>
      </c>
      <c r="F313" s="50">
        <f t="shared" si="35"/>
        <v>20</v>
      </c>
      <c r="G313" s="152"/>
      <c r="H31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oferece a resolução rápida de um “problema” que o ser humano poderia “perder” tempo tendo que resolver (por isso a continuação: “resolver OUTROS problemas”). Diferentemente dos outros algoritmos que a autora cita mais adiante no texto, o GPS sim seria um aplicativo inteligente, não apenas por otimizar tempo mas também por oferecer ao consumidor outras rotas considerando TAMBÉM as suas preferências, mas não somente elas (além de que o GPS seria uma rede integrada, considerando também o feedback e as experiências/preferências de outros usuários).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3" s="152"/>
      <c r="J313" s="152"/>
      <c r="K313" s="153"/>
      <c r="L313" s="152"/>
      <c r="M313" s="152"/>
      <c r="N313" s="153"/>
      <c r="O313" s="152"/>
      <c r="P313" s="152"/>
      <c r="Q313" s="154"/>
      <c r="T313" s="154"/>
      <c r="V313" s="80"/>
    </row>
    <row r="314" spans="1:22" ht="15" customHeight="1">
      <c r="A314" s="49">
        <v>18</v>
      </c>
      <c r="B314" s="50" t="s">
        <v>19</v>
      </c>
      <c r="C314" s="49" t="s">
        <v>70</v>
      </c>
      <c r="D314" s="49">
        <v>10</v>
      </c>
      <c r="E314" s="49">
        <v>15</v>
      </c>
      <c r="F314" s="50">
        <f t="shared" si="35"/>
        <v>12.5</v>
      </c>
      <c r="G314" s="152"/>
      <c r="H31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utiliza o exemplo da ferramenta GPS para confirmar a ideia de que são opções viáveis e que podem beneficiar e auxiliar 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4" s="152"/>
      <c r="J314" s="152"/>
      <c r="K314" s="153"/>
      <c r="L314" s="152"/>
      <c r="M314" s="152"/>
      <c r="N314" s="153"/>
      <c r="O314" s="152"/>
      <c r="P314" s="152"/>
      <c r="Q314" s="154"/>
      <c r="T314" s="154"/>
      <c r="V314" s="80"/>
    </row>
    <row r="315" spans="1:22" ht="15" customHeight="1">
      <c r="A315" s="43">
        <v>19</v>
      </c>
      <c r="B315" s="50" t="s">
        <v>19</v>
      </c>
      <c r="C315" s="50" t="s">
        <v>73</v>
      </c>
      <c r="D315" s="49">
        <v>20</v>
      </c>
      <c r="E315" s="49">
        <v>0</v>
      </c>
      <c r="F315" s="50">
        <f t="shared" si="35"/>
        <v>10</v>
      </c>
      <c r="G315" s="152"/>
      <c r="H31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como calculadoras inteligente de rotas , considerando o ponto de partida  e destino , facilitando para o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5" s="152"/>
      <c r="J315" s="152"/>
      <c r="K315" s="153"/>
      <c r="L315" s="152"/>
      <c r="M315" s="152"/>
      <c r="N315" s="153"/>
      <c r="O315" s="152"/>
      <c r="P315" s="152"/>
      <c r="Q315" s="154"/>
      <c r="T315" s="154"/>
      <c r="V315" s="80"/>
    </row>
    <row r="316" spans="1:22" ht="15" customHeight="1">
      <c r="A316" s="49">
        <v>20</v>
      </c>
      <c r="B316" s="50" t="s">
        <v>19</v>
      </c>
      <c r="C316" s="50" t="s">
        <v>76</v>
      </c>
      <c r="D316" s="49">
        <v>30</v>
      </c>
      <c r="E316" s="49">
        <v>25</v>
      </c>
      <c r="F316" s="50">
        <f t="shared" si="35"/>
        <v>27.5</v>
      </c>
      <c r="G316" s="152"/>
      <c r="H31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não acha ruim o uso de ferramentas como o GPS no dia a dia, muito pelo contrário. Se existe, que seja utilizado, ainda mais pela facilidade e utilidade que uma calculadora de rota customizavel pode ter. Isso tudo reforça e defende a ideia de que a tecnologia é uma extensão da nossa inteligencia que pode e deve nos ajudar a manter um caminho evolutivo constante. "de portas abertas ao futuro".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6" s="152"/>
      <c r="J316" s="152"/>
      <c r="K316" s="153"/>
      <c r="L316" s="152"/>
      <c r="M316" s="152"/>
      <c r="N316" s="153"/>
      <c r="O316" s="152"/>
      <c r="P316" s="152"/>
      <c r="Q316" s="154"/>
      <c r="T316" s="154"/>
      <c r="V316" s="80"/>
    </row>
    <row r="317" spans="1:22" ht="15" customHeight="1">
      <c r="A317" s="49">
        <v>21</v>
      </c>
      <c r="B317" s="50" t="s">
        <v>19</v>
      </c>
      <c r="C317" s="50" t="s">
        <v>79</v>
      </c>
      <c r="D317" s="49">
        <v>20</v>
      </c>
      <c r="E317" s="49">
        <v>10</v>
      </c>
      <c r="F317" s="50">
        <f t="shared" si="35"/>
        <v>15</v>
      </c>
      <c r="G317" s="152"/>
      <c r="H31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Este está ali como forma de auxílio ao ser humano, não para substitui-lo.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7" s="152"/>
      <c r="J317" s="152"/>
      <c r="K317" s="153"/>
      <c r="L317" s="152"/>
      <c r="M317" s="152"/>
      <c r="N317" s="153"/>
      <c r="O317" s="152"/>
      <c r="P317" s="152"/>
      <c r="Q317" s="154"/>
      <c r="T317" s="154"/>
      <c r="V317" s="80"/>
    </row>
    <row r="318" spans="1:22" ht="15" customHeight="1">
      <c r="A318" s="51">
        <v>22</v>
      </c>
      <c r="B318" s="49" t="s">
        <v>19</v>
      </c>
      <c r="C318" s="50" t="s">
        <v>82</v>
      </c>
      <c r="D318" s="49">
        <v>20</v>
      </c>
      <c r="E318" s="49">
        <v>20</v>
      </c>
      <c r="F318" s="50">
        <f t="shared" si="35"/>
        <v>20</v>
      </c>
      <c r="G318" s="152"/>
      <c r="H31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Defende a ideia de que é muito útil para optimização do tempo, pois as pessoas podem usar o tempo que gastariam escolhendo rotas, pensando em outros problemas do cotidiano.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8" s="152"/>
      <c r="J318" s="152"/>
      <c r="K318" s="153"/>
      <c r="L318" s="152"/>
      <c r="M318" s="152"/>
      <c r="N318" s="153"/>
      <c r="O318" s="152"/>
      <c r="P318" s="152"/>
      <c r="Q318" s="154"/>
      <c r="T318" s="154"/>
      <c r="V318" s="80"/>
    </row>
    <row r="319" spans="1:22" ht="15" customHeight="1">
      <c r="A319" s="49">
        <v>23</v>
      </c>
      <c r="B319" s="50" t="s">
        <v>19</v>
      </c>
      <c r="C319" s="50" t="s">
        <v>85</v>
      </c>
      <c r="D319" s="49">
        <v>40</v>
      </c>
      <c r="E319" s="49">
        <v>35</v>
      </c>
      <c r="F319" s="50">
        <f t="shared" si="35"/>
        <v>37.5</v>
      </c>
      <c r="G319" s="152"/>
      <c r="H31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Ela defende que a inteligência é capaz de facilitar a vida das pessoas, pois como o GPS calcula rotas com mais facilidade e agilidade, a inteligência artificial pode nos ajudar a minimizar o tempo em ações do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9" s="152"/>
      <c r="J319" s="152"/>
      <c r="K319" s="153"/>
      <c r="L319" s="152"/>
      <c r="M319" s="152"/>
      <c r="N319" s="153"/>
      <c r="O319" s="152"/>
      <c r="P319" s="152"/>
      <c r="Q319" s="154"/>
      <c r="T319" s="154"/>
      <c r="V319" s="80"/>
    </row>
    <row r="320" spans="1:22" ht="15" customHeight="1">
      <c r="A320" s="49">
        <v>24</v>
      </c>
      <c r="B320" s="50" t="s">
        <v>19</v>
      </c>
      <c r="C320" s="50" t="s">
        <v>88</v>
      </c>
      <c r="D320" s="49">
        <v>15</v>
      </c>
      <c r="E320" s="49">
        <v>20</v>
      </c>
      <c r="F320" s="50">
        <f t="shared" si="35"/>
        <v>17.5</v>
      </c>
      <c r="G320" s="152"/>
      <c r="H32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 tecnologia pode sim nos ajudar, GPS funcionam como calculadoras, que mostram a melhor rota a mais rápida, assim você pode focar em outros problemas, que não achar o melhor caminho.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0" s="152"/>
      <c r="J320" s="152"/>
      <c r="K320" s="153"/>
      <c r="L320" s="152"/>
      <c r="M320" s="152"/>
      <c r="N320" s="153"/>
      <c r="O320" s="152"/>
      <c r="P320" s="152"/>
      <c r="Q320" s="154"/>
      <c r="T320" s="154"/>
      <c r="V320" s="80"/>
    </row>
    <row r="321" spans="1:22" ht="15" customHeight="1">
      <c r="A321" s="43">
        <v>25</v>
      </c>
      <c r="B321" s="50" t="s">
        <v>19</v>
      </c>
      <c r="C321" s="49" t="s">
        <v>91</v>
      </c>
      <c r="D321" s="49">
        <v>40</v>
      </c>
      <c r="E321" s="49">
        <v>40</v>
      </c>
      <c r="F321" s="50">
        <f t="shared" si="35"/>
        <v>40</v>
      </c>
      <c r="G321" s="152"/>
      <c r="H32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pode ser usada para ajudar os seres humanos na tomada de decisão de forma mais simples.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1" s="152"/>
      <c r="J321" s="152"/>
      <c r="K321" s="153"/>
      <c r="L321" s="152"/>
      <c r="M321" s="152"/>
      <c r="N321" s="153"/>
      <c r="O321" s="152"/>
      <c r="P321" s="152"/>
      <c r="Q321" s="154"/>
      <c r="T321" s="154"/>
      <c r="V321" s="80"/>
    </row>
    <row r="322" spans="1:22" ht="15" customHeight="1">
      <c r="A322" s="49">
        <v>26</v>
      </c>
      <c r="B322" s="50" t="s">
        <v>19</v>
      </c>
      <c r="C322" s="49" t="s">
        <v>94</v>
      </c>
      <c r="D322" s="49">
        <v>40</v>
      </c>
      <c r="E322" s="49">
        <v>40</v>
      </c>
      <c r="F322" s="50">
        <f t="shared" si="35"/>
        <v>40</v>
      </c>
      <c r="G322" s="152"/>
      <c r="H32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Nesse caso a inteligência artificial auxilia o usário e otimiza seu tempo, fazendo com que ele tenha respostas das suas necessidades de rota enquanto utiliza seu pensamento para resolucionar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2" s="152"/>
      <c r="J322" s="152"/>
      <c r="K322" s="153"/>
      <c r="L322" s="152"/>
      <c r="M322" s="152"/>
      <c r="N322" s="153"/>
      <c r="O322" s="152"/>
      <c r="P322" s="152"/>
      <c r="Q322" s="154"/>
      <c r="T322" s="154"/>
      <c r="V322" s="80"/>
    </row>
    <row r="323" spans="1:22" ht="15" customHeight="1">
      <c r="A323" s="49">
        <v>27</v>
      </c>
      <c r="B323" s="155" t="s">
        <v>19</v>
      </c>
      <c r="C323" s="155" t="s">
        <v>97</v>
      </c>
      <c r="D323" s="156">
        <v>30</v>
      </c>
      <c r="E323" s="156">
        <v>20</v>
      </c>
      <c r="F323" s="155">
        <f t="shared" si="35"/>
        <v>25</v>
      </c>
      <c r="G323" s="152"/>
      <c r="H32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Navegadores como o GPS já fazem parte do nosso dia a dia e são exemplo de inteligência artificial, visto que conseguem, por exemplo, recalcular rotas e torná-las diferentes, inclusive podendo ser recalculadas caso não sigamos o seu comando.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3" s="152"/>
      <c r="J323" s="152"/>
      <c r="K323" s="153"/>
      <c r="L323" s="152"/>
      <c r="M323" s="152"/>
      <c r="N323" s="153"/>
      <c r="O323" s="152"/>
      <c r="P323" s="152"/>
      <c r="Q323" s="154"/>
      <c r="T323" s="154"/>
      <c r="V323" s="80"/>
    </row>
    <row r="324" spans="1:22" ht="15" customHeight="1">
      <c r="A324" s="51">
        <v>28</v>
      </c>
      <c r="B324" s="49" t="s">
        <v>19</v>
      </c>
      <c r="C324" s="50" t="s">
        <v>100</v>
      </c>
      <c r="D324" s="49">
        <v>20</v>
      </c>
      <c r="E324" s="49">
        <v>35</v>
      </c>
      <c r="F324" s="50">
        <f t="shared" si="35"/>
        <v>27.5</v>
      </c>
      <c r="G324" s="152"/>
      <c r="H32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ela não acha ruim a IA, desde que utilizada de uma maneira em que ajude o usuario a ter mais um leque de possibilidades em suas mãos e que não o limite.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4" s="152"/>
      <c r="J324" s="152"/>
      <c r="K324" s="153"/>
      <c r="L324" s="152"/>
      <c r="M324" s="152"/>
      <c r="N324" s="153"/>
      <c r="O324" s="152"/>
      <c r="P324" s="152"/>
      <c r="Q324" s="154"/>
      <c r="T324" s="154"/>
      <c r="V324" s="80"/>
    </row>
    <row r="325" spans="1:22" ht="15" customHeight="1">
      <c r="A325" s="49">
        <v>29</v>
      </c>
      <c r="B325" s="50" t="s">
        <v>19</v>
      </c>
      <c r="C325" s="49" t="s">
        <v>103</v>
      </c>
      <c r="D325" s="49">
        <v>20</v>
      </c>
      <c r="E325" s="49">
        <v>25</v>
      </c>
      <c r="F325" s="50">
        <f t="shared" si="35"/>
        <v>22.5</v>
      </c>
      <c r="G325" s="152"/>
      <c r="H32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tecnologias úteis que se tornaram imprescindíveis, embora nem todas sejam, ainda mais relacionadas às redes sociais.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5" s="152"/>
      <c r="J325" s="152"/>
      <c r="K325" s="153"/>
      <c r="L325" s="152"/>
      <c r="M325" s="152"/>
      <c r="N325" s="153"/>
      <c r="O325" s="152"/>
      <c r="P325" s="152"/>
      <c r="Q325" s="154"/>
      <c r="T325" s="154"/>
      <c r="V325" s="80"/>
    </row>
    <row r="326" spans="1:22" ht="15" customHeight="1">
      <c r="A326" s="49">
        <v>30</v>
      </c>
      <c r="B326" s="50" t="s">
        <v>19</v>
      </c>
      <c r="C326" s="49" t="s">
        <v>106</v>
      </c>
      <c r="D326" s="49">
        <v>35</v>
      </c>
      <c r="E326" s="49">
        <v>30</v>
      </c>
      <c r="F326" s="50">
        <f t="shared" si="35"/>
        <v>32.5</v>
      </c>
      <c r="G326" s="152"/>
      <c r="H32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Podemos usar a inteligência artificial para otimizar as tarefas, como utilizar o GPS para calcular a rota mais rápida ou a sem semáforo.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6" s="152"/>
      <c r="J326" s="152"/>
      <c r="K326" s="153"/>
      <c r="L326" s="152"/>
      <c r="M326" s="152"/>
      <c r="N326" s="153"/>
      <c r="O326" s="152"/>
      <c r="P326" s="152"/>
      <c r="Q326" s="154"/>
      <c r="T326" s="154"/>
      <c r="V326" s="80"/>
    </row>
    <row r="327" spans="1:22" ht="15" customHeight="1">
      <c r="A327" s="43">
        <v>31</v>
      </c>
      <c r="B327" s="50" t="s">
        <v>19</v>
      </c>
      <c r="C327" s="49" t="s">
        <v>109</v>
      </c>
      <c r="D327" s="49">
        <v>30</v>
      </c>
      <c r="E327" s="49">
        <v>35</v>
      </c>
      <c r="F327" s="50">
        <f t="shared" si="35"/>
        <v>32.5</v>
      </c>
      <c r="G327" s="152"/>
      <c r="H32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ferramentas tecnológicas permeam as diversas esferas do nosso cotidiano, nos auxiliando nas atividades do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7" s="152"/>
      <c r="J327" s="152"/>
      <c r="K327" s="153"/>
      <c r="L327" s="152"/>
      <c r="M327" s="152"/>
      <c r="N327" s="153"/>
      <c r="O327" s="152"/>
      <c r="P327" s="152"/>
      <c r="Q327" s="154"/>
      <c r="T327" s="154"/>
      <c r="V327" s="80"/>
    </row>
    <row r="328" spans="1:22" ht="15" customHeight="1">
      <c r="A328" s="49">
        <v>32</v>
      </c>
      <c r="B328" s="50" t="s">
        <v>19</v>
      </c>
      <c r="C328" s="49" t="s">
        <v>112</v>
      </c>
      <c r="D328" s="49">
        <v>20</v>
      </c>
      <c r="E328" s="49">
        <v>25</v>
      </c>
      <c r="F328" s="50">
        <f t="shared" si="35"/>
        <v>22.5</v>
      </c>
      <c r="G328" s="152"/>
      <c r="H32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as ferramentas tecnológicas estão presentes no mundo moderno para facilitar a vida do homem, auxiliar para que as pessoas possam pensar em outros assuntos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8" s="152"/>
      <c r="J328" s="152"/>
      <c r="K328" s="153"/>
      <c r="L328" s="152"/>
      <c r="M328" s="152"/>
      <c r="N328" s="153"/>
      <c r="O328" s="152"/>
      <c r="P328" s="152"/>
      <c r="Q328" s="154"/>
      <c r="T328" s="154"/>
      <c r="V328" s="80"/>
    </row>
    <row r="329" spans="1:22" ht="15" customHeight="1">
      <c r="A329" s="49">
        <v>33</v>
      </c>
      <c r="B329" s="50" t="s">
        <v>19</v>
      </c>
      <c r="C329" s="50" t="s">
        <v>115</v>
      </c>
      <c r="D329" s="49">
        <v>10</v>
      </c>
      <c r="E329" s="49">
        <v>10</v>
      </c>
      <c r="F329" s="50">
        <f t="shared" si="35"/>
        <v>10</v>
      </c>
      <c r="G329" s="152"/>
      <c r="H32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 que oferecem soluções melhores e rápidas são úteis para as pessoas, sendo diferentes das burrices artificiais que induzem as pessoas a tomarem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9" s="152"/>
      <c r="J329" s="152"/>
      <c r="K329" s="153"/>
      <c r="L329" s="152"/>
      <c r="M329" s="152"/>
      <c r="N329" s="153"/>
      <c r="O329" s="152"/>
      <c r="P329" s="152"/>
      <c r="Q329" s="154"/>
      <c r="T329" s="154"/>
      <c r="V329" s="80"/>
    </row>
    <row r="330" spans="1:22" ht="15" customHeight="1">
      <c r="A330" s="51">
        <v>34</v>
      </c>
      <c r="B330" s="50" t="s">
        <v>19</v>
      </c>
      <c r="C330" s="49" t="s">
        <v>118</v>
      </c>
      <c r="D330" s="49">
        <v>0</v>
      </c>
      <c r="E330" s="49">
        <v>0</v>
      </c>
      <c r="F330" s="50">
        <f t="shared" si="35"/>
        <v>0</v>
      </c>
      <c r="G330" s="152"/>
      <c r="H33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inteligência artificial que auxilia, mas que também é Passível de configuração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0" s="152"/>
      <c r="J330" s="152"/>
      <c r="K330" s="153"/>
      <c r="L330" s="152"/>
      <c r="M330" s="152"/>
      <c r="N330" s="153"/>
      <c r="O330" s="152"/>
      <c r="P330" s="152"/>
      <c r="Q330" s="154"/>
      <c r="T330" s="154"/>
      <c r="V330" s="80"/>
    </row>
    <row r="331" spans="1:22" ht="15" customHeight="1">
      <c r="A331" s="49">
        <v>35</v>
      </c>
      <c r="B331" s="50" t="s">
        <v>19</v>
      </c>
      <c r="C331" s="50" t="s">
        <v>121</v>
      </c>
      <c r="D331" s="49">
        <v>40</v>
      </c>
      <c r="E331" s="49">
        <v>40</v>
      </c>
      <c r="F331" s="50">
        <f t="shared" si="35"/>
        <v>40</v>
      </c>
      <c r="G331" s="152"/>
      <c r="H33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auxilia de uma maneira positiva em muitos sentidos, escolhendo por exemplo, o caminho mais rápido até o seu destino, possibilitando assim que o ser humano foque em outros problemas já que o do trânsito estaria resolvido pelo GPS.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1" s="152"/>
      <c r="J331" s="152"/>
      <c r="K331" s="153"/>
      <c r="L331" s="152"/>
      <c r="M331" s="152"/>
      <c r="N331" s="153"/>
      <c r="O331" s="152"/>
      <c r="P331" s="152"/>
      <c r="Q331" s="154"/>
      <c r="T331" s="154"/>
      <c r="V331" s="80"/>
    </row>
    <row r="332" spans="1:22" ht="15" customHeight="1">
      <c r="A332" s="49">
        <v>36</v>
      </c>
      <c r="B332" s="50" t="s">
        <v>19</v>
      </c>
      <c r="C332" s="49" t="s">
        <v>124</v>
      </c>
      <c r="D332" s="49">
        <v>40</v>
      </c>
      <c r="E332" s="49">
        <v>40</v>
      </c>
      <c r="F332" s="50">
        <f t="shared" si="35"/>
        <v>40</v>
      </c>
      <c r="G332" s="152"/>
      <c r="H33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tecnologias/inteligências são boas e não restringe as escolhas dos humanos.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2" s="152"/>
      <c r="J332" s="152"/>
      <c r="K332" s="153"/>
      <c r="L332" s="152"/>
      <c r="M332" s="152"/>
      <c r="N332" s="153"/>
      <c r="O332" s="152"/>
      <c r="P332" s="152"/>
      <c r="Q332" s="154"/>
      <c r="T332" s="154"/>
      <c r="V332" s="80"/>
    </row>
    <row r="333" spans="1:22" ht="15" customHeight="1">
      <c r="A333" s="43">
        <v>37</v>
      </c>
      <c r="B333" s="155" t="s">
        <v>19</v>
      </c>
      <c r="C333" s="155" t="s">
        <v>127</v>
      </c>
      <c r="D333" s="156">
        <v>20</v>
      </c>
      <c r="E333" s="156">
        <v>25</v>
      </c>
      <c r="F333" s="155">
        <f t="shared" si="35"/>
        <v>22.5</v>
      </c>
      <c r="G333" s="152"/>
      <c r="H33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vem pra auxiliar o ser humano, dando lhe, mais tempo para realização de outras tarefas.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3" s="152"/>
      <c r="J333" s="152"/>
      <c r="K333" s="153"/>
      <c r="L333" s="152"/>
      <c r="M333" s="152"/>
      <c r="N333" s="153"/>
      <c r="O333" s="152"/>
      <c r="P333" s="152"/>
      <c r="Q333" s="154"/>
      <c r="T333" s="154"/>
      <c r="V333" s="80"/>
    </row>
    <row r="334" spans="1:22" ht="15" customHeight="1">
      <c r="A334" s="49">
        <v>38</v>
      </c>
      <c r="B334" s="49" t="s">
        <v>19</v>
      </c>
      <c r="C334" s="50" t="s">
        <v>129</v>
      </c>
      <c r="D334" s="49">
        <v>40</v>
      </c>
      <c r="E334" s="49">
        <v>30</v>
      </c>
      <c r="F334" s="50">
        <f t="shared" si="35"/>
        <v>35</v>
      </c>
      <c r="G334" s="152"/>
      <c r="H33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inteligências artificiais que otimizam o tempo no dia-a-dia.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4" s="152"/>
      <c r="J334" s="152"/>
      <c r="K334" s="153"/>
      <c r="L334" s="152"/>
      <c r="M334" s="152"/>
      <c r="N334" s="153"/>
      <c r="O334" s="152"/>
      <c r="P334" s="152"/>
      <c r="Q334" s="154"/>
      <c r="T334" s="154"/>
      <c r="V334" s="80"/>
    </row>
    <row r="335" spans="1:22" ht="15" customHeight="1">
      <c r="A335" s="49">
        <v>39</v>
      </c>
      <c r="B335" s="49" t="s">
        <v>19</v>
      </c>
      <c r="C335" s="49" t="s">
        <v>132</v>
      </c>
      <c r="D335" s="49">
        <v>10</v>
      </c>
      <c r="E335" s="49">
        <v>10</v>
      </c>
      <c r="F335" s="50">
        <f t="shared" si="35"/>
        <v>10</v>
      </c>
      <c r="G335" s="152"/>
      <c r="H33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mesmos sao legítimos calculadores inteligentes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5" s="152"/>
      <c r="J335" s="152"/>
      <c r="K335" s="153"/>
      <c r="L335" s="152"/>
      <c r="M335" s="152"/>
      <c r="N335" s="153"/>
      <c r="O335" s="152"/>
      <c r="P335" s="152"/>
      <c r="Q335" s="154"/>
      <c r="T335" s="154"/>
      <c r="V335" s="80"/>
    </row>
    <row r="336" spans="1:22" ht="15" customHeight="1">
      <c r="A336" s="51">
        <v>40</v>
      </c>
      <c r="B336" s="49" t="s">
        <v>19</v>
      </c>
      <c r="C336" s="49" t="s">
        <v>135</v>
      </c>
      <c r="D336" s="49">
        <v>0</v>
      </c>
      <c r="E336" s="49">
        <v>0</v>
      </c>
      <c r="F336" s="49">
        <v>0</v>
      </c>
      <c r="G336" s="152"/>
      <c r="H33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Eles analisam o ponto de saída e de chegada, considerando a preferência do usuário e rotas alternativas.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6" s="152"/>
      <c r="J336" s="152"/>
      <c r="K336" s="153"/>
      <c r="L336" s="152"/>
      <c r="M336" s="152"/>
      <c r="N336" s="153"/>
      <c r="O336" s="152"/>
      <c r="P336" s="152"/>
      <c r="Q336" s="154"/>
      <c r="T336" s="154"/>
      <c r="V336" s="80"/>
    </row>
    <row r="337" spans="1:22" ht="15" customHeight="1">
      <c r="A337" s="49">
        <v>41</v>
      </c>
      <c r="B337" s="50" t="s">
        <v>19</v>
      </c>
      <c r="C337" s="50" t="s">
        <v>138</v>
      </c>
      <c r="D337" s="49">
        <v>0</v>
      </c>
      <c r="E337" s="49">
        <v>0</v>
      </c>
      <c r="F337" s="50">
        <f t="shared" ref="F337:F429" si="37">SUM(D337:E337)/2</f>
        <v>0</v>
      </c>
      <c r="G337" s="152"/>
      <c r="H33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Porque eles calculam a rota de partida e destino dos usuários, e otimizam o trajeto do motorista. Dessa maneira, eles podem focar em outros problemas dentro do seu deslocamento.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7" s="152"/>
      <c r="J337" s="152"/>
      <c r="K337" s="153"/>
      <c r="L337" s="152"/>
      <c r="M337" s="152"/>
      <c r="N337" s="153"/>
      <c r="O337" s="152"/>
      <c r="P337" s="152"/>
      <c r="Q337" s="154"/>
      <c r="T337" s="154"/>
      <c r="V337" s="80"/>
    </row>
    <row r="338" spans="1:22" ht="15" customHeight="1">
      <c r="A338" s="49">
        <v>42</v>
      </c>
      <c r="B338" s="50" t="s">
        <v>19</v>
      </c>
      <c r="C338" s="50" t="s">
        <v>141</v>
      </c>
      <c r="D338" s="49">
        <v>15</v>
      </c>
      <c r="E338" s="49">
        <v>15</v>
      </c>
      <c r="F338" s="50">
        <f t="shared" si="37"/>
        <v>15</v>
      </c>
      <c r="G338" s="152"/>
      <c r="H33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automatização de algumas ferramentas pode facilitar o dia a dia de todos, a autora usou de exemplo o GPS que facilita nossa locomoção pelo mundo, montando rotas e facilitando nosso deslocamento como um guia.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8" s="152"/>
      <c r="J338" s="152"/>
      <c r="K338" s="153"/>
      <c r="L338" s="152"/>
      <c r="M338" s="152"/>
      <c r="N338" s="153"/>
      <c r="O338" s="152"/>
      <c r="P338" s="152"/>
      <c r="Q338" s="154"/>
      <c r="T338" s="154"/>
      <c r="V338" s="80"/>
    </row>
    <row r="339" spans="1:22" ht="15" customHeight="1">
      <c r="A339" s="43">
        <v>43</v>
      </c>
      <c r="B339" s="50" t="s">
        <v>19</v>
      </c>
      <c r="C339" s="50" t="s">
        <v>144</v>
      </c>
      <c r="D339" s="49">
        <v>40</v>
      </c>
      <c r="E339" s="49">
        <v>40</v>
      </c>
      <c r="F339" s="50">
        <f t="shared" si="37"/>
        <v>40</v>
      </c>
      <c r="G339" s="152"/>
      <c r="H33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pode ser utilizada para facilitar a análise das opções possíveis e ajudar a tomarmos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9" s="152"/>
      <c r="J339" s="152"/>
      <c r="K339" s="153"/>
      <c r="L339" s="152"/>
      <c r="M339" s="152"/>
      <c r="N339" s="153"/>
      <c r="O339" s="152"/>
      <c r="P339" s="152"/>
      <c r="Q339" s="154"/>
      <c r="T339" s="154"/>
      <c r="V339" s="80"/>
    </row>
    <row r="340" spans="1:22" ht="15" customHeight="1">
      <c r="A340" s="49">
        <v>44</v>
      </c>
      <c r="B340" s="50" t="s">
        <v>19</v>
      </c>
      <c r="C340" s="50" t="s">
        <v>147</v>
      </c>
      <c r="D340" s="49">
        <v>30</v>
      </c>
      <c r="E340" s="49">
        <v>20</v>
      </c>
      <c r="F340" s="50">
        <f t="shared" si="37"/>
        <v>25</v>
      </c>
      <c r="G340" s="152"/>
      <c r="H34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 exemplo de aplicativo que surgiu com o avanço da tecnologia, e que pode ser eficaz em uma perspectiva de precisar de ajuda para calcular a rota de determinado trajeto. Tratando-se então, de um recurso tecnológico positivo para a sociedade humana.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0" s="152"/>
      <c r="J340" s="152"/>
      <c r="K340" s="153"/>
      <c r="L340" s="152"/>
      <c r="M340" s="152"/>
      <c r="N340" s="153"/>
      <c r="O340" s="152"/>
      <c r="P340" s="152"/>
      <c r="Q340" s="154"/>
      <c r="T340" s="154"/>
      <c r="V340" s="80"/>
    </row>
    <row r="341" spans="1:22" ht="15" customHeight="1">
      <c r="A341" s="49">
        <v>45</v>
      </c>
      <c r="B341" s="50" t="s">
        <v>19</v>
      </c>
      <c r="C341" s="49" t="s">
        <v>150</v>
      </c>
      <c r="D341" s="49">
        <v>25</v>
      </c>
      <c r="E341" s="49">
        <v>20</v>
      </c>
      <c r="F341" s="50">
        <f t="shared" si="37"/>
        <v>22.5</v>
      </c>
      <c r="G341" s="152"/>
      <c r="H34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inteligências artificiais capezes de serem úteis para os seres humanos.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1" s="152"/>
      <c r="J341" s="152"/>
      <c r="K341" s="153"/>
      <c r="L341" s="152"/>
      <c r="M341" s="152"/>
      <c r="N341" s="153"/>
      <c r="O341" s="152"/>
      <c r="P341" s="152"/>
      <c r="Q341" s="154"/>
      <c r="T341" s="154"/>
      <c r="V341" s="80"/>
    </row>
    <row r="342" spans="1:22" ht="15" customHeight="1">
      <c r="A342" s="51">
        <v>46</v>
      </c>
      <c r="B342" s="49" t="s">
        <v>19</v>
      </c>
      <c r="C342" s="50" t="s">
        <v>153</v>
      </c>
      <c r="D342" s="49">
        <v>15</v>
      </c>
      <c r="E342" s="49">
        <v>30</v>
      </c>
      <c r="F342" s="50">
        <f t="shared" si="37"/>
        <v>22.5</v>
      </c>
      <c r="G342" s="152"/>
      <c r="H34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otimiza o tempo das pessoas, fazendo com que elas se preocupem com outras coisas enquanto o GPS resolve problemas como tráfego, acidentes, semâforos e etc.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2" s="152"/>
      <c r="J342" s="152"/>
      <c r="K342" s="153"/>
      <c r="L342" s="152"/>
      <c r="M342" s="152"/>
      <c r="N342" s="153"/>
      <c r="O342" s="152"/>
      <c r="P342" s="152"/>
      <c r="Q342" s="154"/>
      <c r="T342" s="154"/>
      <c r="V342" s="80"/>
    </row>
    <row r="343" spans="1:22" ht="15" customHeight="1">
      <c r="A343" s="49">
        <v>47</v>
      </c>
      <c r="B343" s="50" t="s">
        <v>19</v>
      </c>
      <c r="C343" s="49" t="s">
        <v>156</v>
      </c>
      <c r="D343" s="49">
        <v>30</v>
      </c>
      <c r="E343" s="49">
        <v>30</v>
      </c>
      <c r="F343" s="50">
        <f t="shared" si="37"/>
        <v>30</v>
      </c>
      <c r="G343" s="152"/>
      <c r="H34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NO TEXTO, A AUTORA USA O GPS COMO UM EXEMPLO PARA DEFENDER A IDEIA DE QUE ALGORITMOS QUE NOS AJUDEM SÃO ÚTEIS, QUE POSSAM FACILITAR SITUAÇÕES PARA NÓS, AJUDANDO A FOCAR EM OUTRAS PREOCUPAÇÕES OU ÁREAS DE MAIOR ATENÇÃO.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3" s="152"/>
      <c r="J343" s="152"/>
      <c r="K343" s="153"/>
      <c r="L343" s="152"/>
      <c r="M343" s="152"/>
      <c r="N343" s="153"/>
      <c r="O343" s="152"/>
      <c r="P343" s="152"/>
      <c r="Q343" s="154"/>
      <c r="T343" s="154"/>
      <c r="V343" s="80"/>
    </row>
    <row r="344" spans="1:22" ht="15" customHeight="1">
      <c r="A344" s="49">
        <v>48</v>
      </c>
      <c r="B344" s="50" t="s">
        <v>19</v>
      </c>
      <c r="C344" s="49" t="s">
        <v>159</v>
      </c>
      <c r="D344" s="49">
        <v>35</v>
      </c>
      <c r="E344" s="49">
        <v>35</v>
      </c>
      <c r="F344" s="50">
        <f t="shared" si="37"/>
        <v>35</v>
      </c>
      <c r="G344" s="152"/>
      <c r="H34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inteligências artificiais estão disponíveis a nosso favor, ao calcular a rota a IA, economiza o tempo do motorista que pode ser voltado a outras preocupações, como suas malas, a revisão do carro e outros, que apenas o ser humano pode fazer.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4" s="152"/>
      <c r="J344" s="152"/>
      <c r="K344" s="153"/>
      <c r="L344" s="152"/>
      <c r="M344" s="152"/>
      <c r="N344" s="153"/>
      <c r="O344" s="152"/>
      <c r="P344" s="152"/>
      <c r="Q344" s="154"/>
      <c r="T344" s="154"/>
      <c r="V344" s="80"/>
    </row>
    <row r="345" spans="1:22" ht="15" customHeight="1">
      <c r="A345" s="43">
        <v>49</v>
      </c>
      <c r="B345" s="50" t="s">
        <v>19</v>
      </c>
      <c r="C345" s="49" t="s">
        <v>162</v>
      </c>
      <c r="D345" s="49">
        <v>10</v>
      </c>
      <c r="E345" s="49">
        <v>10</v>
      </c>
      <c r="F345" s="50">
        <f t="shared" si="37"/>
        <v>10</v>
      </c>
      <c r="G345" s="152"/>
      <c r="H34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Eles são capazes de explorar possivilades e maximizá-las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5" s="152"/>
      <c r="J345" s="152"/>
      <c r="K345" s="153"/>
      <c r="L345" s="152"/>
      <c r="M345" s="152"/>
      <c r="N345" s="153"/>
      <c r="O345" s="152"/>
      <c r="P345" s="152"/>
      <c r="Q345" s="154"/>
      <c r="T345" s="154"/>
      <c r="V345" s="80"/>
    </row>
    <row r="346" spans="1:22" ht="15" customHeight="1">
      <c r="A346" s="49">
        <v>50</v>
      </c>
      <c r="B346" s="50" t="s">
        <v>19</v>
      </c>
      <c r="C346" s="50" t="s">
        <v>165</v>
      </c>
      <c r="D346" s="49">
        <v>10</v>
      </c>
      <c r="E346" s="49">
        <v>15</v>
      </c>
      <c r="F346" s="50">
        <f t="shared" si="37"/>
        <v>12.5</v>
      </c>
      <c r="G346" s="152"/>
      <c r="H34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utilizando o gps como um meio de localização, ele vai facilitar a vida da pessoa, podendo fazer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6" s="152"/>
      <c r="J346" s="152"/>
      <c r="K346" s="153"/>
      <c r="L346" s="152"/>
      <c r="M346" s="152"/>
      <c r="N346" s="153"/>
      <c r="O346" s="152"/>
      <c r="P346" s="152"/>
      <c r="Q346" s="154"/>
      <c r="T346" s="154"/>
      <c r="V346" s="80"/>
    </row>
    <row r="347" spans="1:22" ht="15" customHeight="1">
      <c r="A347" s="49">
        <v>51</v>
      </c>
      <c r="B347" s="50" t="s">
        <v>19</v>
      </c>
      <c r="C347" s="50" t="s">
        <v>168</v>
      </c>
      <c r="D347" s="49">
        <v>30</v>
      </c>
      <c r="E347" s="49">
        <v>35</v>
      </c>
      <c r="F347" s="50">
        <f t="shared" si="37"/>
        <v>32.5</v>
      </c>
      <c r="G347" s="152"/>
      <c r="H34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em sua totalidade, se usada de forma proveitosa, serve para maximizar as possibilidades que o leitor ou usuário tem em relação ao seu objetivo, funciona como meio de reduzir o tempo empregado em uma tarefa ao mesmo tempo em que maximiza seu resultado.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7" s="152"/>
      <c r="J347" s="152"/>
      <c r="K347" s="153"/>
      <c r="L347" s="152"/>
      <c r="M347" s="152"/>
      <c r="N347" s="153"/>
      <c r="O347" s="152"/>
      <c r="P347" s="152"/>
      <c r="Q347" s="154"/>
      <c r="T347" s="154"/>
      <c r="V347" s="80"/>
    </row>
    <row r="348" spans="1:22" ht="15" customHeight="1">
      <c r="A348" s="51">
        <v>52</v>
      </c>
      <c r="B348" s="50" t="s">
        <v>19</v>
      </c>
      <c r="C348" s="49" t="s">
        <v>171</v>
      </c>
      <c r="D348" s="49">
        <v>40</v>
      </c>
      <c r="E348" s="49">
        <v>35</v>
      </c>
      <c r="F348" s="50">
        <f t="shared" si="37"/>
        <v>37.5</v>
      </c>
      <c r="G348" s="152"/>
      <c r="H34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inteligências artificiais são um mecanismo de auxílio para as pessoas, uma vez que facilita certos racicínios humanos, porém, são uma forma de ferramenta que nos ajude, não substitua. Ao facilitar uma tarefa, a pessoa possui espaço para cuidar e analisar outras questões mais relevantes que não possam ser supridas por uma 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8" s="152"/>
      <c r="J348" s="152"/>
      <c r="K348" s="153"/>
      <c r="L348" s="152"/>
      <c r="M348" s="152"/>
      <c r="N348" s="153"/>
      <c r="O348" s="152"/>
      <c r="P348" s="152"/>
      <c r="Q348" s="154"/>
      <c r="T348" s="154"/>
      <c r="V348" s="80"/>
    </row>
    <row r="349" spans="1:22" ht="15" customHeight="1">
      <c r="A349" s="49">
        <v>53</v>
      </c>
      <c r="B349" s="50" t="s">
        <v>19</v>
      </c>
      <c r="C349" s="49" t="s">
        <v>174</v>
      </c>
      <c r="D349" s="49">
        <v>20</v>
      </c>
      <c r="E349" s="49">
        <v>25</v>
      </c>
      <c r="F349" s="50">
        <f t="shared" si="37"/>
        <v>22.5</v>
      </c>
      <c r="G349" s="152"/>
      <c r="H34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um RECURSO pra otimizar tempo. O GPS foi um ótimo e claro exemplo disso pois como dito no texto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9" s="152"/>
      <c r="J349" s="152"/>
      <c r="K349" s="153"/>
      <c r="L349" s="152"/>
      <c r="M349" s="152"/>
      <c r="N349" s="153"/>
      <c r="O349" s="152"/>
      <c r="P349" s="152"/>
      <c r="Q349" s="154"/>
      <c r="T349" s="154"/>
      <c r="V349" s="80"/>
    </row>
    <row r="350" spans="1:22" ht="15" customHeight="1">
      <c r="A350" s="49">
        <v>54</v>
      </c>
      <c r="B350" s="50" t="s">
        <v>19</v>
      </c>
      <c r="C350" s="49" t="s">
        <v>177</v>
      </c>
      <c r="D350" s="49">
        <v>27</v>
      </c>
      <c r="E350" s="49">
        <v>28</v>
      </c>
      <c r="F350" s="50">
        <f t="shared" si="37"/>
        <v>27.5</v>
      </c>
      <c r="G350" s="152"/>
      <c r="H35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 inteligencia artificial pode, e já existe, como um meio de suporte e de auxílio para nós se usada de forma correta, e não como algo que nos torne leigos ou iguinorantes, como ela citou, em se locomover de automóvel.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0" s="152"/>
      <c r="J350" s="152"/>
      <c r="K350" s="153"/>
      <c r="L350" s="152"/>
      <c r="M350" s="152"/>
      <c r="N350" s="153"/>
      <c r="O350" s="152"/>
      <c r="P350" s="152"/>
      <c r="Q350" s="154"/>
      <c r="T350" s="154"/>
      <c r="V350" s="80"/>
    </row>
    <row r="351" spans="1:22" ht="15" customHeight="1">
      <c r="A351" s="43">
        <v>55</v>
      </c>
      <c r="B351" s="50" t="s">
        <v>19</v>
      </c>
      <c r="C351" s="49" t="s">
        <v>180</v>
      </c>
      <c r="D351" s="49">
        <v>40</v>
      </c>
      <c r="E351" s="49">
        <v>40</v>
      </c>
      <c r="F351" s="50">
        <f t="shared" si="37"/>
        <v>40</v>
      </c>
      <c r="G351" s="152"/>
      <c r="H35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se trata de uma ferramenta de cálculo de rotas, um instrumento de análise de possibilidades de trajétos que oferece opções de escolha para o usuário. Assim, teoricamente, se estabelece a ideia de que inteligência artificial, no conceito proposto pela autora, estaria alinhado ao cálculo de possibilidades e oferecimento de opções para os usuários.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1" s="152"/>
      <c r="J351" s="152"/>
      <c r="K351" s="153"/>
      <c r="L351" s="152"/>
      <c r="M351" s="152"/>
      <c r="N351" s="153"/>
      <c r="O351" s="152"/>
      <c r="P351" s="152"/>
      <c r="Q351" s="154"/>
      <c r="T351" s="154"/>
      <c r="V351" s="80"/>
    </row>
    <row r="352" spans="1:22" ht="15" customHeight="1">
      <c r="A352" s="49">
        <v>56</v>
      </c>
      <c r="B352" s="50" t="s">
        <v>19</v>
      </c>
      <c r="C352" s="50" t="s">
        <v>183</v>
      </c>
      <c r="D352" s="49">
        <v>25</v>
      </c>
      <c r="E352" s="49">
        <v>20</v>
      </c>
      <c r="F352" s="50">
        <f t="shared" si="37"/>
        <v>22.5</v>
      </c>
      <c r="G352" s="152"/>
      <c r="H35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é um exemplos de ferramenta de inteligência artificial que já existe a muito tempo, ferramenta essa que contribui muito para os usuários .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2" s="152"/>
      <c r="J352" s="152"/>
      <c r="K352" s="153"/>
      <c r="L352" s="152"/>
      <c r="M352" s="152"/>
      <c r="N352" s="153"/>
      <c r="O352" s="152"/>
      <c r="P352" s="152"/>
      <c r="Q352" s="154"/>
      <c r="T352" s="154"/>
      <c r="V352" s="80"/>
    </row>
    <row r="353" spans="1:22" ht="15" customHeight="1">
      <c r="A353" s="49">
        <v>57</v>
      </c>
      <c r="B353" s="49" t="s">
        <v>19</v>
      </c>
      <c r="C353" s="49" t="s">
        <v>186</v>
      </c>
      <c r="D353" s="49">
        <v>30</v>
      </c>
      <c r="E353" s="49">
        <v>30</v>
      </c>
      <c r="F353" s="50">
        <f t="shared" si="37"/>
        <v>30</v>
      </c>
      <c r="G353" s="152"/>
      <c r="H35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útil, uma vez que agiliza a resolução de um problema.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3" s="152"/>
      <c r="J353" s="152"/>
      <c r="K353" s="153"/>
      <c r="L353" s="152"/>
      <c r="M353" s="152"/>
      <c r="N353" s="153"/>
      <c r="O353" s="152"/>
      <c r="P353" s="152"/>
      <c r="Q353" s="154"/>
      <c r="T353" s="154"/>
      <c r="V353" s="80"/>
    </row>
    <row r="354" spans="1:22" ht="15" customHeight="1">
      <c r="A354" s="51">
        <v>58</v>
      </c>
      <c r="B354" s="50" t="s">
        <v>19</v>
      </c>
      <c r="C354" s="50" t="s">
        <v>189</v>
      </c>
      <c r="D354" s="49">
        <v>0</v>
      </c>
      <c r="E354" s="49">
        <v>0</v>
      </c>
      <c r="F354" s="50">
        <f t="shared" si="37"/>
        <v>0</v>
      </c>
      <c r="G354" s="152"/>
      <c r="H35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de rota considerando ponto de partida e chegada.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4" s="152"/>
      <c r="J354" s="152"/>
      <c r="K354" s="153"/>
      <c r="L354" s="152"/>
      <c r="M354" s="152"/>
      <c r="N354" s="153"/>
      <c r="O354" s="152"/>
      <c r="P354" s="152"/>
      <c r="Q354" s="154"/>
      <c r="T354" s="154"/>
      <c r="V354" s="80"/>
    </row>
    <row r="355" spans="1:22" ht="15" customHeight="1">
      <c r="A355" s="49">
        <v>59</v>
      </c>
      <c r="B355" s="50" t="s">
        <v>19</v>
      </c>
      <c r="C355" s="50" t="s">
        <v>192</v>
      </c>
      <c r="D355" s="49">
        <v>30</v>
      </c>
      <c r="E355" s="49">
        <v>30</v>
      </c>
      <c r="F355" s="50">
        <f t="shared" si="37"/>
        <v>30</v>
      </c>
      <c r="G355" s="152"/>
      <c r="H35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se utilizada de uma boa maneira otimiza o tempo no dia a dia, o GPS é um bom exemplo dessa tecnologia, pois é eficiente,  facilita a localização de quem o utiliza, entre outros...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5" s="152"/>
      <c r="J355" s="152"/>
      <c r="K355" s="153"/>
      <c r="L355" s="152"/>
      <c r="M355" s="152"/>
      <c r="N355" s="153"/>
      <c r="O355" s="152"/>
      <c r="P355" s="152"/>
      <c r="Q355" s="154"/>
      <c r="T355" s="154"/>
      <c r="V355" s="80"/>
    </row>
    <row r="356" spans="1:22" ht="15" customHeight="1">
      <c r="A356" s="49">
        <v>60</v>
      </c>
      <c r="B356" s="50" t="s">
        <v>19</v>
      </c>
      <c r="C356" s="50" t="s">
        <v>195</v>
      </c>
      <c r="D356" s="49">
        <v>40</v>
      </c>
      <c r="E356" s="49">
        <v>40</v>
      </c>
      <c r="F356" s="50">
        <f t="shared" si="37"/>
        <v>40</v>
      </c>
      <c r="G356" s="152"/>
      <c r="H35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ajuda no processo de tomadas de decisões, enquanto usa seus próprios neurônios em resolução de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6" s="152"/>
      <c r="J356" s="152"/>
      <c r="K356" s="153"/>
      <c r="L356" s="152"/>
      <c r="M356" s="152"/>
      <c r="N356" s="153"/>
      <c r="O356" s="152"/>
      <c r="P356" s="152"/>
      <c r="Q356" s="154"/>
      <c r="T356" s="154"/>
      <c r="V356" s="80"/>
    </row>
    <row r="357" spans="1:22" ht="15" customHeight="1">
      <c r="A357" s="43">
        <v>61</v>
      </c>
      <c r="B357" s="50" t="s">
        <v>19</v>
      </c>
      <c r="C357" s="49" t="s">
        <v>198</v>
      </c>
      <c r="D357" s="49">
        <v>10</v>
      </c>
      <c r="E357" s="49">
        <v>10</v>
      </c>
      <c r="F357" s="50">
        <f t="shared" si="37"/>
        <v>10</v>
      </c>
      <c r="G357" s="152"/>
      <c r="H35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 que nos fornecem ajuda ou automaticamente ofereçam a melhor opção são muito úteis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7" s="152"/>
      <c r="J357" s="152"/>
      <c r="K357" s="153"/>
      <c r="L357" s="152"/>
      <c r="M357" s="152"/>
      <c r="N357" s="153"/>
      <c r="O357" s="152"/>
      <c r="P357" s="152"/>
      <c r="Q357" s="154"/>
      <c r="T357" s="154"/>
      <c r="V357" s="80"/>
    </row>
    <row r="358" spans="1:22" ht="15" customHeight="1">
      <c r="A358" s="49">
        <v>62</v>
      </c>
      <c r="B358" s="50" t="s">
        <v>19</v>
      </c>
      <c r="C358" s="49" t="s">
        <v>201</v>
      </c>
      <c r="D358" s="49">
        <v>10</v>
      </c>
      <c r="E358" s="49">
        <v>0</v>
      </c>
      <c r="F358" s="50">
        <f t="shared" si="37"/>
        <v>5</v>
      </c>
      <c r="G358" s="152"/>
      <c r="H35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Certos algoritmos nos ajudam, no deslocamento, com menos transtornos nas viagens.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8" s="152"/>
      <c r="J358" s="152"/>
      <c r="K358" s="153"/>
      <c r="L358" s="152"/>
      <c r="M358" s="152"/>
      <c r="N358" s="153"/>
      <c r="O358" s="152"/>
      <c r="P358" s="152"/>
      <c r="Q358" s="154"/>
      <c r="T358" s="154"/>
      <c r="V358" s="80"/>
    </row>
    <row r="359" spans="1:22" ht="15" customHeight="1">
      <c r="A359" s="49">
        <v>63</v>
      </c>
      <c r="B359" s="50" t="s">
        <v>19</v>
      </c>
      <c r="C359" s="50" t="s">
        <v>204</v>
      </c>
      <c r="D359" s="49">
        <v>30</v>
      </c>
      <c r="E359" s="49">
        <v>30</v>
      </c>
      <c r="F359" s="50">
        <f t="shared" si="37"/>
        <v>30</v>
      </c>
      <c r="G359" s="152"/>
      <c r="H35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ajuda na maximização e otimização do tempo. Isso nos ajuda a pensar em outras enquanto o algoritmo traça nossa rota de acordo com nossa preferencia.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9" s="152"/>
      <c r="J359" s="152"/>
      <c r="K359" s="153"/>
      <c r="L359" s="152"/>
      <c r="M359" s="152"/>
      <c r="N359" s="153"/>
      <c r="O359" s="152"/>
      <c r="P359" s="152"/>
      <c r="Q359" s="154"/>
      <c r="T359" s="154"/>
      <c r="V359" s="80"/>
    </row>
    <row r="360" spans="1:22" ht="15" customHeight="1">
      <c r="A360" s="51">
        <v>64</v>
      </c>
      <c r="B360" s="49" t="s">
        <v>19</v>
      </c>
      <c r="C360" s="49" t="s">
        <v>207</v>
      </c>
      <c r="D360" s="49">
        <v>25</v>
      </c>
      <c r="E360" s="49">
        <v>20</v>
      </c>
      <c r="F360" s="50">
        <f t="shared" si="37"/>
        <v>22.5</v>
      </c>
      <c r="G360" s="152"/>
      <c r="H36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Ao utilizar o GPS os usuários otimizam seu tempo para resolver outros problemas, já que a inteligência artificial estará minimizando "os neurônios" do indivíduo, ou seja, aquela pessoa não precisará de sua atenção total ao exercer a função na qual essa IA já está desempenhando.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0" s="152"/>
      <c r="J360" s="152"/>
      <c r="K360" s="153"/>
      <c r="L360" s="152"/>
      <c r="M360" s="152"/>
      <c r="N360" s="153"/>
      <c r="O360" s="152"/>
      <c r="P360" s="152"/>
      <c r="Q360" s="154"/>
      <c r="T360" s="154"/>
      <c r="V360" s="80"/>
    </row>
    <row r="361" spans="1:22" ht="15" customHeight="1">
      <c r="A361" s="49">
        <v>65</v>
      </c>
      <c r="B361" s="49" t="s">
        <v>19</v>
      </c>
      <c r="C361" s="49" t="s">
        <v>124</v>
      </c>
      <c r="D361" s="49">
        <v>40</v>
      </c>
      <c r="E361" s="49">
        <v>40</v>
      </c>
      <c r="F361" s="50">
        <f t="shared" si="37"/>
        <v>40</v>
      </c>
      <c r="G361" s="152"/>
      <c r="H36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tecnologias/inteligências são boas e não restringe as escolhas dos humanos.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1" s="152"/>
      <c r="J361" s="152"/>
      <c r="K361" s="153"/>
      <c r="L361" s="152"/>
      <c r="M361" s="152"/>
      <c r="N361" s="153"/>
      <c r="O361" s="152"/>
      <c r="P361" s="152"/>
      <c r="Q361" s="154"/>
      <c r="T361" s="154"/>
      <c r="V361" s="80"/>
    </row>
    <row r="362" spans="1:22" ht="15" customHeight="1">
      <c r="A362" s="49">
        <v>66</v>
      </c>
      <c r="B362" s="49" t="s">
        <v>19</v>
      </c>
      <c r="C362" s="50" t="s">
        <v>212</v>
      </c>
      <c r="D362" s="49">
        <v>10</v>
      </c>
      <c r="E362" s="49">
        <v>25</v>
      </c>
      <c r="F362" s="50">
        <f t="shared" si="37"/>
        <v>17.5</v>
      </c>
      <c r="G362" s="152"/>
      <c r="H36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Inteligências artificiais podem ser muito úteis.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2" s="152"/>
      <c r="J362" s="152"/>
      <c r="K362" s="153"/>
      <c r="L362" s="152"/>
      <c r="M362" s="152"/>
      <c r="N362" s="153"/>
      <c r="O362" s="152"/>
      <c r="P362" s="152"/>
      <c r="Q362" s="154"/>
      <c r="T362" s="154"/>
      <c r="V362" s="80"/>
    </row>
    <row r="363" spans="1:22" ht="15" customHeight="1">
      <c r="A363" s="43">
        <v>67</v>
      </c>
      <c r="B363" s="50" t="s">
        <v>19</v>
      </c>
      <c r="C363" s="50" t="s">
        <v>215</v>
      </c>
      <c r="D363" s="49">
        <v>0</v>
      </c>
      <c r="E363" s="49">
        <v>0</v>
      </c>
      <c r="F363" s="50">
        <f t="shared" si="37"/>
        <v>0</v>
      </c>
      <c r="G363" s="152"/>
      <c r="H36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é uma excelente calculadora que pode te auxiliar pensando em rotas mais rápidas, sem trânsito, semáforo enquanto você pode resolver outra tarefa.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3" s="152"/>
      <c r="J363" s="152"/>
      <c r="K363" s="153"/>
      <c r="L363" s="152"/>
      <c r="M363" s="152"/>
      <c r="N363" s="153"/>
      <c r="O363" s="152"/>
      <c r="P363" s="152"/>
      <c r="Q363" s="154"/>
      <c r="T363" s="154"/>
      <c r="V363" s="80"/>
    </row>
    <row r="364" spans="1:22" ht="15" customHeight="1">
      <c r="A364" s="49">
        <v>68</v>
      </c>
      <c r="B364" s="50" t="s">
        <v>19</v>
      </c>
      <c r="C364" s="50" t="s">
        <v>218</v>
      </c>
      <c r="D364" s="49">
        <v>10</v>
      </c>
      <c r="E364" s="49">
        <v>10</v>
      </c>
      <c r="F364" s="50">
        <f t="shared" si="37"/>
        <v>10</v>
      </c>
      <c r="G364" s="152"/>
      <c r="H36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calcula as melhores rotas, com base em nossas preferências pré selecionadas, enquanto colocamos nossos esforços em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4" s="152"/>
      <c r="J364" s="152"/>
      <c r="K364" s="153"/>
      <c r="L364" s="152"/>
      <c r="M364" s="152"/>
      <c r="N364" s="153"/>
      <c r="O364" s="152"/>
      <c r="P364" s="152"/>
      <c r="Q364" s="154"/>
      <c r="T364" s="154"/>
      <c r="V364" s="80"/>
    </row>
    <row r="365" spans="1:22" ht="15" customHeight="1">
      <c r="A365" s="49">
        <v>69</v>
      </c>
      <c r="B365" s="155" t="s">
        <v>19</v>
      </c>
      <c r="C365" s="155" t="s">
        <v>221</v>
      </c>
      <c r="D365" s="156">
        <v>30</v>
      </c>
      <c r="E365" s="156">
        <v>30</v>
      </c>
      <c r="F365" s="155">
        <f t="shared" si="37"/>
        <v>30</v>
      </c>
      <c r="G365" s="152"/>
      <c r="H36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usa o GPS para defender a ideia de que a Inteligência Artificial já está em uso há certo tempo e sua utilidade em processos.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5" s="152"/>
      <c r="J365" s="152"/>
      <c r="K365" s="153"/>
      <c r="L365" s="152"/>
      <c r="M365" s="152"/>
      <c r="N365" s="153"/>
      <c r="O365" s="152"/>
      <c r="P365" s="152"/>
      <c r="Q365" s="154"/>
      <c r="T365" s="154"/>
      <c r="V365" s="80"/>
    </row>
    <row r="366" spans="1:22" ht="15" customHeight="1">
      <c r="A366" s="51">
        <v>70</v>
      </c>
      <c r="B366" s="50" t="s">
        <v>19</v>
      </c>
      <c r="C366" s="49" t="s">
        <v>223</v>
      </c>
      <c r="D366" s="49">
        <v>20</v>
      </c>
      <c r="E366" s="49">
        <v>20</v>
      </c>
      <c r="F366" s="50">
        <f t="shared" si="37"/>
        <v>20</v>
      </c>
      <c r="G366" s="152"/>
      <c r="H36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inteligenca artificial pode nos auxiliar em diveros aspectos.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6" s="152"/>
      <c r="J366" s="152"/>
      <c r="K366" s="153"/>
      <c r="L366" s="152"/>
      <c r="M366" s="152"/>
      <c r="N366" s="153"/>
      <c r="O366" s="152"/>
      <c r="P366" s="152"/>
      <c r="Q366" s="154"/>
      <c r="T366" s="154"/>
      <c r="V366" s="80"/>
    </row>
    <row r="367" spans="1:22" ht="15" customHeight="1">
      <c r="A367" s="49">
        <v>71</v>
      </c>
      <c r="B367" s="50" t="s">
        <v>19</v>
      </c>
      <c r="C367" s="50" t="s">
        <v>226</v>
      </c>
      <c r="D367" s="49">
        <v>20</v>
      </c>
      <c r="E367" s="49">
        <v>30</v>
      </c>
      <c r="F367" s="50">
        <f t="shared" si="37"/>
        <v>25</v>
      </c>
      <c r="G367" s="152"/>
      <c r="H36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é muito importante para o cotidiano, mas não deve ser vislumbrada pela ideia de contaminação do algoritmo.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7" s="152"/>
      <c r="J367" s="152"/>
      <c r="K367" s="153"/>
      <c r="L367" s="152"/>
      <c r="M367" s="152"/>
      <c r="N367" s="153"/>
      <c r="O367" s="152"/>
      <c r="P367" s="152"/>
      <c r="Q367" s="154"/>
      <c r="T367" s="154"/>
      <c r="V367" s="80"/>
    </row>
    <row r="368" spans="1:22" ht="15" customHeight="1">
      <c r="A368" s="49">
        <v>72</v>
      </c>
      <c r="B368" s="50" t="s">
        <v>19</v>
      </c>
      <c r="C368" s="50" t="s">
        <v>229</v>
      </c>
      <c r="D368" s="49">
        <v>5</v>
      </c>
      <c r="E368" s="49">
        <v>10</v>
      </c>
      <c r="F368" s="50">
        <f t="shared" si="37"/>
        <v>7.5</v>
      </c>
      <c r="G368" s="152"/>
      <c r="H36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aplicativos que fazem uso de Inteligência Artificial de maneira proveitosa.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8" s="152"/>
      <c r="J368" s="152"/>
      <c r="K368" s="153"/>
      <c r="L368" s="152"/>
      <c r="M368" s="152"/>
      <c r="N368" s="153"/>
      <c r="O368" s="152"/>
      <c r="P368" s="152"/>
      <c r="Q368" s="154"/>
      <c r="T368" s="154"/>
      <c r="V368" s="80"/>
    </row>
    <row r="369" spans="1:22" ht="15" customHeight="1">
      <c r="A369" s="43">
        <v>73</v>
      </c>
      <c r="B369" s="50" t="s">
        <v>19</v>
      </c>
      <c r="C369" s="50" t="s">
        <v>232</v>
      </c>
      <c r="D369" s="49">
        <v>10</v>
      </c>
      <c r="E369" s="49">
        <v>20</v>
      </c>
      <c r="F369" s="50">
        <f t="shared" si="37"/>
        <v>15</v>
      </c>
      <c r="G369" s="152"/>
      <c r="H36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já está entre nós a bastante tempo, nao foi algo que chegou derrepente.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9" s="152"/>
      <c r="J369" s="152"/>
      <c r="K369" s="153"/>
      <c r="L369" s="152"/>
      <c r="M369" s="152"/>
      <c r="N369" s="153"/>
      <c r="O369" s="152"/>
      <c r="P369" s="152"/>
      <c r="Q369" s="154"/>
      <c r="T369" s="154"/>
      <c r="V369" s="80"/>
    </row>
    <row r="370" spans="1:22" ht="15" customHeight="1">
      <c r="A370" s="49">
        <v>74</v>
      </c>
      <c r="B370" s="50" t="s">
        <v>19</v>
      </c>
      <c r="C370" s="50" t="s">
        <v>235</v>
      </c>
      <c r="D370" s="49">
        <v>20</v>
      </c>
      <c r="E370" s="49">
        <v>20</v>
      </c>
      <c r="F370" s="50">
        <f t="shared" si="37"/>
        <v>20</v>
      </c>
      <c r="G370" s="152"/>
      <c r="H37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Defende que a ideia a inteligência nos permite identificar e optar pelos caminhos que mantêm mais portas abertas para o futuro, ou seja, esses algorítimos nos ajudam  e são muito uteis, assim você pode gastar seus neurônios para gastar com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0" s="152"/>
      <c r="J370" s="152"/>
      <c r="K370" s="153"/>
      <c r="L370" s="152"/>
      <c r="M370" s="152"/>
      <c r="N370" s="153"/>
      <c r="O370" s="152"/>
      <c r="P370" s="152"/>
      <c r="Q370" s="154"/>
      <c r="T370" s="154"/>
      <c r="V370" s="80"/>
    </row>
    <row r="371" spans="1:22" ht="15" customHeight="1">
      <c r="A371" s="49">
        <v>75</v>
      </c>
      <c r="B371" s="50" t="s">
        <v>19</v>
      </c>
      <c r="C371" s="50" t="s">
        <v>238</v>
      </c>
      <c r="D371" s="49">
        <v>0</v>
      </c>
      <c r="E371" s="49">
        <v>0</v>
      </c>
      <c r="F371" s="50">
        <f t="shared" si="37"/>
        <v>0</v>
      </c>
      <c r="G371" s="152"/>
      <c r="H37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inteligentes calculadores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1" s="152"/>
      <c r="J371" s="152"/>
      <c r="K371" s="153"/>
      <c r="L371" s="152"/>
      <c r="M371" s="152"/>
      <c r="N371" s="153"/>
      <c r="O371" s="152"/>
      <c r="P371" s="152"/>
      <c r="Q371" s="154"/>
      <c r="T371" s="154"/>
      <c r="V371" s="80"/>
    </row>
    <row r="372" spans="1:22" ht="15" customHeight="1">
      <c r="A372" s="51">
        <v>76</v>
      </c>
      <c r="B372" s="50" t="s">
        <v>19</v>
      </c>
      <c r="C372" s="50" t="s">
        <v>241</v>
      </c>
      <c r="D372" s="49">
        <v>40</v>
      </c>
      <c r="E372" s="49">
        <v>40</v>
      </c>
      <c r="F372" s="50">
        <f t="shared" si="37"/>
        <v>40</v>
      </c>
      <c r="G372" s="152"/>
      <c r="H37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faz o trabalho humano de traçar rotas, desviar semáforos e o trânsito. Enquanto isso, as pessoas deixam de gastar neurônios com isso podendo pensar em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2" s="152"/>
      <c r="J372" s="152"/>
      <c r="K372" s="153"/>
      <c r="L372" s="152"/>
      <c r="M372" s="152"/>
      <c r="N372" s="153"/>
      <c r="O372" s="152"/>
      <c r="P372" s="152"/>
      <c r="Q372" s="154"/>
      <c r="T372" s="154"/>
      <c r="V372" s="80"/>
    </row>
    <row r="373" spans="1:22" ht="15" customHeight="1">
      <c r="A373" s="49">
        <v>77</v>
      </c>
      <c r="B373" s="50" t="s">
        <v>19</v>
      </c>
      <c r="C373" s="50" t="s">
        <v>244</v>
      </c>
      <c r="D373" s="49">
        <v>40</v>
      </c>
      <c r="E373" s="49">
        <v>40</v>
      </c>
      <c r="F373" s="50">
        <f t="shared" si="37"/>
        <v>40</v>
      </c>
      <c r="G373" s="152"/>
      <c r="H37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ser benéfica. Pois o GPS utiliza esta tecnologia para criar algorítmos que irão otimizar a sua rota e melhorar sua experiência de acordo com sua preferência. Seria um exemplo de Inteligência Artificial utilizada a seu favor, para otimizar seu tempo, ao invés de te distrair e diminuir sua capacidade de raciocínio próprio.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3" s="152"/>
      <c r="J373" s="152"/>
      <c r="K373" s="153"/>
      <c r="L373" s="152"/>
      <c r="M373" s="152"/>
      <c r="N373" s="153"/>
      <c r="O373" s="152"/>
      <c r="P373" s="152"/>
      <c r="Q373" s="154"/>
      <c r="T373" s="154"/>
      <c r="V373" s="80"/>
    </row>
    <row r="374" spans="1:22" ht="15" customHeight="1">
      <c r="A374" s="49">
        <v>78</v>
      </c>
      <c r="B374" s="50" t="s">
        <v>19</v>
      </c>
      <c r="C374" s="50" t="s">
        <v>247</v>
      </c>
      <c r="D374" s="49">
        <v>40</v>
      </c>
      <c r="E374" s="49">
        <v>40</v>
      </c>
      <c r="F374" s="50">
        <f t="shared" si="37"/>
        <v>40</v>
      </c>
      <c r="G374" s="152"/>
      <c r="H37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flexível de forma positiva. Auxilia o ser humano otimizando seu tempo. A autora exemplifica que enquanto o GPS programa a melhor rota, o indivíduo pode usufruir deste tempo para resolver outras questões. Ou seja, a praticidade que a inteligência artificial oferece facilita no cotidiano do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4" s="152"/>
      <c r="J374" s="152"/>
      <c r="K374" s="153"/>
      <c r="L374" s="152"/>
      <c r="M374" s="152"/>
      <c r="N374" s="153"/>
      <c r="O374" s="152"/>
      <c r="P374" s="152"/>
      <c r="Q374" s="154"/>
      <c r="T374" s="154"/>
      <c r="V374" s="80"/>
    </row>
    <row r="375" spans="1:22" ht="15" customHeight="1">
      <c r="A375" s="43">
        <v>79</v>
      </c>
      <c r="B375" s="155" t="s">
        <v>19</v>
      </c>
      <c r="C375" s="155" t="s">
        <v>250</v>
      </c>
      <c r="D375" s="156">
        <v>40</v>
      </c>
      <c r="E375" s="156">
        <v>35</v>
      </c>
      <c r="F375" s="155">
        <f t="shared" si="37"/>
        <v>37.5</v>
      </c>
      <c r="G375" s="152"/>
      <c r="H37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inteligencias são muito úteis para auxiliar no dia a dia, e ajudar o usuário, assim, podendo que ele otimize seu tempo e resolva outros tipos de situação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5" s="152"/>
      <c r="J375" s="152"/>
      <c r="K375" s="153"/>
      <c r="L375" s="152"/>
      <c r="M375" s="152"/>
      <c r="N375" s="153"/>
      <c r="O375" s="152"/>
      <c r="P375" s="152"/>
      <c r="Q375" s="154"/>
      <c r="T375" s="154"/>
      <c r="V375" s="80"/>
    </row>
    <row r="376" spans="1:22" ht="15" customHeight="1">
      <c r="A376" s="49">
        <v>80</v>
      </c>
      <c r="B376" s="50" t="s">
        <v>19</v>
      </c>
      <c r="C376" s="49" t="s">
        <v>252</v>
      </c>
      <c r="D376" s="49">
        <v>0</v>
      </c>
      <c r="E376" s="49">
        <v>5</v>
      </c>
      <c r="F376" s="50">
        <f t="shared" si="37"/>
        <v>2.5</v>
      </c>
      <c r="G376" s="152"/>
      <c r="H37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 inteligência é a flexibilidade cognitiva que nos permite identificar e optar por caminhos mais amplos. Que o GPS é uma dessa inteligências, nos auxilia.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6" s="152"/>
      <c r="J376" s="152"/>
      <c r="K376" s="153"/>
      <c r="L376" s="152"/>
      <c r="M376" s="152"/>
      <c r="N376" s="153"/>
      <c r="O376" s="152"/>
      <c r="P376" s="152"/>
      <c r="Q376" s="154"/>
      <c r="T376" s="154"/>
      <c r="V376" s="80"/>
    </row>
    <row r="377" spans="1:22" ht="15" customHeight="1">
      <c r="A377" s="49">
        <v>81</v>
      </c>
      <c r="B377" s="50" t="s">
        <v>19</v>
      </c>
      <c r="C377" s="49" t="s">
        <v>255</v>
      </c>
      <c r="D377" s="49">
        <v>10</v>
      </c>
      <c r="E377" s="49">
        <v>10</v>
      </c>
      <c r="F377" s="50">
        <f t="shared" si="37"/>
        <v>10</v>
      </c>
      <c r="G377" s="152"/>
      <c r="H37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inteligentes, e está presente na sociedade como inteligência artificial.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7" s="152"/>
      <c r="J377" s="152"/>
      <c r="K377" s="153"/>
      <c r="L377" s="152"/>
      <c r="M377" s="152"/>
      <c r="N377" s="153"/>
      <c r="O377" s="152"/>
      <c r="P377" s="152"/>
      <c r="Q377" s="154"/>
      <c r="T377" s="154"/>
      <c r="V377" s="80"/>
    </row>
    <row r="378" spans="1:22" ht="15" customHeight="1">
      <c r="A378" s="51">
        <v>82</v>
      </c>
      <c r="B378" s="50" t="s">
        <v>19</v>
      </c>
      <c r="C378" s="49" t="s">
        <v>258</v>
      </c>
      <c r="D378" s="49">
        <v>30</v>
      </c>
      <c r="E378" s="49">
        <v>32</v>
      </c>
      <c r="F378" s="50">
        <f t="shared" si="37"/>
        <v>31</v>
      </c>
      <c r="G378" s="152"/>
      <c r="H37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praticidade de ferramentas que utilizam inteligência artificial é bem-vinda e auxilia que as pessoas possam direcionar seus esforços para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8" s="152"/>
      <c r="J378" s="152"/>
      <c r="K378" s="153"/>
      <c r="L378" s="152"/>
      <c r="M378" s="152"/>
      <c r="N378" s="153"/>
      <c r="O378" s="152"/>
      <c r="P378" s="152"/>
      <c r="Q378" s="154"/>
      <c r="T378" s="154"/>
      <c r="V378" s="80"/>
    </row>
    <row r="379" spans="1:22" ht="15" customHeight="1">
      <c r="A379" s="49">
        <v>83</v>
      </c>
      <c r="B379" s="50" t="s">
        <v>19</v>
      </c>
      <c r="C379" s="50" t="s">
        <v>261</v>
      </c>
      <c r="D379" s="49">
        <v>0</v>
      </c>
      <c r="E379" s="49">
        <v>0</v>
      </c>
      <c r="F379" s="50">
        <f t="shared" si="37"/>
        <v>0</v>
      </c>
      <c r="G379" s="152"/>
      <c r="H37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calculadores inteligentes que ajudam no cálculo de rota e destino.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9" s="152"/>
      <c r="J379" s="152"/>
      <c r="K379" s="153"/>
      <c r="L379" s="152"/>
      <c r="M379" s="152"/>
      <c r="N379" s="153"/>
      <c r="O379" s="152"/>
      <c r="P379" s="152"/>
      <c r="Q379" s="154"/>
      <c r="T379" s="154"/>
      <c r="V379" s="80"/>
    </row>
    <row r="380" spans="1:22" ht="15" customHeight="1">
      <c r="A380" s="49">
        <v>84</v>
      </c>
      <c r="B380" s="50" t="s">
        <v>19</v>
      </c>
      <c r="C380" s="50" t="s">
        <v>264</v>
      </c>
      <c r="D380" s="49">
        <v>30</v>
      </c>
      <c r="E380" s="49">
        <v>35</v>
      </c>
      <c r="F380" s="50">
        <f t="shared" si="37"/>
        <v>32.5</v>
      </c>
      <c r="G380" s="152"/>
      <c r="H38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ferramentas dotadas de inteligência artificial podem ser úteis, contando que auxiliem nos diversos aspectos da nossa vida e as atividades que já realizamos sejam facilitadas. O GPS é um ótimo exemplo de como esses instrumentos podem ser utilizados para tornar nossa rotina mais agradável e voltada para nossos interesses, sem limitar nossas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0" s="152"/>
      <c r="J380" s="152"/>
      <c r="K380" s="153"/>
      <c r="L380" s="152"/>
      <c r="M380" s="152"/>
      <c r="N380" s="153"/>
      <c r="O380" s="152"/>
      <c r="P380" s="152"/>
      <c r="Q380" s="154"/>
      <c r="T380" s="154"/>
      <c r="V380" s="80"/>
    </row>
    <row r="381" spans="1:22" ht="15" customHeight="1">
      <c r="A381" s="43">
        <v>85</v>
      </c>
      <c r="B381" s="50" t="s">
        <v>19</v>
      </c>
      <c r="C381" s="50" t="s">
        <v>267</v>
      </c>
      <c r="D381" s="49">
        <v>40</v>
      </c>
      <c r="E381" s="49">
        <v>40</v>
      </c>
      <c r="F381" s="50">
        <f t="shared" si="37"/>
        <v>40</v>
      </c>
      <c r="G381" s="152"/>
      <c r="H38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expressão  "inteligência artificial", além de não ser algo "do futuro", tem a função de auxiliar na resolução de problemáticas cotidianas do ser humano, sem, no entanto, substituí-lo.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1" s="152"/>
      <c r="J381" s="152"/>
      <c r="K381" s="153"/>
      <c r="L381" s="152"/>
      <c r="M381" s="152"/>
      <c r="N381" s="153"/>
      <c r="O381" s="152"/>
      <c r="P381" s="152"/>
      <c r="Q381" s="154"/>
      <c r="T381" s="154"/>
      <c r="V381" s="80"/>
    </row>
    <row r="382" spans="1:22" ht="15" customHeight="1">
      <c r="A382" s="49">
        <v>86</v>
      </c>
      <c r="B382" s="49" t="s">
        <v>19</v>
      </c>
      <c r="C382" s="50" t="s">
        <v>270</v>
      </c>
      <c r="D382" s="49" t="s">
        <v>623</v>
      </c>
      <c r="E382" s="49">
        <v>0</v>
      </c>
      <c r="F382" s="50">
        <f t="shared" si="37"/>
        <v>0</v>
      </c>
      <c r="G382" s="152"/>
      <c r="H38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uso da ferramenta recalcula a rota e redirecional para o caminho inicial evitando que o motorista tente fazer por ele mesmo.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2" s="152"/>
      <c r="J382" s="152"/>
      <c r="K382" s="153"/>
      <c r="L382" s="152"/>
      <c r="M382" s="152"/>
      <c r="N382" s="153"/>
      <c r="O382" s="152"/>
      <c r="P382" s="152"/>
      <c r="Q382" s="154"/>
      <c r="T382" s="154"/>
      <c r="V382" s="80"/>
    </row>
    <row r="383" spans="1:22" ht="15" customHeight="1">
      <c r="A383" s="49">
        <v>87</v>
      </c>
      <c r="B383" s="50" t="s">
        <v>19</v>
      </c>
      <c r="C383" s="50" t="s">
        <v>273</v>
      </c>
      <c r="D383" s="49">
        <v>40</v>
      </c>
      <c r="E383" s="49">
        <v>40</v>
      </c>
      <c r="F383" s="50">
        <f t="shared" si="37"/>
        <v>40</v>
      </c>
      <c r="G383" s="152"/>
      <c r="H38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faz parte do nosso dia a dia há algum tempo e que a partir da ajuda que algoritmos como esse proporcionam temos tempo e neurônios para serem aplicados em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3" s="152"/>
      <c r="J383" s="152"/>
      <c r="K383" s="153"/>
      <c r="L383" s="152"/>
      <c r="M383" s="152"/>
      <c r="N383" s="153"/>
      <c r="O383" s="152"/>
      <c r="P383" s="152"/>
      <c r="Q383" s="154"/>
      <c r="T383" s="154"/>
      <c r="V383" s="80"/>
    </row>
    <row r="384" spans="1:22" ht="15" customHeight="1">
      <c r="A384" s="51">
        <v>88</v>
      </c>
      <c r="B384" s="49" t="s">
        <v>19</v>
      </c>
      <c r="C384" s="50" t="s">
        <v>276</v>
      </c>
      <c r="D384" s="49">
        <v>20</v>
      </c>
      <c r="E384" s="49">
        <v>30</v>
      </c>
      <c r="F384" s="50">
        <f t="shared" si="37"/>
        <v>25</v>
      </c>
      <c r="G384" s="152"/>
      <c r="H38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No texto, a autora usa o GPS como um exemplo para defender a ideia de que as inteligências artificiais existem para auxiliar os seres humanos nos mais diversos tipos detarefas.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4" s="152"/>
      <c r="J384" s="152"/>
      <c r="K384" s="153"/>
      <c r="L384" s="152"/>
      <c r="M384" s="152"/>
      <c r="N384" s="153"/>
      <c r="O384" s="152"/>
      <c r="P384" s="152"/>
      <c r="Q384" s="154"/>
      <c r="T384" s="154"/>
      <c r="V384" s="80"/>
    </row>
    <row r="385" spans="1:22" ht="15" customHeight="1">
      <c r="A385" s="49">
        <v>89</v>
      </c>
      <c r="B385" s="50" t="s">
        <v>19</v>
      </c>
      <c r="C385" s="50" t="s">
        <v>279</v>
      </c>
      <c r="D385" s="49">
        <v>0</v>
      </c>
      <c r="E385" s="49">
        <v>0</v>
      </c>
      <c r="F385" s="50">
        <f t="shared" si="37"/>
        <v>0</v>
      </c>
      <c r="G385" s="152"/>
      <c r="H38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equipamento resolve a questão de deslocamento, enquanto o indivíduo pode direcionar o raciocínio para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5" s="152"/>
      <c r="J385" s="152"/>
      <c r="K385" s="153"/>
      <c r="L385" s="152"/>
      <c r="M385" s="152"/>
      <c r="N385" s="153"/>
      <c r="O385" s="152"/>
      <c r="P385" s="152"/>
      <c r="Q385" s="154"/>
      <c r="T385" s="154"/>
      <c r="V385" s="80"/>
    </row>
    <row r="386" spans="1:22" ht="15" customHeight="1">
      <c r="A386" s="49">
        <v>90</v>
      </c>
      <c r="B386" s="50" t="s">
        <v>19</v>
      </c>
      <c r="C386" s="50" t="s">
        <v>282</v>
      </c>
      <c r="D386" s="49">
        <v>30</v>
      </c>
      <c r="E386" s="49">
        <v>30</v>
      </c>
      <c r="F386" s="50">
        <f t="shared" si="37"/>
        <v>30</v>
      </c>
      <c r="G386" s="152"/>
      <c r="H38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ferramenta que facilita os nossos trajetos, assim possibilita podermos raciocinar em outras coisas ao invés de ficar pensando, com a nossa própria cabeça, na melhor possibilidade que podemos tomar, ela faz isso por nós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6" s="152"/>
      <c r="J386" s="152"/>
      <c r="K386" s="153"/>
      <c r="L386" s="152"/>
      <c r="M386" s="152"/>
      <c r="N386" s="153"/>
      <c r="O386" s="152"/>
      <c r="P386" s="152"/>
      <c r="Q386" s="154"/>
      <c r="T386" s="154"/>
      <c r="V386" s="80"/>
    </row>
    <row r="387" spans="1:22" ht="15" customHeight="1">
      <c r="A387" s="43">
        <v>91</v>
      </c>
      <c r="B387" s="50" t="s">
        <v>19</v>
      </c>
      <c r="C387" s="50" t="s">
        <v>285</v>
      </c>
      <c r="D387" s="49">
        <v>40</v>
      </c>
      <c r="E387" s="49">
        <v>40</v>
      </c>
      <c r="F387" s="50">
        <f t="shared" si="37"/>
        <v>40</v>
      </c>
      <c r="G387" s="152"/>
      <c r="H38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algoritmos, ou a inteligência artificial, já são ferramentas utilizadas pela humanidade, que ajudam e permitem que a gente use o tempo para resolver outros problemas, enquanto o GPS calcula as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7" s="152"/>
      <c r="J387" s="152"/>
      <c r="K387" s="153"/>
      <c r="L387" s="152"/>
      <c r="M387" s="152"/>
      <c r="N387" s="153"/>
      <c r="O387" s="152"/>
      <c r="P387" s="152"/>
      <c r="Q387" s="154"/>
      <c r="T387" s="154"/>
      <c r="V387" s="80"/>
    </row>
    <row r="388" spans="1:22" ht="15" customHeight="1">
      <c r="A388" s="49">
        <v>92</v>
      </c>
      <c r="B388" s="50" t="s">
        <v>19</v>
      </c>
      <c r="C388" s="50" t="s">
        <v>288</v>
      </c>
      <c r="D388" s="49">
        <v>30</v>
      </c>
      <c r="E388" s="49">
        <v>30</v>
      </c>
      <c r="F388" s="50">
        <f t="shared" si="37"/>
        <v>30</v>
      </c>
      <c r="G388" s="152"/>
      <c r="H38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faz parte do cotidiano das pessoas e é eficiente e útil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8" s="152"/>
      <c r="J388" s="152"/>
      <c r="K388" s="153"/>
      <c r="L388" s="152"/>
      <c r="M388" s="152"/>
      <c r="N388" s="153"/>
      <c r="O388" s="152"/>
      <c r="P388" s="152"/>
      <c r="Q388" s="154"/>
      <c r="T388" s="154"/>
      <c r="V388" s="80"/>
    </row>
    <row r="389" spans="1:22" ht="15" customHeight="1">
      <c r="A389" s="49">
        <v>93</v>
      </c>
      <c r="B389" s="50" t="s">
        <v>19</v>
      </c>
      <c r="C389" s="50" t="s">
        <v>291</v>
      </c>
      <c r="D389" s="49">
        <v>10</v>
      </c>
      <c r="E389" s="49">
        <v>0</v>
      </c>
      <c r="F389" s="50">
        <f t="shared" si="37"/>
        <v>5</v>
      </c>
      <c r="G389" s="152"/>
      <c r="H38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defende a ideia de que o GPS é um calculador inteligente de rotas, onde nos auxilia no caminho, desde a sua partida ate o destino final, facilitando os  menores percursos e trechos mais acessíveis para seu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9" s="152"/>
      <c r="J389" s="152"/>
      <c r="K389" s="153"/>
      <c r="L389" s="152"/>
      <c r="M389" s="152"/>
      <c r="N389" s="153"/>
      <c r="O389" s="152"/>
      <c r="P389" s="152"/>
      <c r="Q389" s="154"/>
      <c r="T389" s="154"/>
      <c r="V389" s="80"/>
    </row>
    <row r="390" spans="1:22" ht="15" customHeight="1">
      <c r="A390" s="51">
        <v>94</v>
      </c>
      <c r="B390" s="50" t="s">
        <v>19</v>
      </c>
      <c r="C390" s="50" t="s">
        <v>294</v>
      </c>
      <c r="D390" s="49">
        <v>30</v>
      </c>
      <c r="E390" s="49">
        <v>30</v>
      </c>
      <c r="F390" s="50">
        <f t="shared" si="37"/>
        <v>30</v>
      </c>
      <c r="G390" s="152"/>
      <c r="H39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e consequentemente a Inteligência Artificial podem simplificar ou até mesmo, solucionar questões do cotidiano que demandariam muito esforço e tempo.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0" s="152"/>
      <c r="J390" s="152"/>
      <c r="K390" s="153"/>
      <c r="L390" s="152"/>
      <c r="M390" s="152"/>
      <c r="N390" s="153"/>
      <c r="O390" s="152"/>
      <c r="P390" s="152"/>
      <c r="Q390" s="154"/>
      <c r="T390" s="154"/>
      <c r="V390" s="80"/>
    </row>
    <row r="391" spans="1:22" ht="15" customHeight="1">
      <c r="A391" s="49">
        <v>95</v>
      </c>
      <c r="B391" s="50" t="s">
        <v>19</v>
      </c>
      <c r="C391" s="49" t="s">
        <v>297</v>
      </c>
      <c r="D391" s="49">
        <v>12</v>
      </c>
      <c r="E391" s="49">
        <v>10</v>
      </c>
      <c r="F391" s="50">
        <f t="shared" si="37"/>
        <v>11</v>
      </c>
      <c r="G391" s="152"/>
      <c r="H39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 ele auxilia os humanos para leva-los a lugares, tornando mais simples para eles a locomoção.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1" s="152"/>
      <c r="J391" s="152"/>
      <c r="K391" s="153"/>
      <c r="L391" s="152"/>
      <c r="M391" s="152"/>
      <c r="N391" s="153"/>
      <c r="O391" s="152"/>
      <c r="P391" s="152"/>
      <c r="Q391" s="154"/>
      <c r="T391" s="154"/>
      <c r="V391" s="80"/>
    </row>
    <row r="392" spans="1:22" ht="15" customHeight="1">
      <c r="A392" s="49">
        <v>96</v>
      </c>
      <c r="B392" s="50" t="s">
        <v>19</v>
      </c>
      <c r="C392" s="49" t="s">
        <v>300</v>
      </c>
      <c r="D392" s="49">
        <v>20</v>
      </c>
      <c r="E392" s="49">
        <v>20</v>
      </c>
      <c r="F392" s="50">
        <f t="shared" si="37"/>
        <v>20</v>
      </c>
      <c r="G392" s="152"/>
      <c r="H39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defende a ideia de que o gps (inteligencia artificial), ajudam as pessoas e não as dificulta.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2" s="152"/>
      <c r="J392" s="152"/>
      <c r="K392" s="153"/>
      <c r="L392" s="152"/>
      <c r="M392" s="152"/>
      <c r="N392" s="153"/>
      <c r="O392" s="152"/>
      <c r="P392" s="152"/>
      <c r="Q392" s="154"/>
      <c r="T392" s="154"/>
      <c r="V392" s="80"/>
    </row>
    <row r="393" spans="1:22" ht="15" customHeight="1">
      <c r="A393" s="43">
        <v>97</v>
      </c>
      <c r="B393" s="50" t="s">
        <v>19</v>
      </c>
      <c r="C393" s="50" t="s">
        <v>303</v>
      </c>
      <c r="D393" s="49">
        <v>10</v>
      </c>
      <c r="E393" s="49">
        <v>10</v>
      </c>
      <c r="F393" s="50">
        <f t="shared" si="37"/>
        <v>10</v>
      </c>
      <c r="G393" s="152"/>
      <c r="H39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Nem tudo o que produzido pela inteligência artificial, é algo negativo, temos o exemplo do GPS que é um programa que auxilia na localização.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3" s="152"/>
      <c r="J393" s="152"/>
      <c r="K393" s="153"/>
      <c r="L393" s="152"/>
      <c r="M393" s="152"/>
      <c r="N393" s="153"/>
      <c r="O393" s="152"/>
      <c r="P393" s="152"/>
      <c r="Q393" s="154"/>
      <c r="T393" s="154"/>
      <c r="V393" s="80"/>
    </row>
    <row r="394" spans="1:22" ht="15" customHeight="1">
      <c r="A394" s="49">
        <v>98</v>
      </c>
      <c r="B394" s="50" t="s">
        <v>19</v>
      </c>
      <c r="C394" s="50" t="s">
        <v>306</v>
      </c>
      <c r="D394" s="49">
        <v>35</v>
      </c>
      <c r="E394" s="49">
        <v>40</v>
      </c>
      <c r="F394" s="50">
        <f t="shared" si="37"/>
        <v>37.5</v>
      </c>
      <c r="G394" s="152"/>
      <c r="H39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ferramentas de inteligência artificial podem ser muito úteis quando são algoritmos que nos ajudam no processo de identificar as melhores possibilidades.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4" s="152"/>
      <c r="J394" s="152"/>
      <c r="K394" s="153"/>
      <c r="L394" s="152"/>
      <c r="M394" s="152"/>
      <c r="N394" s="153"/>
      <c r="O394" s="152"/>
      <c r="P394" s="152"/>
      <c r="Q394" s="154"/>
      <c r="T394" s="154"/>
      <c r="V394" s="80"/>
    </row>
    <row r="395" spans="1:22" ht="15" customHeight="1">
      <c r="A395" s="49">
        <v>99</v>
      </c>
      <c r="B395" s="50" t="s">
        <v>19</v>
      </c>
      <c r="C395" s="50" t="s">
        <v>309</v>
      </c>
      <c r="D395" s="49">
        <v>30</v>
      </c>
      <c r="E395" s="49">
        <v>30</v>
      </c>
      <c r="F395" s="50">
        <f t="shared" si="37"/>
        <v>30</v>
      </c>
      <c r="G395" s="152"/>
      <c r="H39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foi um exemplo usado para explicar como as tecnologias podem nos ajudar, melhorando a praticidade em coisas que já conhecemos ou coisas que ainda somos leigos, e também para nos dizer o quanto podemos aproveitar, das novas tecnologias no nosso dia a dia, poupando tempo e aperfeiçoando ainda mais nosso conhecimento.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5" s="152"/>
      <c r="J395" s="152"/>
      <c r="K395" s="153"/>
      <c r="L395" s="152"/>
      <c r="M395" s="152"/>
      <c r="N395" s="153"/>
      <c r="O395" s="152"/>
      <c r="P395" s="152"/>
      <c r="Q395" s="154"/>
      <c r="T395" s="154"/>
      <c r="V395" s="80"/>
    </row>
    <row r="396" spans="1:22" ht="15" customHeight="1">
      <c r="A396" s="51">
        <v>100</v>
      </c>
      <c r="B396" s="49" t="s">
        <v>19</v>
      </c>
      <c r="C396" s="50" t="s">
        <v>312</v>
      </c>
      <c r="D396" s="49">
        <v>20</v>
      </c>
      <c r="E396" s="49">
        <v>20</v>
      </c>
      <c r="F396" s="50">
        <f t="shared" si="37"/>
        <v>20</v>
      </c>
      <c r="G396" s="152"/>
      <c r="H39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Enquanto o GPS resolve um problema, encontrar rotas, você tem tempo para pensar em outros assuntos e resolvê-los.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6" s="152"/>
      <c r="J396" s="152"/>
      <c r="K396" s="153"/>
      <c r="L396" s="152"/>
      <c r="M396" s="152"/>
      <c r="N396" s="153"/>
      <c r="O396" s="152"/>
      <c r="P396" s="152"/>
      <c r="Q396" s="154"/>
      <c r="T396" s="154"/>
      <c r="V396" s="80"/>
    </row>
    <row r="397" spans="1:22" ht="15" customHeight="1">
      <c r="A397" s="49">
        <v>101</v>
      </c>
      <c r="B397" s="50" t="s">
        <v>19</v>
      </c>
      <c r="C397" s="50" t="s">
        <v>315</v>
      </c>
      <c r="D397" s="49">
        <v>10</v>
      </c>
      <c r="E397" s="49">
        <v>7</v>
      </c>
      <c r="F397" s="50">
        <f t="shared" si="37"/>
        <v>8.5</v>
      </c>
      <c r="G397" s="152"/>
      <c r="H39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enquanto você se preocupa com outras situações ou "usa seus próprios neurônios para resolver outros problemas", um simples navegador pode resolver outra situação problemática que está acontecendo no mesmo momento, abrangendo outras oportunidades de soluções. Isso pode demonstrar que não precisamos pensar em ou tentar resolver nossos conflitos, apresentando a ideia de que a inteligência artificial pode estar limitando nossos próprios limites.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7" s="152"/>
      <c r="J397" s="152"/>
      <c r="K397" s="153"/>
      <c r="L397" s="152"/>
      <c r="M397" s="152"/>
      <c r="N397" s="153"/>
      <c r="O397" s="152"/>
      <c r="P397" s="152"/>
      <c r="Q397" s="154"/>
      <c r="T397" s="154"/>
      <c r="V397" s="80"/>
    </row>
    <row r="398" spans="1:22" ht="15" customHeight="1">
      <c r="A398" s="49">
        <v>102</v>
      </c>
      <c r="B398" s="50" t="s">
        <v>19</v>
      </c>
      <c r="C398" s="49" t="s">
        <v>318</v>
      </c>
      <c r="D398" s="49">
        <v>20</v>
      </c>
      <c r="E398" s="49">
        <v>20</v>
      </c>
      <c r="F398" s="50">
        <f t="shared" si="37"/>
        <v>20</v>
      </c>
      <c r="G398" s="152"/>
      <c r="H39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algoritimos são ferramentas que auxiliam no dia a dia e tornam a vida do usuário mais fácil.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8" s="152"/>
      <c r="J398" s="152"/>
      <c r="K398" s="153"/>
      <c r="L398" s="152"/>
      <c r="M398" s="152"/>
      <c r="N398" s="153"/>
      <c r="O398" s="152"/>
      <c r="P398" s="152"/>
      <c r="Q398" s="154"/>
      <c r="T398" s="154"/>
      <c r="V398" s="80"/>
    </row>
    <row r="399" spans="1:22" ht="15" customHeight="1">
      <c r="A399" s="43">
        <v>103</v>
      </c>
      <c r="B399" s="50" t="s">
        <v>19</v>
      </c>
      <c r="C399" s="50" t="s">
        <v>321</v>
      </c>
      <c r="D399" s="49">
        <v>30</v>
      </c>
      <c r="E399" s="49">
        <v>40</v>
      </c>
      <c r="F399" s="50">
        <f t="shared" si="37"/>
        <v>35</v>
      </c>
      <c r="G399" s="152"/>
      <c r="H39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inteligências artificiais podem ajudar no dia a dia, no caso o GPS, pode ajudar formular rotas ajudando a pessoa se deslocar de um lugar para outro mais rápido.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9" s="152"/>
      <c r="J399" s="152"/>
      <c r="K399" s="153"/>
      <c r="L399" s="152"/>
      <c r="M399" s="152"/>
      <c r="N399" s="153"/>
      <c r="O399" s="152"/>
      <c r="P399" s="152"/>
      <c r="Q399" s="154"/>
      <c r="T399" s="154"/>
      <c r="V399" s="80"/>
    </row>
    <row r="400" spans="1:22" ht="15" customHeight="1">
      <c r="A400" s="49">
        <v>104</v>
      </c>
      <c r="B400" s="50" t="s">
        <v>19</v>
      </c>
      <c r="C400" s="50" t="s">
        <v>324</v>
      </c>
      <c r="D400" s="49">
        <v>40</v>
      </c>
      <c r="E400" s="49">
        <v>40</v>
      </c>
      <c r="F400" s="50">
        <f t="shared" si="37"/>
        <v>40</v>
      </c>
      <c r="G400" s="152"/>
      <c r="H40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IAs são presentes na sociedade a décadas, terceirizando tarefas simples para que o usúario possa se concentrar em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0" s="152"/>
      <c r="J400" s="152"/>
      <c r="K400" s="153"/>
      <c r="L400" s="152"/>
      <c r="M400" s="152"/>
      <c r="N400" s="153"/>
      <c r="O400" s="152"/>
      <c r="P400" s="152"/>
      <c r="Q400" s="154"/>
      <c r="T400" s="154"/>
      <c r="V400" s="80"/>
    </row>
    <row r="401" spans="1:22" ht="15" customHeight="1">
      <c r="A401" s="49">
        <v>105</v>
      </c>
      <c r="B401" s="50" t="s">
        <v>19</v>
      </c>
      <c r="C401" s="49" t="s">
        <v>327</v>
      </c>
      <c r="D401" s="49">
        <v>25</v>
      </c>
      <c r="E401" s="49">
        <v>27</v>
      </c>
      <c r="F401" s="50">
        <f t="shared" si="37"/>
        <v>26</v>
      </c>
      <c r="G401" s="152"/>
      <c r="H40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,relacionando-o com a IA, devemos agir como a tecnologia do exemplo: considerar as possibilidades para maximizar o resultado.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1" s="152"/>
      <c r="J401" s="152"/>
      <c r="K401" s="153"/>
      <c r="L401" s="152"/>
      <c r="M401" s="152"/>
      <c r="N401" s="153"/>
      <c r="O401" s="152"/>
      <c r="P401" s="152"/>
      <c r="Q401" s="154"/>
      <c r="T401" s="154"/>
      <c r="V401" s="80"/>
    </row>
    <row r="402" spans="1:22" ht="15" customHeight="1">
      <c r="A402" s="51">
        <v>106</v>
      </c>
      <c r="B402" s="50" t="s">
        <v>19</v>
      </c>
      <c r="C402" s="50" t="s">
        <v>330</v>
      </c>
      <c r="D402" s="49">
        <v>40</v>
      </c>
      <c r="E402" s="49">
        <v>35</v>
      </c>
      <c r="F402" s="50">
        <f t="shared" si="37"/>
        <v>37.5</v>
      </c>
      <c r="G402" s="152"/>
      <c r="H40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Algoritmos,IA devem ser utilizados como ferramenta de auxílio para nós seres humanos a resolver questões complexas, cálculos e outras funções que nosso cerébro não consegue produzir,compreender ou criar uma nova idéia. Porém o uso da IA fora do que ela foi proposta, acarreta na chamada ''burrice artificial'' devido ao uso excessivo para ''quebrar um galho'' ou para finalizar algo que deve ser entregue em uma data que está perto, o resultado é que a pessoa que utiliza o ChatGPT nesse quesito por vezes nem lê o que a ferramenta escreveu.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2" s="152"/>
      <c r="J402" s="152"/>
      <c r="K402" s="153"/>
      <c r="L402" s="152"/>
      <c r="M402" s="152"/>
      <c r="N402" s="153"/>
      <c r="O402" s="152"/>
      <c r="P402" s="152"/>
      <c r="Q402" s="154"/>
      <c r="T402" s="154"/>
      <c r="V402" s="80"/>
    </row>
    <row r="403" spans="1:22" ht="15" customHeight="1">
      <c r="A403" s="49">
        <v>107</v>
      </c>
      <c r="B403" s="50" t="s">
        <v>19</v>
      </c>
      <c r="C403" s="50" t="s">
        <v>333</v>
      </c>
      <c r="D403" s="49">
        <v>10</v>
      </c>
      <c r="E403" s="49">
        <v>25</v>
      </c>
      <c r="F403" s="50">
        <f t="shared" si="37"/>
        <v>17.5</v>
      </c>
      <c r="G403" s="152"/>
      <c r="H40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 inteligência artificial abre porta para o ser humano e que deixe os neurônios com um problema a menos para poder focar em outras questões.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3" s="152"/>
      <c r="J403" s="152"/>
      <c r="K403" s="153"/>
      <c r="L403" s="152"/>
      <c r="M403" s="152"/>
      <c r="N403" s="153"/>
      <c r="O403" s="152"/>
      <c r="P403" s="152"/>
      <c r="Q403" s="154"/>
      <c r="T403" s="154"/>
      <c r="V403" s="80"/>
    </row>
    <row r="404" spans="1:22" ht="15" customHeight="1">
      <c r="A404" s="49">
        <v>108</v>
      </c>
      <c r="B404" s="50" t="s">
        <v>19</v>
      </c>
      <c r="C404" s="49" t="s">
        <v>336</v>
      </c>
      <c r="D404" s="49">
        <v>25</v>
      </c>
      <c r="E404" s="49">
        <v>25</v>
      </c>
      <c r="F404" s="50">
        <f t="shared" si="37"/>
        <v>25</v>
      </c>
      <c r="G404" s="152"/>
      <c r="H40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apesar de utilizar uma ferramenta que nos oferta uma resposta pronta, ainda sim, precisamos unir esta resposta aos "nossos próprios neurônios", conforme cita a autora.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4" s="152"/>
      <c r="J404" s="152"/>
      <c r="K404" s="153"/>
      <c r="L404" s="152"/>
      <c r="M404" s="152"/>
      <c r="N404" s="153"/>
      <c r="O404" s="152"/>
      <c r="P404" s="152"/>
      <c r="Q404" s="154"/>
      <c r="T404" s="154"/>
      <c r="V404" s="80"/>
    </row>
    <row r="405" spans="1:22" ht="15" customHeight="1">
      <c r="A405" s="43">
        <v>109</v>
      </c>
      <c r="B405" s="50" t="s">
        <v>19</v>
      </c>
      <c r="C405" s="50" t="s">
        <v>339</v>
      </c>
      <c r="D405" s="49">
        <v>35</v>
      </c>
      <c r="E405" s="49">
        <v>35</v>
      </c>
      <c r="F405" s="50">
        <f t="shared" si="37"/>
        <v>35</v>
      </c>
      <c r="G405" s="152"/>
      <c r="H40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Ferramentas de IA podem ajudar o usuário com tarefas minúsculas e repetitivas para que possa se concentrar em coisas mais importantes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5" s="152"/>
      <c r="J405" s="152"/>
      <c r="K405" s="153"/>
      <c r="L405" s="152"/>
      <c r="M405" s="152"/>
      <c r="N405" s="153"/>
      <c r="O405" s="152"/>
      <c r="P405" s="152"/>
      <c r="Q405" s="154"/>
      <c r="T405" s="154"/>
      <c r="V405" s="80"/>
    </row>
    <row r="406" spans="1:22" ht="15" customHeight="1">
      <c r="A406" s="49">
        <v>110</v>
      </c>
      <c r="B406" s="50" t="s">
        <v>19</v>
      </c>
      <c r="C406" s="50" t="s">
        <v>342</v>
      </c>
      <c r="D406" s="49">
        <v>30</v>
      </c>
      <c r="E406" s="49">
        <v>35</v>
      </c>
      <c r="F406" s="50">
        <f t="shared" si="37"/>
        <v>32.5</v>
      </c>
      <c r="G406" s="152"/>
      <c r="H40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tarefas podem ser otimizadas pela Inteligência Artificial enquanto os neurônios dos seus usuários podem-se engajar em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6" s="152"/>
      <c r="J406" s="152"/>
      <c r="K406" s="153"/>
      <c r="L406" s="152"/>
      <c r="M406" s="152"/>
      <c r="N406" s="153"/>
      <c r="O406" s="152"/>
      <c r="P406" s="152"/>
      <c r="Q406" s="154"/>
      <c r="T406" s="154"/>
      <c r="V406" s="80"/>
    </row>
    <row r="407" spans="1:22" ht="15" customHeight="1">
      <c r="A407" s="49">
        <v>111</v>
      </c>
      <c r="B407" s="50" t="s">
        <v>19</v>
      </c>
      <c r="C407" s="50" t="s">
        <v>345</v>
      </c>
      <c r="D407" s="49">
        <v>10</v>
      </c>
      <c r="E407" s="49">
        <v>5</v>
      </c>
      <c r="F407" s="50">
        <f t="shared" si="37"/>
        <v>7.5</v>
      </c>
      <c r="G407" s="152"/>
      <c r="H40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não é algo que surgiu agora, mas que sempre esteve presente no nosso meio.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7" s="152"/>
      <c r="J407" s="152"/>
      <c r="K407" s="153"/>
      <c r="L407" s="152"/>
      <c r="M407" s="152"/>
      <c r="N407" s="153"/>
      <c r="O407" s="152"/>
      <c r="P407" s="152"/>
      <c r="Q407" s="154"/>
      <c r="T407" s="154"/>
      <c r="V407" s="80"/>
    </row>
    <row r="408" spans="1:22" ht="15" customHeight="1">
      <c r="A408" s="51">
        <v>112</v>
      </c>
      <c r="B408" s="50" t="s">
        <v>19</v>
      </c>
      <c r="C408" s="49" t="s">
        <v>348</v>
      </c>
      <c r="D408" s="49">
        <v>12</v>
      </c>
      <c r="E408" s="49">
        <v>10</v>
      </c>
      <c r="F408" s="50">
        <f t="shared" si="37"/>
        <v>11</v>
      </c>
      <c r="G408" s="152"/>
      <c r="H40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usuário ocupar seus neurônios para outras atividades, enquanto o GPS se preocupa em cálcular a rota, evitar semáforos.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8" s="152"/>
      <c r="J408" s="152"/>
      <c r="K408" s="153"/>
      <c r="L408" s="152"/>
      <c r="M408" s="152"/>
      <c r="N408" s="153"/>
      <c r="O408" s="152"/>
      <c r="P408" s="152"/>
      <c r="Q408" s="154"/>
      <c r="T408" s="154"/>
      <c r="V408" s="80"/>
    </row>
    <row r="409" spans="1:22" ht="15" customHeight="1">
      <c r="A409" s="49">
        <v>113</v>
      </c>
      <c r="B409" s="50" t="s">
        <v>19</v>
      </c>
      <c r="C409" s="49" t="s">
        <v>351</v>
      </c>
      <c r="D409" s="49">
        <v>25</v>
      </c>
      <c r="E409" s="49">
        <v>20</v>
      </c>
      <c r="F409" s="50">
        <f t="shared" si="37"/>
        <v>22.5</v>
      </c>
      <c r="G409" s="152"/>
      <c r="H40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Devemos utilizar tecnologia para auxiliar no desenvolvimento, não para o substituir.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9" s="152"/>
      <c r="J409" s="152"/>
      <c r="K409" s="153"/>
      <c r="L409" s="152"/>
      <c r="M409" s="152"/>
      <c r="N409" s="153"/>
      <c r="O409" s="152"/>
      <c r="P409" s="152"/>
      <c r="Q409" s="154"/>
      <c r="T409" s="154"/>
      <c r="V409" s="80"/>
    </row>
    <row r="410" spans="1:22" ht="15" customHeight="1">
      <c r="A410" s="49">
        <v>114</v>
      </c>
      <c r="B410" s="50" t="s">
        <v>19</v>
      </c>
      <c r="C410" s="50" t="s">
        <v>354</v>
      </c>
      <c r="D410" s="49">
        <v>10</v>
      </c>
      <c r="E410" s="49">
        <v>20</v>
      </c>
      <c r="F410" s="50">
        <f t="shared" si="37"/>
        <v>15</v>
      </c>
      <c r="G410" s="152"/>
      <c r="H41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pessoas podem utilizar os recursos tecnológicos, como os algoritmos, como forma de facilitação da vida do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0" s="152"/>
      <c r="J410" s="152"/>
      <c r="K410" s="153"/>
      <c r="L410" s="152"/>
      <c r="M410" s="152"/>
      <c r="N410" s="153"/>
      <c r="O410" s="152"/>
      <c r="P410" s="152"/>
      <c r="Q410" s="154"/>
      <c r="T410" s="154"/>
      <c r="V410" s="80"/>
    </row>
    <row r="411" spans="1:22" ht="15" customHeight="1">
      <c r="A411" s="43">
        <v>115</v>
      </c>
      <c r="B411" s="50" t="s">
        <v>19</v>
      </c>
      <c r="C411" s="50" t="s">
        <v>357</v>
      </c>
      <c r="D411" s="49">
        <v>30</v>
      </c>
      <c r="E411" s="49">
        <v>35</v>
      </c>
      <c r="F411" s="50">
        <f t="shared" si="37"/>
        <v>32.5</v>
      </c>
      <c r="G411" s="152"/>
      <c r="H41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é presente no dia a dia, e pode ajudar a resolver coisas simples, que normalmente demandam muito mais tempo quando o ser humano precisa fazer.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1" s="152"/>
      <c r="J411" s="152"/>
      <c r="K411" s="153"/>
      <c r="L411" s="152"/>
      <c r="M411" s="152"/>
      <c r="N411" s="153"/>
      <c r="O411" s="152"/>
      <c r="P411" s="152"/>
      <c r="Q411" s="154"/>
      <c r="T411" s="154"/>
      <c r="V411" s="80"/>
    </row>
    <row r="412" spans="1:22" ht="15" customHeight="1">
      <c r="A412" s="49">
        <v>116</v>
      </c>
      <c r="B412" s="50" t="s">
        <v>19</v>
      </c>
      <c r="C412" s="50" t="s">
        <v>360</v>
      </c>
      <c r="D412" s="49">
        <v>20</v>
      </c>
      <c r="E412" s="49">
        <v>20</v>
      </c>
      <c r="F412" s="50">
        <f t="shared" si="37"/>
        <v>20</v>
      </c>
      <c r="G412" s="152"/>
      <c r="H41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Calculadores inteligentes de rotas (GPS) nos ajudam a fazer mais de uma coisa em um momento só, maximizam nosso tempo para realizarmos mais coisas em menos tempo, atendendo as nossas prioridades e preferências.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2" s="152"/>
      <c r="J412" s="152"/>
      <c r="K412" s="153"/>
      <c r="L412" s="152"/>
      <c r="M412" s="152"/>
      <c r="N412" s="153"/>
      <c r="O412" s="152"/>
      <c r="P412" s="152"/>
      <c r="Q412" s="154"/>
      <c r="T412" s="154"/>
      <c r="V412" s="80"/>
    </row>
    <row r="413" spans="1:22" ht="15" customHeight="1">
      <c r="A413" s="49">
        <v>117</v>
      </c>
      <c r="B413" s="50" t="s">
        <v>19</v>
      </c>
      <c r="C413" s="50" t="s">
        <v>363</v>
      </c>
      <c r="D413" s="49">
        <v>10</v>
      </c>
      <c r="E413" s="49">
        <v>10</v>
      </c>
      <c r="F413" s="50">
        <f t="shared" si="37"/>
        <v>10</v>
      </c>
      <c r="G413" s="152"/>
      <c r="H41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certos tipos de tecnologia que estão presentes em nossas vidas podem nos ajudar muito, quando bem utilizadas.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3" s="152"/>
      <c r="J413" s="152"/>
      <c r="K413" s="153"/>
      <c r="L413" s="152"/>
      <c r="M413" s="152"/>
      <c r="N413" s="153"/>
      <c r="O413" s="152"/>
      <c r="P413" s="152"/>
      <c r="Q413" s="154"/>
      <c r="T413" s="154"/>
      <c r="V413" s="80"/>
    </row>
    <row r="414" spans="1:22" ht="15" customHeight="1">
      <c r="A414" s="51">
        <v>118</v>
      </c>
      <c r="B414" s="50" t="s">
        <v>19</v>
      </c>
      <c r="C414" s="50" t="s">
        <v>366</v>
      </c>
      <c r="D414" s="49">
        <v>40</v>
      </c>
      <c r="E414" s="49">
        <v>40</v>
      </c>
      <c r="F414" s="50">
        <f t="shared" si="37"/>
        <v>40</v>
      </c>
      <c r="G414" s="152"/>
      <c r="H41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Assim como o GPS usa seu sitema para calcular as melhores rotas para que o usuário chegue ao seu destido,de forma eficiente. A autora defende o fato de que a Inteligência Artificial também consegue facilitar a vida de seu usuário, utilizando seus algorítimos e dados internos para esse fim.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4" s="152"/>
      <c r="J414" s="152"/>
      <c r="K414" s="153"/>
      <c r="L414" s="152"/>
      <c r="M414" s="152"/>
      <c r="N414" s="153"/>
      <c r="O414" s="152"/>
      <c r="P414" s="152"/>
      <c r="Q414" s="154"/>
      <c r="T414" s="154"/>
      <c r="V414" s="80"/>
    </row>
    <row r="415" spans="1:22" ht="15" customHeight="1">
      <c r="A415" s="49">
        <v>119</v>
      </c>
      <c r="B415" s="49" t="s">
        <v>19</v>
      </c>
      <c r="C415" s="49" t="s">
        <v>369</v>
      </c>
      <c r="D415" s="49">
        <v>20</v>
      </c>
      <c r="E415" s="49">
        <v>20</v>
      </c>
      <c r="F415" s="50">
        <f t="shared" si="37"/>
        <v>20</v>
      </c>
      <c r="G415" s="152"/>
      <c r="H41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nos ajuda e muito calculando o ponto de partida, de destino, a melhor e mais curta rota, ou seja, ele faz todo o trabalho por nós, otimizando o nosso tempo para que possamos usá-lo em outras prioridades.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5" s="152"/>
      <c r="J415" s="152"/>
      <c r="K415" s="153"/>
      <c r="L415" s="152"/>
      <c r="M415" s="152"/>
      <c r="N415" s="153"/>
      <c r="O415" s="152"/>
      <c r="P415" s="152"/>
      <c r="Q415" s="154"/>
      <c r="T415" s="154"/>
      <c r="V415" s="80"/>
    </row>
    <row r="416" spans="1:22" ht="15" customHeight="1">
      <c r="A416" s="49">
        <v>120</v>
      </c>
      <c r="B416" s="50" t="s">
        <v>19</v>
      </c>
      <c r="C416" s="49" t="s">
        <v>372</v>
      </c>
      <c r="D416" s="49">
        <v>20</v>
      </c>
      <c r="E416" s="49">
        <v>22</v>
      </c>
      <c r="F416" s="50">
        <f t="shared" si="37"/>
        <v>21</v>
      </c>
      <c r="G416" s="152"/>
      <c r="H41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do GPS facilita ao usuario uma otimização de tempo e maior satisfação, já que este não mais precisa utilizar de um mapa manual para encontrar seu local de destino.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6" s="152"/>
      <c r="J416" s="152"/>
      <c r="K416" s="153"/>
      <c r="L416" s="152"/>
      <c r="M416" s="152"/>
      <c r="N416" s="153"/>
      <c r="O416" s="152"/>
      <c r="P416" s="152"/>
      <c r="Q416" s="154"/>
      <c r="T416" s="154"/>
      <c r="V416" s="80"/>
    </row>
    <row r="417" spans="1:22" ht="15" customHeight="1">
      <c r="A417" s="43">
        <v>121</v>
      </c>
      <c r="B417" s="50" t="s">
        <v>19</v>
      </c>
      <c r="C417" s="50" t="s">
        <v>375</v>
      </c>
      <c r="D417" s="49">
        <v>20</v>
      </c>
      <c r="E417" s="49">
        <v>20</v>
      </c>
      <c r="F417" s="50">
        <f t="shared" si="37"/>
        <v>20</v>
      </c>
      <c r="G417" s="152"/>
      <c r="H41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de rotas e retornam a escolha optimizada enquanto você usa seus próprios neurônios para resolver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7" s="152"/>
      <c r="J417" s="152"/>
      <c r="K417" s="153"/>
      <c r="L417" s="152"/>
      <c r="M417" s="152"/>
      <c r="N417" s="153"/>
      <c r="O417" s="152"/>
      <c r="P417" s="152"/>
      <c r="Q417" s="154"/>
      <c r="T417" s="154"/>
      <c r="V417" s="80"/>
    </row>
    <row r="418" spans="1:22" ht="15" customHeight="1">
      <c r="A418" s="49">
        <v>122</v>
      </c>
      <c r="B418" s="50" t="s">
        <v>19</v>
      </c>
      <c r="C418" s="50" t="s">
        <v>378</v>
      </c>
      <c r="D418" s="49">
        <v>25</v>
      </c>
      <c r="E418" s="49">
        <v>40</v>
      </c>
      <c r="F418" s="50">
        <f t="shared" si="37"/>
        <v>32.5</v>
      </c>
      <c r="G418" s="152"/>
      <c r="H41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nos abre o leque de opções, mas nós tomamos a decisão final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8" s="152"/>
      <c r="J418" s="152"/>
      <c r="K418" s="153"/>
      <c r="L418" s="152"/>
      <c r="M418" s="152"/>
      <c r="N418" s="153"/>
      <c r="O418" s="152"/>
      <c r="P418" s="152"/>
      <c r="Q418" s="154"/>
      <c r="T418" s="154"/>
      <c r="V418" s="80"/>
    </row>
    <row r="419" spans="1:22" ht="15" customHeight="1">
      <c r="A419" s="49">
        <v>123</v>
      </c>
      <c r="B419" s="50" t="s">
        <v>19</v>
      </c>
      <c r="C419" s="50" t="s">
        <v>381</v>
      </c>
      <c r="D419" s="49">
        <v>40</v>
      </c>
      <c r="E419" s="49">
        <v>40</v>
      </c>
      <c r="F419" s="50">
        <f t="shared" si="37"/>
        <v>40</v>
      </c>
      <c r="G419" s="152"/>
      <c r="H41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ferramentas de IA são favoráveis ao usuário porque o ajudam a resolver problemas e achar soluções, porque ao invés de limitar sua capacidade cognitiva, ele o auxilia para que sua cabeça se mantenha livre para resolucionar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9" s="152"/>
      <c r="J419" s="152"/>
      <c r="K419" s="153"/>
      <c r="L419" s="152"/>
      <c r="M419" s="152"/>
      <c r="N419" s="153"/>
      <c r="O419" s="152"/>
      <c r="P419" s="152"/>
      <c r="Q419" s="154"/>
      <c r="T419" s="154"/>
      <c r="V419" s="80"/>
    </row>
    <row r="420" spans="1:22" ht="15" customHeight="1">
      <c r="A420" s="51">
        <v>124</v>
      </c>
      <c r="B420" s="50" t="s">
        <v>19</v>
      </c>
      <c r="C420" s="49" t="s">
        <v>384</v>
      </c>
      <c r="D420" s="49">
        <v>40</v>
      </c>
      <c r="E420" s="49">
        <v>40</v>
      </c>
      <c r="F420" s="50">
        <f t="shared" si="37"/>
        <v>40</v>
      </c>
      <c r="G420" s="152"/>
      <c r="H42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ser uma excelente aliada nas decisões, facilitando e simplificando processos que tomariam tempo e esforço mental se feito analógicamente, tendo a máquina em função do humano, ao invés de limitar as possibilidades de caminhos - ou seja, o humano em função da máquina.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0" s="152"/>
      <c r="J420" s="152"/>
      <c r="K420" s="153"/>
      <c r="L420" s="152"/>
      <c r="M420" s="152"/>
      <c r="N420" s="153"/>
      <c r="O420" s="152"/>
      <c r="P420" s="152"/>
      <c r="Q420" s="154"/>
      <c r="T420" s="154"/>
      <c r="V420" s="80"/>
    </row>
    <row r="421" spans="1:22" ht="15" customHeight="1">
      <c r="A421" s="49">
        <v>125</v>
      </c>
      <c r="B421" s="50" t="s">
        <v>19</v>
      </c>
      <c r="C421" s="50" t="s">
        <v>387</v>
      </c>
      <c r="D421" s="49">
        <v>10</v>
      </c>
      <c r="E421" s="49">
        <v>0</v>
      </c>
      <c r="F421" s="50">
        <f t="shared" si="37"/>
        <v>5</v>
      </c>
      <c r="G421" s="152"/>
      <c r="H42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tem muito utilidade e tem nos ajudado muito no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1" s="152"/>
      <c r="J421" s="152"/>
      <c r="K421" s="153"/>
      <c r="L421" s="152"/>
      <c r="M421" s="152"/>
      <c r="N421" s="153"/>
      <c r="O421" s="152"/>
      <c r="P421" s="152"/>
      <c r="Q421" s="154"/>
      <c r="T421" s="154"/>
      <c r="V421" s="80"/>
    </row>
    <row r="422" spans="1:22" ht="15" customHeight="1">
      <c r="A422" s="49">
        <v>126</v>
      </c>
      <c r="B422" s="50" t="s">
        <v>19</v>
      </c>
      <c r="C422" s="50" t="s">
        <v>390</v>
      </c>
      <c r="D422" s="49">
        <v>20</v>
      </c>
      <c r="E422" s="49">
        <v>30</v>
      </c>
      <c r="F422" s="50">
        <f t="shared" si="37"/>
        <v>25</v>
      </c>
      <c r="G422" s="152"/>
      <c r="H42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deve ser usada para auxiliar as pessoas e não deixar as pessoas burras sem deixar com que elas explorem os horizontes e vão além de seus limites.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2" s="152"/>
      <c r="J422" s="152"/>
      <c r="K422" s="153"/>
      <c r="L422" s="152"/>
      <c r="M422" s="152"/>
      <c r="N422" s="153"/>
      <c r="O422" s="152"/>
      <c r="P422" s="152"/>
      <c r="Q422" s="154"/>
      <c r="T422" s="154"/>
      <c r="V422" s="80"/>
    </row>
    <row r="423" spans="1:22" ht="15" customHeight="1">
      <c r="A423" s="43">
        <v>127</v>
      </c>
      <c r="B423" s="50" t="s">
        <v>19</v>
      </c>
      <c r="C423" s="50" t="s">
        <v>393</v>
      </c>
      <c r="D423" s="49">
        <v>10</v>
      </c>
      <c r="E423" s="49">
        <v>10</v>
      </c>
      <c r="F423" s="50">
        <f t="shared" si="37"/>
        <v>10</v>
      </c>
      <c r="G423" s="152"/>
      <c r="H42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assim como o GPS podemos utilizar nossos neurônios para nos lembrar de rotas ou até mesmo de outras situações que acabam nos fugindo da memoria, assim como o GPS podemos sempre de alguma forma reforçar os pensamentos.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3" s="152"/>
      <c r="J423" s="152"/>
      <c r="K423" s="153"/>
      <c r="L423" s="152"/>
      <c r="M423" s="152"/>
      <c r="N423" s="153"/>
      <c r="O423" s="152"/>
      <c r="P423" s="152"/>
      <c r="Q423" s="154"/>
      <c r="T423" s="154"/>
      <c r="V423" s="80"/>
    </row>
    <row r="424" spans="1:22" ht="15" customHeight="1">
      <c r="A424" s="49">
        <v>128</v>
      </c>
      <c r="B424" s="50" t="s">
        <v>19</v>
      </c>
      <c r="C424" s="50" t="s">
        <v>396</v>
      </c>
      <c r="D424" s="49">
        <v>0</v>
      </c>
      <c r="E424" s="49">
        <v>0</v>
      </c>
      <c r="F424" s="50">
        <f t="shared" si="37"/>
        <v>0</v>
      </c>
      <c r="G424" s="152"/>
      <c r="H42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Não podemos ficar dependentes somente das tecnologias artificiais esperando respostas prontas sem usar a nossa própia capacidade .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4" s="152"/>
      <c r="J424" s="152"/>
      <c r="K424" s="153"/>
      <c r="L424" s="152"/>
      <c r="M424" s="152"/>
      <c r="N424" s="153"/>
      <c r="O424" s="152"/>
      <c r="P424" s="152"/>
      <c r="Q424" s="154"/>
      <c r="T424" s="154"/>
      <c r="V424" s="80"/>
    </row>
    <row r="425" spans="1:22" ht="15" customHeight="1">
      <c r="A425" s="49">
        <v>129</v>
      </c>
      <c r="B425" s="50" t="s">
        <v>19</v>
      </c>
      <c r="C425" s="49" t="s">
        <v>399</v>
      </c>
      <c r="D425" s="49">
        <v>25</v>
      </c>
      <c r="E425" s="49">
        <v>25</v>
      </c>
      <c r="F425" s="50">
        <f t="shared" si="37"/>
        <v>25</v>
      </c>
      <c r="G425" s="152"/>
      <c r="H42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Não só a inteligência artificial é algo que pode ser utilizado de forma inteligente e eficaz, que realmente pode facilitar a nossa vida, como também a importância de seu aprimoramento para que esta tecnologia continue a ser utilizada de forma inteligente.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5" s="152"/>
      <c r="J425" s="152"/>
      <c r="K425" s="153"/>
      <c r="L425" s="152"/>
      <c r="M425" s="152"/>
      <c r="N425" s="153"/>
      <c r="O425" s="152"/>
      <c r="P425" s="152"/>
      <c r="Q425" s="154"/>
      <c r="T425" s="154"/>
      <c r="V425" s="80"/>
    </row>
    <row r="426" spans="1:22" ht="15" customHeight="1">
      <c r="A426" s="51">
        <v>130</v>
      </c>
      <c r="B426" s="50" t="s">
        <v>19</v>
      </c>
      <c r="C426" s="49" t="s">
        <v>402</v>
      </c>
      <c r="D426" s="49">
        <v>10</v>
      </c>
      <c r="E426" s="49">
        <v>10</v>
      </c>
      <c r="F426" s="50">
        <f t="shared" si="37"/>
        <v>10</v>
      </c>
      <c r="G426" s="152"/>
      <c r="H42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age rapidamente na escolha que melhor se adapta ao usuário, tomando menos tempo em trâmsito.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6" s="152"/>
      <c r="J426" s="152"/>
      <c r="K426" s="153"/>
      <c r="L426" s="152"/>
      <c r="M426" s="152"/>
      <c r="N426" s="153"/>
      <c r="O426" s="152"/>
      <c r="P426" s="152"/>
      <c r="Q426" s="154"/>
      <c r="T426" s="154"/>
      <c r="V426" s="80"/>
    </row>
    <row r="427" spans="1:22" ht="15" customHeight="1">
      <c r="A427" s="49">
        <v>131</v>
      </c>
      <c r="B427" s="50" t="s">
        <v>19</v>
      </c>
      <c r="C427" s="50" t="s">
        <v>405</v>
      </c>
      <c r="D427" s="49">
        <v>40</v>
      </c>
      <c r="E427" s="49">
        <v>40</v>
      </c>
      <c r="F427" s="50">
        <f t="shared" si="37"/>
        <v>40</v>
      </c>
      <c r="G427" s="152"/>
      <c r="H42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auxiliar no processo de tomada de decisão do ser humano, apresentando alternativas que podem ser usadas para facilitar a escolha de alguma coisa. No caso do GPS, seria um exemplo de inteligência artificial bem sucedida pois apresenta rotas alternativas à quem busca informações de localização.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7" s="152"/>
      <c r="J427" s="152"/>
      <c r="K427" s="153"/>
      <c r="L427" s="152"/>
      <c r="M427" s="152"/>
      <c r="N427" s="153"/>
      <c r="O427" s="152"/>
      <c r="P427" s="152"/>
      <c r="Q427" s="154"/>
      <c r="T427" s="154"/>
      <c r="V427" s="80"/>
    </row>
    <row r="428" spans="1:22" ht="15" customHeight="1">
      <c r="A428" s="49">
        <v>132</v>
      </c>
      <c r="B428" s="50" t="s">
        <v>19</v>
      </c>
      <c r="C428" s="50" t="s">
        <v>408</v>
      </c>
      <c r="D428" s="49">
        <v>0</v>
      </c>
      <c r="E428" s="49">
        <v>0</v>
      </c>
      <c r="F428" s="50">
        <f t="shared" si="37"/>
        <v>0</v>
      </c>
      <c r="G428" s="152"/>
      <c r="H42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legitimos calculadores inteligente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8" s="152"/>
      <c r="J428" s="152"/>
      <c r="K428" s="153"/>
      <c r="L428" s="152"/>
      <c r="M428" s="152"/>
      <c r="N428" s="153"/>
      <c r="O428" s="152"/>
      <c r="P428" s="152"/>
      <c r="Q428" s="154"/>
      <c r="T428" s="154"/>
      <c r="V428" s="80"/>
    </row>
    <row r="429" spans="1:22" ht="15" customHeight="1">
      <c r="A429" s="43">
        <v>133</v>
      </c>
      <c r="B429" s="50" t="s">
        <v>19</v>
      </c>
      <c r="C429" s="50" t="s">
        <v>411</v>
      </c>
      <c r="D429" s="49">
        <v>20</v>
      </c>
      <c r="E429" s="49">
        <v>10</v>
      </c>
      <c r="F429" s="50">
        <f t="shared" si="37"/>
        <v>15</v>
      </c>
      <c r="G429" s="152"/>
      <c r="H42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usam algoritimos que trazem flexibilidade cognitiva a quem o usa, pois torna a rota mais fácil, considerando as preferências e necessidades do motorista.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9" s="152"/>
      <c r="J429" s="152"/>
      <c r="K429" s="153"/>
      <c r="L429" s="152"/>
      <c r="M429" s="152"/>
      <c r="N429" s="153"/>
      <c r="O429" s="152"/>
      <c r="P429" s="152"/>
      <c r="Q429" s="154"/>
      <c r="T429" s="154"/>
      <c r="V429" s="80"/>
    </row>
    <row r="430" spans="1:22" ht="15" customHeight="1">
      <c r="A430" s="49">
        <v>134</v>
      </c>
      <c r="B430" s="50" t="s">
        <v>19</v>
      </c>
      <c r="C430" s="50" t="s">
        <v>414</v>
      </c>
      <c r="D430" s="49">
        <v>10</v>
      </c>
      <c r="E430" s="49">
        <v>10</v>
      </c>
      <c r="F430" s="49">
        <v>10</v>
      </c>
      <c r="G430" s="152"/>
      <c r="H43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aliada a mente humana funciona.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a resposta esperada e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30" s="152"/>
      <c r="J430" s="152"/>
      <c r="K430" s="153"/>
      <c r="L430" s="152"/>
      <c r="M430" s="152"/>
      <c r="N430" s="153"/>
      <c r="O430" s="152"/>
      <c r="P430" s="152"/>
      <c r="Q430" s="154"/>
      <c r="T430" s="154"/>
      <c r="V430" s="80"/>
    </row>
    <row r="431" spans="1:22">
      <c r="H431" s="154"/>
      <c r="K431" s="154"/>
      <c r="N431" s="154"/>
      <c r="Q431" s="154"/>
      <c r="T431" s="154"/>
      <c r="V431" s="80"/>
    </row>
    <row r="432" spans="1:22">
      <c r="H432" s="154"/>
      <c r="K432" s="154"/>
      <c r="N432" s="154"/>
      <c r="Q432" s="154"/>
      <c r="T432" s="154"/>
      <c r="V432" s="80"/>
    </row>
    <row r="433" spans="8:22">
      <c r="H433" s="154"/>
      <c r="K433" s="154"/>
      <c r="N433" s="154"/>
      <c r="Q433" s="154"/>
      <c r="T433" s="154"/>
      <c r="V433" s="80"/>
    </row>
    <row r="434" spans="8:22">
      <c r="H434" s="154"/>
      <c r="K434" s="154"/>
      <c r="N434" s="154"/>
      <c r="Q434" s="154"/>
      <c r="T434" s="154"/>
      <c r="V434" s="80"/>
    </row>
    <row r="435" spans="8:22">
      <c r="H435" s="154"/>
      <c r="K435" s="154"/>
      <c r="N435" s="154"/>
      <c r="Q435" s="154"/>
      <c r="T435" s="154"/>
      <c r="V435" s="80"/>
    </row>
    <row r="436" spans="8:22">
      <c r="H436" s="154"/>
      <c r="K436" s="154"/>
      <c r="N436" s="154"/>
      <c r="Q436" s="154"/>
      <c r="T436" s="154"/>
      <c r="V436" s="80"/>
    </row>
    <row r="437" spans="8:22">
      <c r="H437" s="154"/>
      <c r="K437" s="154"/>
      <c r="N437" s="154"/>
      <c r="Q437" s="154"/>
      <c r="T437" s="154"/>
      <c r="V437" s="80"/>
    </row>
    <row r="438" spans="8:22">
      <c r="H438" s="154"/>
      <c r="K438" s="154"/>
      <c r="N438" s="154"/>
      <c r="Q438" s="154"/>
      <c r="T438" s="154"/>
      <c r="V438" s="80"/>
    </row>
    <row r="439" spans="8:22">
      <c r="H439" s="154"/>
      <c r="K439" s="154"/>
      <c r="N439" s="154"/>
      <c r="Q439" s="154"/>
      <c r="T439" s="154"/>
      <c r="V439" s="80"/>
    </row>
    <row r="440" spans="8:22">
      <c r="H440" s="154"/>
      <c r="K440" s="154"/>
      <c r="N440" s="154"/>
      <c r="Q440" s="154"/>
      <c r="T440" s="154"/>
      <c r="V440" s="80"/>
    </row>
    <row r="441" spans="8:22">
      <c r="H441" s="154"/>
      <c r="K441" s="154"/>
      <c r="N441" s="154"/>
      <c r="Q441" s="154"/>
      <c r="T441" s="154"/>
      <c r="V441" s="80"/>
    </row>
    <row r="442" spans="8:22">
      <c r="H442" s="154"/>
      <c r="K442" s="154"/>
      <c r="N442" s="154"/>
      <c r="Q442" s="154"/>
      <c r="T442" s="154"/>
      <c r="V442" s="80"/>
    </row>
    <row r="443" spans="8:22">
      <c r="H443" s="154"/>
      <c r="K443" s="154"/>
      <c r="N443" s="154"/>
      <c r="Q443" s="154"/>
      <c r="T443" s="154"/>
      <c r="V443" s="80"/>
    </row>
    <row r="444" spans="8:22">
      <c r="H444" s="154"/>
      <c r="K444" s="154"/>
      <c r="N444" s="154"/>
      <c r="Q444" s="154"/>
      <c r="T444" s="154"/>
      <c r="V444" s="80"/>
    </row>
    <row r="445" spans="8:22">
      <c r="H445" s="154"/>
      <c r="K445" s="154"/>
      <c r="N445" s="154"/>
      <c r="Q445" s="154"/>
      <c r="T445" s="154"/>
      <c r="V445" s="80"/>
    </row>
    <row r="446" spans="8:22">
      <c r="H446" s="154"/>
      <c r="K446" s="154"/>
      <c r="N446" s="154"/>
      <c r="Q446" s="154"/>
      <c r="T446" s="154"/>
      <c r="V446" s="80"/>
    </row>
    <row r="447" spans="8:22">
      <c r="H447" s="154"/>
      <c r="K447" s="154"/>
      <c r="N447" s="154"/>
      <c r="Q447" s="154"/>
      <c r="T447" s="154"/>
      <c r="V447" s="80"/>
    </row>
    <row r="448" spans="8:22">
      <c r="H448" s="154"/>
      <c r="K448" s="154"/>
      <c r="N448" s="154"/>
      <c r="Q448" s="154"/>
      <c r="T448" s="154"/>
      <c r="V448" s="80"/>
    </row>
    <row r="449" spans="8:22">
      <c r="H449" s="154"/>
      <c r="K449" s="154"/>
      <c r="N449" s="154"/>
      <c r="Q449" s="154"/>
      <c r="T449" s="154"/>
      <c r="V449" s="80"/>
    </row>
    <row r="450" spans="8:22">
      <c r="H450" s="154"/>
      <c r="K450" s="154"/>
      <c r="N450" s="154"/>
      <c r="Q450" s="154"/>
      <c r="T450" s="154"/>
      <c r="V450" s="80"/>
    </row>
    <row r="451" spans="8:22">
      <c r="H451" s="154"/>
      <c r="K451" s="154"/>
      <c r="N451" s="154"/>
      <c r="Q451" s="154"/>
      <c r="T451" s="154"/>
      <c r="V451" s="80"/>
    </row>
    <row r="452" spans="8:22">
      <c r="H452" s="154"/>
      <c r="K452" s="154"/>
      <c r="N452" s="154"/>
      <c r="Q452" s="154"/>
      <c r="T452" s="154"/>
      <c r="V452" s="80"/>
    </row>
    <row r="453" spans="8:22">
      <c r="H453" s="154"/>
      <c r="K453" s="154"/>
      <c r="N453" s="154"/>
      <c r="Q453" s="154"/>
      <c r="T453" s="154"/>
      <c r="V453" s="80"/>
    </row>
    <row r="454" spans="8:22">
      <c r="H454" s="154"/>
      <c r="K454" s="154"/>
      <c r="N454" s="154"/>
      <c r="Q454" s="154"/>
      <c r="T454" s="154"/>
      <c r="V454" s="80"/>
    </row>
    <row r="455" spans="8:22">
      <c r="H455" s="154"/>
      <c r="K455" s="154"/>
      <c r="N455" s="154"/>
      <c r="Q455" s="154"/>
      <c r="T455" s="154"/>
      <c r="V455" s="80"/>
    </row>
    <row r="456" spans="8:22">
      <c r="H456" s="154"/>
      <c r="K456" s="154"/>
      <c r="N456" s="154"/>
      <c r="Q456" s="154"/>
      <c r="T456" s="154"/>
      <c r="V456" s="80"/>
    </row>
    <row r="457" spans="8:22">
      <c r="H457" s="154"/>
      <c r="K457" s="154"/>
      <c r="N457" s="154"/>
      <c r="Q457" s="154"/>
      <c r="T457" s="154"/>
      <c r="V457" s="80"/>
    </row>
    <row r="458" spans="8:22">
      <c r="H458" s="154"/>
      <c r="K458" s="154"/>
      <c r="N458" s="154"/>
      <c r="Q458" s="154"/>
      <c r="T458" s="154"/>
      <c r="V458" s="80"/>
    </row>
    <row r="459" spans="8:22">
      <c r="H459" s="154"/>
      <c r="K459" s="154"/>
      <c r="N459" s="154"/>
      <c r="Q459" s="154"/>
      <c r="T459" s="154"/>
      <c r="V459" s="80"/>
    </row>
    <row r="460" spans="8:22">
      <c r="H460" s="154"/>
      <c r="K460" s="154"/>
      <c r="N460" s="154"/>
      <c r="Q460" s="154"/>
      <c r="T460" s="154"/>
      <c r="V460" s="80"/>
    </row>
    <row r="461" spans="8:22">
      <c r="H461" s="154"/>
      <c r="K461" s="154"/>
      <c r="N461" s="154"/>
      <c r="Q461" s="154"/>
      <c r="T461" s="154"/>
      <c r="V461" s="80"/>
    </row>
    <row r="462" spans="8:22">
      <c r="H462" s="154"/>
      <c r="K462" s="154"/>
      <c r="N462" s="154"/>
      <c r="Q462" s="154"/>
      <c r="T462" s="154"/>
      <c r="V462" s="80"/>
    </row>
    <row r="463" spans="8:22">
      <c r="H463" s="154"/>
      <c r="K463" s="154"/>
      <c r="N463" s="154"/>
      <c r="Q463" s="154"/>
      <c r="T463" s="154"/>
      <c r="V463" s="80"/>
    </row>
    <row r="464" spans="8:22">
      <c r="H464" s="154"/>
      <c r="K464" s="154"/>
      <c r="N464" s="154"/>
      <c r="Q464" s="154"/>
      <c r="T464" s="154"/>
      <c r="V464" s="80"/>
    </row>
    <row r="465" spans="8:22">
      <c r="H465" s="154"/>
      <c r="K465" s="154"/>
      <c r="N465" s="154"/>
      <c r="Q465" s="154"/>
      <c r="T465" s="154"/>
      <c r="V465" s="80"/>
    </row>
    <row r="466" spans="8:22">
      <c r="H466" s="154"/>
      <c r="K466" s="154"/>
      <c r="N466" s="154"/>
      <c r="Q466" s="154"/>
      <c r="T466" s="154"/>
      <c r="V466" s="80"/>
    </row>
    <row r="467" spans="8:22">
      <c r="H467" s="154"/>
      <c r="K467" s="154"/>
      <c r="N467" s="154"/>
      <c r="Q467" s="154"/>
      <c r="T467" s="154"/>
      <c r="V467" s="80"/>
    </row>
    <row r="468" spans="8:22">
      <c r="H468" s="154"/>
      <c r="K468" s="154"/>
      <c r="N468" s="154"/>
      <c r="Q468" s="154"/>
      <c r="T468" s="154"/>
      <c r="V468" s="80"/>
    </row>
    <row r="469" spans="8:22">
      <c r="H469" s="154"/>
      <c r="K469" s="154"/>
      <c r="N469" s="154"/>
      <c r="Q469" s="154"/>
      <c r="T469" s="154"/>
      <c r="V469" s="80"/>
    </row>
    <row r="470" spans="8:22">
      <c r="H470" s="154"/>
      <c r="K470" s="154"/>
      <c r="N470" s="154"/>
      <c r="Q470" s="154"/>
      <c r="T470" s="154"/>
      <c r="V470" s="80"/>
    </row>
    <row r="471" spans="8:22">
      <c r="H471" s="154"/>
      <c r="K471" s="154"/>
      <c r="N471" s="154"/>
      <c r="Q471" s="154"/>
      <c r="T471" s="154"/>
      <c r="V471" s="80"/>
    </row>
    <row r="472" spans="8:22">
      <c r="H472" s="154"/>
      <c r="K472" s="154"/>
      <c r="N472" s="154"/>
      <c r="Q472" s="154"/>
      <c r="T472" s="154"/>
      <c r="V472" s="80"/>
    </row>
    <row r="473" spans="8:22">
      <c r="H473" s="154"/>
      <c r="K473" s="154"/>
      <c r="N473" s="154"/>
      <c r="Q473" s="154"/>
      <c r="T473" s="154"/>
      <c r="V473" s="80"/>
    </row>
    <row r="474" spans="8:22">
      <c r="H474" s="154"/>
      <c r="K474" s="154"/>
      <c r="N474" s="154"/>
      <c r="Q474" s="154"/>
      <c r="T474" s="154"/>
      <c r="V474" s="80"/>
    </row>
    <row r="475" spans="8:22">
      <c r="H475" s="154"/>
      <c r="K475" s="154"/>
      <c r="N475" s="154"/>
      <c r="Q475" s="154"/>
      <c r="T475" s="154"/>
      <c r="V475" s="80"/>
    </row>
    <row r="476" spans="8:22">
      <c r="H476" s="154"/>
      <c r="K476" s="154"/>
      <c r="N476" s="154"/>
      <c r="Q476" s="154"/>
      <c r="T476" s="154"/>
      <c r="V476" s="80"/>
    </row>
    <row r="477" spans="8:22">
      <c r="H477" s="154"/>
      <c r="K477" s="154"/>
      <c r="N477" s="154"/>
      <c r="Q477" s="154"/>
      <c r="T477" s="154"/>
      <c r="V477" s="80"/>
    </row>
    <row r="478" spans="8:22">
      <c r="H478" s="154"/>
      <c r="K478" s="154"/>
      <c r="N478" s="154"/>
      <c r="Q478" s="154"/>
      <c r="T478" s="154"/>
      <c r="V478" s="80"/>
    </row>
    <row r="479" spans="8:22">
      <c r="H479" s="154"/>
      <c r="K479" s="154"/>
      <c r="N479" s="154"/>
      <c r="Q479" s="154"/>
      <c r="T479" s="154"/>
      <c r="V479" s="80"/>
    </row>
    <row r="480" spans="8:22">
      <c r="H480" s="154"/>
      <c r="K480" s="154"/>
      <c r="N480" s="154"/>
      <c r="Q480" s="154"/>
      <c r="T480" s="154"/>
      <c r="V480" s="80"/>
    </row>
    <row r="481" spans="8:22">
      <c r="H481" s="154"/>
      <c r="K481" s="154"/>
      <c r="N481" s="154"/>
      <c r="Q481" s="154"/>
      <c r="T481" s="154"/>
      <c r="V481" s="80"/>
    </row>
    <row r="482" spans="8:22">
      <c r="H482" s="154"/>
      <c r="K482" s="154"/>
      <c r="N482" s="154"/>
      <c r="Q482" s="154"/>
      <c r="T482" s="154"/>
      <c r="V482" s="80"/>
    </row>
    <row r="483" spans="8:22">
      <c r="H483" s="154"/>
      <c r="K483" s="154"/>
      <c r="N483" s="154"/>
      <c r="Q483" s="154"/>
      <c r="T483" s="154"/>
      <c r="V483" s="80"/>
    </row>
    <row r="484" spans="8:22">
      <c r="H484" s="154"/>
      <c r="K484" s="154"/>
      <c r="N484" s="154"/>
      <c r="Q484" s="154"/>
      <c r="T484" s="154"/>
      <c r="V484" s="80"/>
    </row>
    <row r="485" spans="8:22">
      <c r="H485" s="154"/>
      <c r="K485" s="154"/>
      <c r="N485" s="154"/>
      <c r="Q485" s="154"/>
      <c r="T485" s="154"/>
      <c r="V485" s="80"/>
    </row>
    <row r="486" spans="8:22">
      <c r="H486" s="154"/>
      <c r="K486" s="154"/>
      <c r="N486" s="154"/>
      <c r="Q486" s="154"/>
      <c r="T486" s="154"/>
      <c r="V486" s="80"/>
    </row>
    <row r="487" spans="8:22">
      <c r="H487" s="154"/>
      <c r="K487" s="154"/>
      <c r="N487" s="154"/>
      <c r="Q487" s="154"/>
      <c r="T487" s="154"/>
      <c r="V487" s="80"/>
    </row>
    <row r="488" spans="8:22">
      <c r="H488" s="154"/>
      <c r="K488" s="154"/>
      <c r="N488" s="154"/>
      <c r="Q488" s="154"/>
      <c r="T488" s="154"/>
      <c r="V488" s="80"/>
    </row>
    <row r="489" spans="8:22">
      <c r="H489" s="154"/>
      <c r="K489" s="154"/>
      <c r="N489" s="154"/>
      <c r="Q489" s="154"/>
      <c r="T489" s="154"/>
      <c r="V489" s="80"/>
    </row>
    <row r="490" spans="8:22">
      <c r="H490" s="154"/>
      <c r="K490" s="154"/>
      <c r="N490" s="154"/>
      <c r="Q490" s="154"/>
      <c r="T490" s="154"/>
      <c r="V490" s="80"/>
    </row>
    <row r="491" spans="8:22">
      <c r="H491" s="154"/>
      <c r="K491" s="154"/>
      <c r="N491" s="154"/>
      <c r="Q491" s="154"/>
      <c r="T491" s="154"/>
      <c r="V491" s="80"/>
    </row>
    <row r="492" spans="8:22">
      <c r="H492" s="154"/>
      <c r="K492" s="154"/>
      <c r="N492" s="154"/>
      <c r="Q492" s="154"/>
      <c r="T492" s="154"/>
      <c r="V492" s="80"/>
    </row>
    <row r="493" spans="8:22">
      <c r="H493" s="154"/>
      <c r="K493" s="154"/>
      <c r="N493" s="154"/>
      <c r="Q493" s="154"/>
      <c r="T493" s="154"/>
      <c r="V493" s="80"/>
    </row>
    <row r="494" spans="8:22">
      <c r="H494" s="154"/>
      <c r="K494" s="154"/>
      <c r="N494" s="154"/>
      <c r="Q494" s="154"/>
      <c r="T494" s="154"/>
      <c r="V494" s="80"/>
    </row>
    <row r="495" spans="8:22">
      <c r="H495" s="154"/>
      <c r="K495" s="154"/>
      <c r="N495" s="154"/>
      <c r="Q495" s="154"/>
      <c r="T495" s="154"/>
      <c r="V495" s="80"/>
    </row>
    <row r="496" spans="8:22">
      <c r="H496" s="154"/>
      <c r="K496" s="154"/>
      <c r="N496" s="154"/>
      <c r="Q496" s="154"/>
      <c r="T496" s="154"/>
      <c r="V496" s="80"/>
    </row>
    <row r="497" spans="8:22">
      <c r="H497" s="154"/>
      <c r="K497" s="154"/>
      <c r="N497" s="154"/>
      <c r="Q497" s="154"/>
      <c r="T497" s="154"/>
      <c r="V497" s="80"/>
    </row>
    <row r="498" spans="8:22">
      <c r="H498" s="154"/>
      <c r="K498" s="154"/>
      <c r="N498" s="154"/>
      <c r="Q498" s="154"/>
      <c r="T498" s="154"/>
      <c r="V498" s="80"/>
    </row>
    <row r="499" spans="8:22">
      <c r="H499" s="154"/>
      <c r="K499" s="154"/>
      <c r="N499" s="154"/>
      <c r="Q499" s="154"/>
      <c r="T499" s="154"/>
      <c r="V499" s="80"/>
    </row>
    <row r="500" spans="8:22">
      <c r="H500" s="154"/>
      <c r="K500" s="154"/>
      <c r="N500" s="154"/>
      <c r="Q500" s="154"/>
      <c r="T500" s="154"/>
      <c r="V500" s="80"/>
    </row>
    <row r="501" spans="8:22">
      <c r="H501" s="154"/>
      <c r="K501" s="154"/>
      <c r="N501" s="154"/>
      <c r="Q501" s="154"/>
      <c r="T501" s="154"/>
      <c r="V501" s="80"/>
    </row>
    <row r="502" spans="8:22">
      <c r="H502" s="154"/>
      <c r="K502" s="154"/>
      <c r="N502" s="154"/>
      <c r="Q502" s="154"/>
      <c r="T502" s="154"/>
      <c r="V502" s="80"/>
    </row>
    <row r="503" spans="8:22">
      <c r="H503" s="154"/>
      <c r="K503" s="154"/>
      <c r="N503" s="154"/>
      <c r="Q503" s="154"/>
      <c r="T503" s="154"/>
      <c r="V503" s="80"/>
    </row>
    <row r="504" spans="8:22">
      <c r="H504" s="154"/>
      <c r="K504" s="154"/>
      <c r="N504" s="154"/>
      <c r="Q504" s="154"/>
      <c r="T504" s="154"/>
      <c r="V504" s="80"/>
    </row>
    <row r="505" spans="8:22">
      <c r="H505" s="154"/>
      <c r="K505" s="154"/>
      <c r="N505" s="154"/>
      <c r="Q505" s="154"/>
      <c r="T505" s="154"/>
      <c r="V505" s="80"/>
    </row>
    <row r="506" spans="8:22">
      <c r="H506" s="154"/>
      <c r="K506" s="154"/>
      <c r="N506" s="154"/>
      <c r="Q506" s="154"/>
      <c r="T506" s="154"/>
      <c r="V506" s="80"/>
    </row>
    <row r="507" spans="8:22">
      <c r="H507" s="154"/>
      <c r="K507" s="154"/>
      <c r="N507" s="154"/>
      <c r="Q507" s="154"/>
      <c r="T507" s="154"/>
      <c r="V507" s="80"/>
    </row>
    <row r="508" spans="8:22">
      <c r="H508" s="154"/>
      <c r="K508" s="154"/>
      <c r="N508" s="154"/>
      <c r="Q508" s="154"/>
      <c r="T508" s="154"/>
      <c r="V508" s="80"/>
    </row>
    <row r="509" spans="8:22">
      <c r="H509" s="154"/>
      <c r="K509" s="154"/>
      <c r="N509" s="154"/>
      <c r="Q509" s="154"/>
      <c r="T509" s="154"/>
      <c r="V509" s="80"/>
    </row>
    <row r="510" spans="8:22">
      <c r="H510" s="154"/>
      <c r="K510" s="154"/>
      <c r="N510" s="154"/>
      <c r="Q510" s="154"/>
      <c r="T510" s="154"/>
      <c r="V510" s="80"/>
    </row>
    <row r="511" spans="8:22">
      <c r="H511" s="154"/>
      <c r="K511" s="154"/>
      <c r="N511" s="154"/>
      <c r="Q511" s="154"/>
      <c r="T511" s="154"/>
      <c r="V511" s="80"/>
    </row>
    <row r="512" spans="8:22">
      <c r="H512" s="154"/>
      <c r="K512" s="154"/>
      <c r="N512" s="154"/>
      <c r="Q512" s="154"/>
      <c r="T512" s="154"/>
      <c r="V512" s="80"/>
    </row>
    <row r="513" spans="8:22">
      <c r="H513" s="154"/>
      <c r="K513" s="154"/>
      <c r="N513" s="154"/>
      <c r="Q513" s="154"/>
      <c r="T513" s="154"/>
      <c r="V513" s="80"/>
    </row>
    <row r="514" spans="8:22">
      <c r="H514" s="154"/>
      <c r="K514" s="154"/>
      <c r="N514" s="154"/>
      <c r="Q514" s="154"/>
      <c r="T514" s="154"/>
      <c r="V514" s="80"/>
    </row>
    <row r="515" spans="8:22">
      <c r="H515" s="154"/>
      <c r="K515" s="154"/>
      <c r="N515" s="154"/>
      <c r="Q515" s="154"/>
      <c r="T515" s="154"/>
      <c r="V515" s="80"/>
    </row>
    <row r="516" spans="8:22">
      <c r="H516" s="154"/>
      <c r="K516" s="154"/>
      <c r="N516" s="154"/>
      <c r="Q516" s="154"/>
      <c r="T516" s="154"/>
      <c r="V516" s="80"/>
    </row>
    <row r="517" spans="8:22">
      <c r="H517" s="154"/>
      <c r="K517" s="154"/>
      <c r="N517" s="154"/>
      <c r="Q517" s="154"/>
      <c r="T517" s="154"/>
      <c r="V517" s="80"/>
    </row>
    <row r="518" spans="8:22">
      <c r="H518" s="154"/>
      <c r="K518" s="154"/>
      <c r="N518" s="154"/>
      <c r="Q518" s="154"/>
      <c r="T518" s="154"/>
      <c r="V518" s="80"/>
    </row>
    <row r="519" spans="8:22">
      <c r="H519" s="154"/>
      <c r="K519" s="154"/>
      <c r="N519" s="154"/>
      <c r="Q519" s="154"/>
      <c r="T519" s="154"/>
      <c r="V519" s="80"/>
    </row>
    <row r="520" spans="8:22">
      <c r="H520" s="154"/>
      <c r="K520" s="154"/>
      <c r="N520" s="154"/>
      <c r="Q520" s="154"/>
      <c r="T520" s="154"/>
      <c r="V520" s="80"/>
    </row>
    <row r="521" spans="8:22">
      <c r="H521" s="154"/>
      <c r="K521" s="154"/>
      <c r="N521" s="154"/>
      <c r="Q521" s="154"/>
      <c r="T521" s="154"/>
      <c r="V521" s="80"/>
    </row>
    <row r="522" spans="8:22">
      <c r="H522" s="154"/>
      <c r="K522" s="154"/>
      <c r="N522" s="154"/>
      <c r="Q522" s="154"/>
      <c r="T522" s="154"/>
      <c r="V522" s="80"/>
    </row>
    <row r="523" spans="8:22">
      <c r="H523" s="154"/>
      <c r="K523" s="154"/>
      <c r="N523" s="154"/>
      <c r="Q523" s="154"/>
      <c r="T523" s="154"/>
      <c r="V523" s="80"/>
    </row>
    <row r="524" spans="8:22">
      <c r="H524" s="154"/>
      <c r="K524" s="154"/>
      <c r="N524" s="154"/>
      <c r="Q524" s="154"/>
      <c r="T524" s="154"/>
      <c r="V524" s="80"/>
    </row>
    <row r="525" spans="8:22">
      <c r="H525" s="154"/>
      <c r="K525" s="154"/>
      <c r="N525" s="154"/>
      <c r="Q525" s="154"/>
      <c r="T525" s="154"/>
      <c r="V525" s="80"/>
    </row>
    <row r="526" spans="8:22">
      <c r="H526" s="154"/>
      <c r="K526" s="154"/>
      <c r="N526" s="154"/>
      <c r="Q526" s="154"/>
      <c r="T526" s="154"/>
      <c r="V526" s="80"/>
    </row>
    <row r="527" spans="8:22">
      <c r="H527" s="154"/>
      <c r="K527" s="154"/>
      <c r="N527" s="154"/>
      <c r="Q527" s="154"/>
      <c r="T527" s="154"/>
      <c r="V527" s="80"/>
    </row>
    <row r="528" spans="8:22">
      <c r="H528" s="154"/>
      <c r="K528" s="154"/>
      <c r="N528" s="154"/>
      <c r="Q528" s="154"/>
      <c r="T528" s="154"/>
      <c r="V528" s="80"/>
    </row>
    <row r="529" spans="8:22">
      <c r="H529" s="154"/>
      <c r="K529" s="154"/>
      <c r="N529" s="154"/>
      <c r="Q529" s="154"/>
      <c r="T529" s="154"/>
      <c r="V529" s="80"/>
    </row>
    <row r="530" spans="8:22">
      <c r="H530" s="154"/>
      <c r="K530" s="154"/>
      <c r="N530" s="154"/>
      <c r="Q530" s="154"/>
      <c r="T530" s="154"/>
      <c r="V530" s="80"/>
    </row>
    <row r="531" spans="8:22">
      <c r="H531" s="154"/>
      <c r="K531" s="154"/>
      <c r="N531" s="154"/>
      <c r="Q531" s="154"/>
      <c r="T531" s="154"/>
      <c r="V531" s="80"/>
    </row>
    <row r="532" spans="8:22">
      <c r="H532" s="154"/>
      <c r="K532" s="154"/>
      <c r="N532" s="154"/>
      <c r="Q532" s="154"/>
      <c r="T532" s="154"/>
      <c r="V532" s="80"/>
    </row>
    <row r="533" spans="8:22">
      <c r="H533" s="154"/>
      <c r="K533" s="154"/>
      <c r="N533" s="154"/>
      <c r="Q533" s="154"/>
      <c r="T533" s="154"/>
      <c r="V533" s="80"/>
    </row>
    <row r="534" spans="8:22">
      <c r="H534" s="154"/>
      <c r="K534" s="154"/>
      <c r="N534" s="154"/>
      <c r="Q534" s="154"/>
      <c r="T534" s="154"/>
      <c r="V534" s="80"/>
    </row>
    <row r="535" spans="8:22">
      <c r="H535" s="154"/>
      <c r="K535" s="154"/>
      <c r="N535" s="154"/>
      <c r="Q535" s="154"/>
      <c r="T535" s="154"/>
      <c r="V535" s="80"/>
    </row>
    <row r="536" spans="8:22">
      <c r="H536" s="154"/>
      <c r="K536" s="154"/>
      <c r="N536" s="154"/>
      <c r="Q536" s="154"/>
      <c r="T536" s="154"/>
      <c r="V536" s="80"/>
    </row>
    <row r="537" spans="8:22">
      <c r="H537" s="154"/>
      <c r="K537" s="154"/>
      <c r="N537" s="154"/>
      <c r="Q537" s="154"/>
      <c r="T537" s="154"/>
      <c r="V537" s="80"/>
    </row>
    <row r="538" spans="8:22">
      <c r="H538" s="154"/>
      <c r="K538" s="154"/>
      <c r="N538" s="154"/>
      <c r="Q538" s="154"/>
      <c r="T538" s="154"/>
      <c r="V538" s="80"/>
    </row>
    <row r="539" spans="8:22">
      <c r="H539" s="154"/>
      <c r="K539" s="154"/>
      <c r="N539" s="154"/>
      <c r="Q539" s="154"/>
      <c r="T539" s="154"/>
      <c r="V539" s="80"/>
    </row>
    <row r="540" spans="8:22">
      <c r="H540" s="154"/>
      <c r="K540" s="154"/>
      <c r="N540" s="154"/>
      <c r="Q540" s="154"/>
      <c r="T540" s="154"/>
      <c r="V540" s="80"/>
    </row>
    <row r="541" spans="8:22">
      <c r="H541" s="154"/>
      <c r="K541" s="154"/>
      <c r="N541" s="154"/>
      <c r="Q541" s="154"/>
      <c r="T541" s="154"/>
      <c r="V541" s="80"/>
    </row>
    <row r="542" spans="8:22">
      <c r="H542" s="154"/>
      <c r="K542" s="154"/>
      <c r="N542" s="154"/>
      <c r="Q542" s="154"/>
      <c r="T542" s="154"/>
      <c r="V542" s="80"/>
    </row>
    <row r="543" spans="8:22">
      <c r="H543" s="154"/>
      <c r="K543" s="154"/>
      <c r="N543" s="154"/>
      <c r="Q543" s="154"/>
      <c r="T543" s="154"/>
      <c r="V543" s="80"/>
    </row>
    <row r="544" spans="8:22">
      <c r="H544" s="154"/>
      <c r="K544" s="154"/>
      <c r="N544" s="154"/>
      <c r="Q544" s="154"/>
      <c r="T544" s="154"/>
      <c r="V544" s="80"/>
    </row>
    <row r="545" spans="8:22">
      <c r="H545" s="154"/>
      <c r="K545" s="154"/>
      <c r="N545" s="154"/>
      <c r="Q545" s="154"/>
      <c r="T545" s="154"/>
      <c r="V545" s="80"/>
    </row>
    <row r="546" spans="8:22">
      <c r="H546" s="154"/>
      <c r="K546" s="154"/>
      <c r="N546" s="154"/>
      <c r="Q546" s="154"/>
      <c r="T546" s="154"/>
      <c r="V546" s="80"/>
    </row>
    <row r="547" spans="8:22">
      <c r="H547" s="154"/>
      <c r="K547" s="154"/>
      <c r="N547" s="154"/>
      <c r="Q547" s="154"/>
      <c r="T547" s="154"/>
      <c r="V547" s="80"/>
    </row>
    <row r="548" spans="8:22">
      <c r="H548" s="154"/>
      <c r="K548" s="154"/>
      <c r="N548" s="154"/>
      <c r="Q548" s="154"/>
      <c r="T548" s="154"/>
      <c r="V548" s="80"/>
    </row>
    <row r="549" spans="8:22">
      <c r="H549" s="154"/>
      <c r="K549" s="154"/>
      <c r="N549" s="154"/>
      <c r="Q549" s="154"/>
      <c r="T549" s="154"/>
      <c r="V549" s="80"/>
    </row>
    <row r="550" spans="8:22">
      <c r="H550" s="154"/>
      <c r="K550" s="154"/>
      <c r="N550" s="154"/>
      <c r="Q550" s="154"/>
      <c r="T550" s="154"/>
      <c r="V550" s="80"/>
    </row>
    <row r="551" spans="8:22">
      <c r="H551" s="154"/>
      <c r="K551" s="154"/>
      <c r="N551" s="154"/>
      <c r="Q551" s="154"/>
      <c r="T551" s="154"/>
      <c r="V551" s="80"/>
    </row>
    <row r="552" spans="8:22">
      <c r="H552" s="154"/>
      <c r="K552" s="154"/>
      <c r="N552" s="154"/>
      <c r="Q552" s="154"/>
      <c r="T552" s="154"/>
      <c r="V552" s="80"/>
    </row>
    <row r="553" spans="8:22">
      <c r="H553" s="154"/>
      <c r="K553" s="154"/>
      <c r="N553" s="154"/>
      <c r="Q553" s="154"/>
      <c r="T553" s="154"/>
      <c r="V553" s="80"/>
    </row>
    <row r="554" spans="8:22">
      <c r="H554" s="154"/>
      <c r="K554" s="154"/>
      <c r="N554" s="154"/>
      <c r="Q554" s="154"/>
      <c r="T554" s="154"/>
      <c r="V554" s="80"/>
    </row>
    <row r="555" spans="8:22">
      <c r="H555" s="154"/>
      <c r="K555" s="154"/>
      <c r="N555" s="154"/>
      <c r="Q555" s="154"/>
      <c r="T555" s="154"/>
      <c r="V555" s="80"/>
    </row>
    <row r="556" spans="8:22">
      <c r="H556" s="154"/>
      <c r="K556" s="154"/>
      <c r="N556" s="154"/>
      <c r="Q556" s="154"/>
      <c r="T556" s="154"/>
      <c r="V556" s="80"/>
    </row>
    <row r="557" spans="8:22">
      <c r="H557" s="154"/>
      <c r="K557" s="154"/>
      <c r="N557" s="154"/>
      <c r="Q557" s="154"/>
      <c r="T557" s="154"/>
      <c r="V557" s="80"/>
    </row>
    <row r="558" spans="8:22">
      <c r="H558" s="154"/>
      <c r="K558" s="154"/>
      <c r="N558" s="154"/>
      <c r="Q558" s="154"/>
      <c r="T558" s="154"/>
      <c r="V558" s="80"/>
    </row>
    <row r="559" spans="8:22">
      <c r="H559" s="154"/>
      <c r="K559" s="154"/>
      <c r="N559" s="154"/>
      <c r="Q559" s="154"/>
      <c r="T559" s="154"/>
      <c r="V559" s="80"/>
    </row>
    <row r="560" spans="8:22">
      <c r="H560" s="154"/>
      <c r="K560" s="154"/>
      <c r="N560" s="154"/>
      <c r="Q560" s="154"/>
      <c r="T560" s="154"/>
      <c r="V560" s="80"/>
    </row>
    <row r="561" spans="8:22">
      <c r="H561" s="154"/>
      <c r="K561" s="154"/>
      <c r="N561" s="154"/>
      <c r="Q561" s="154"/>
      <c r="T561" s="154"/>
      <c r="V561" s="80"/>
    </row>
    <row r="562" spans="8:22">
      <c r="H562" s="154"/>
      <c r="K562" s="154"/>
      <c r="N562" s="154"/>
      <c r="Q562" s="154"/>
      <c r="T562" s="154"/>
      <c r="V562" s="80"/>
    </row>
    <row r="563" spans="8:22">
      <c r="H563" s="154"/>
      <c r="K563" s="154"/>
      <c r="N563" s="154"/>
      <c r="Q563" s="154"/>
      <c r="T563" s="154"/>
      <c r="V563" s="80"/>
    </row>
    <row r="564" spans="8:22">
      <c r="H564" s="154"/>
      <c r="K564" s="154"/>
      <c r="N564" s="154"/>
      <c r="Q564" s="154"/>
      <c r="T564" s="154"/>
      <c r="V564" s="80"/>
    </row>
    <row r="565" spans="8:22">
      <c r="H565" s="154"/>
      <c r="K565" s="154"/>
      <c r="N565" s="154"/>
      <c r="Q565" s="154"/>
      <c r="T565" s="154"/>
      <c r="V565" s="80"/>
    </row>
    <row r="566" spans="8:22">
      <c r="H566" s="154"/>
      <c r="K566" s="154"/>
      <c r="N566" s="154"/>
      <c r="Q566" s="154"/>
      <c r="T566" s="154"/>
      <c r="V566" s="80"/>
    </row>
    <row r="567" spans="8:22">
      <c r="H567" s="154"/>
      <c r="K567" s="154"/>
      <c r="N567" s="154"/>
      <c r="Q567" s="154"/>
      <c r="T567" s="154"/>
      <c r="V567" s="80"/>
    </row>
    <row r="568" spans="8:22">
      <c r="H568" s="154"/>
      <c r="K568" s="154"/>
      <c r="N568" s="154"/>
      <c r="Q568" s="154"/>
      <c r="T568" s="154"/>
      <c r="V568" s="80"/>
    </row>
    <row r="569" spans="8:22">
      <c r="H569" s="154"/>
      <c r="K569" s="154"/>
      <c r="N569" s="154"/>
      <c r="Q569" s="154"/>
      <c r="T569" s="154"/>
      <c r="V569" s="80"/>
    </row>
    <row r="570" spans="8:22">
      <c r="H570" s="154"/>
      <c r="K570" s="154"/>
      <c r="N570" s="154"/>
      <c r="Q570" s="154"/>
      <c r="T570" s="154"/>
      <c r="V570" s="80"/>
    </row>
    <row r="571" spans="8:22">
      <c r="H571" s="154"/>
      <c r="K571" s="154"/>
      <c r="N571" s="154"/>
      <c r="Q571" s="154"/>
      <c r="T571" s="154"/>
      <c r="V571" s="80"/>
    </row>
    <row r="572" spans="8:22">
      <c r="H572" s="154"/>
      <c r="K572" s="154"/>
      <c r="N572" s="154"/>
      <c r="Q572" s="154"/>
      <c r="T572" s="154"/>
      <c r="V572" s="80"/>
    </row>
    <row r="573" spans="8:22">
      <c r="H573" s="154"/>
      <c r="K573" s="154"/>
      <c r="N573" s="154"/>
      <c r="Q573" s="154"/>
      <c r="T573" s="154"/>
      <c r="V573" s="80"/>
    </row>
    <row r="574" spans="8:22">
      <c r="H574" s="154"/>
      <c r="K574" s="154"/>
      <c r="N574" s="154"/>
      <c r="Q574" s="154"/>
      <c r="T574" s="154"/>
      <c r="V574" s="80"/>
    </row>
    <row r="575" spans="8:22">
      <c r="H575" s="154"/>
      <c r="K575" s="154"/>
      <c r="N575" s="154"/>
      <c r="Q575" s="154"/>
      <c r="T575" s="154"/>
      <c r="V575" s="80"/>
    </row>
    <row r="576" spans="8:22">
      <c r="H576" s="154"/>
      <c r="K576" s="154"/>
      <c r="N576" s="154"/>
      <c r="Q576" s="154"/>
      <c r="T576" s="154"/>
      <c r="V576" s="80"/>
    </row>
    <row r="577" spans="8:22">
      <c r="H577" s="154"/>
      <c r="K577" s="154"/>
      <c r="N577" s="154"/>
      <c r="Q577" s="154"/>
      <c r="T577" s="154"/>
      <c r="V577" s="80"/>
    </row>
    <row r="578" spans="8:22">
      <c r="H578" s="154"/>
      <c r="K578" s="154"/>
      <c r="N578" s="154"/>
      <c r="Q578" s="154"/>
      <c r="T578" s="154"/>
      <c r="V578" s="80"/>
    </row>
    <row r="579" spans="8:22">
      <c r="H579" s="154"/>
      <c r="K579" s="154"/>
      <c r="N579" s="154"/>
      <c r="Q579" s="154"/>
      <c r="T579" s="154"/>
      <c r="V579" s="80"/>
    </row>
    <row r="580" spans="8:22">
      <c r="H580" s="154"/>
      <c r="K580" s="154"/>
      <c r="N580" s="154"/>
      <c r="Q580" s="154"/>
      <c r="T580" s="154"/>
      <c r="V580" s="80"/>
    </row>
    <row r="581" spans="8:22">
      <c r="H581" s="154"/>
      <c r="K581" s="154"/>
      <c r="N581" s="154"/>
      <c r="Q581" s="154"/>
      <c r="T581" s="154"/>
      <c r="V581" s="80"/>
    </row>
    <row r="582" spans="8:22">
      <c r="H582" s="154"/>
      <c r="K582" s="154"/>
      <c r="N582" s="154"/>
      <c r="Q582" s="154"/>
      <c r="T582" s="154"/>
      <c r="V582" s="80"/>
    </row>
    <row r="583" spans="8:22">
      <c r="H583" s="154"/>
      <c r="K583" s="154"/>
      <c r="N583" s="154"/>
      <c r="Q583" s="154"/>
      <c r="T583" s="154"/>
      <c r="V583" s="80"/>
    </row>
    <row r="584" spans="8:22">
      <c r="H584" s="154"/>
      <c r="K584" s="154"/>
      <c r="N584" s="154"/>
      <c r="Q584" s="154"/>
      <c r="T584" s="154"/>
      <c r="V584" s="80"/>
    </row>
    <row r="585" spans="8:22">
      <c r="H585" s="154"/>
      <c r="K585" s="154"/>
      <c r="N585" s="154"/>
      <c r="Q585" s="154"/>
      <c r="T585" s="154"/>
      <c r="V585" s="80"/>
    </row>
    <row r="586" spans="8:22">
      <c r="H586" s="154"/>
      <c r="K586" s="154"/>
      <c r="N586" s="154"/>
      <c r="Q586" s="154"/>
      <c r="T586" s="154"/>
      <c r="V586" s="80"/>
    </row>
    <row r="587" spans="8:22">
      <c r="H587" s="154"/>
      <c r="K587" s="154"/>
      <c r="N587" s="154"/>
      <c r="Q587" s="154"/>
      <c r="T587" s="154"/>
      <c r="V587" s="80"/>
    </row>
    <row r="588" spans="8:22">
      <c r="H588" s="154"/>
      <c r="K588" s="154"/>
      <c r="N588" s="154"/>
      <c r="Q588" s="154"/>
      <c r="T588" s="154"/>
      <c r="V588" s="80"/>
    </row>
    <row r="589" spans="8:22">
      <c r="H589" s="154"/>
      <c r="K589" s="154"/>
      <c r="N589" s="154"/>
      <c r="Q589" s="154"/>
      <c r="T589" s="154"/>
      <c r="V589" s="80"/>
    </row>
    <row r="590" spans="8:22">
      <c r="H590" s="154"/>
      <c r="K590" s="154"/>
      <c r="N590" s="154"/>
      <c r="Q590" s="154"/>
      <c r="T590" s="154"/>
      <c r="V590" s="80"/>
    </row>
    <row r="591" spans="8:22">
      <c r="H591" s="154"/>
      <c r="K591" s="154"/>
      <c r="N591" s="154"/>
      <c r="Q591" s="154"/>
      <c r="T591" s="154"/>
      <c r="V591" s="80"/>
    </row>
    <row r="592" spans="8:22">
      <c r="H592" s="154"/>
      <c r="K592" s="154"/>
      <c r="N592" s="154"/>
      <c r="Q592" s="154"/>
      <c r="T592" s="154"/>
      <c r="V592" s="80"/>
    </row>
    <row r="593" spans="8:22">
      <c r="H593" s="154"/>
      <c r="K593" s="154"/>
      <c r="N593" s="154"/>
      <c r="Q593" s="154"/>
      <c r="T593" s="154"/>
      <c r="V593" s="80"/>
    </row>
    <row r="594" spans="8:22">
      <c r="H594" s="154"/>
      <c r="K594" s="154"/>
      <c r="N594" s="154"/>
      <c r="Q594" s="154"/>
      <c r="T594" s="154"/>
      <c r="V594" s="80"/>
    </row>
    <row r="595" spans="8:22">
      <c r="H595" s="154"/>
      <c r="K595" s="154"/>
      <c r="N595" s="154"/>
      <c r="Q595" s="154"/>
      <c r="T595" s="154"/>
      <c r="V595" s="80"/>
    </row>
    <row r="596" spans="8:22">
      <c r="H596" s="154"/>
      <c r="K596" s="154"/>
      <c r="N596" s="154"/>
      <c r="Q596" s="154"/>
      <c r="T596" s="154"/>
      <c r="V596" s="80"/>
    </row>
    <row r="597" spans="8:22">
      <c r="H597" s="154"/>
      <c r="K597" s="154"/>
      <c r="N597" s="154"/>
      <c r="Q597" s="154"/>
      <c r="T597" s="154"/>
      <c r="V597" s="80"/>
    </row>
    <row r="598" spans="8:22">
      <c r="H598" s="154"/>
      <c r="K598" s="154"/>
      <c r="N598" s="154"/>
      <c r="Q598" s="154"/>
      <c r="T598" s="154"/>
      <c r="V598" s="80"/>
    </row>
    <row r="599" spans="8:22">
      <c r="H599" s="154"/>
      <c r="K599" s="154"/>
      <c r="N599" s="154"/>
      <c r="Q599" s="154"/>
      <c r="T599" s="154"/>
      <c r="V599" s="80"/>
    </row>
    <row r="600" spans="8:22">
      <c r="H600" s="154"/>
      <c r="K600" s="154"/>
      <c r="N600" s="154"/>
      <c r="Q600" s="154"/>
      <c r="T600" s="154"/>
      <c r="V600" s="80"/>
    </row>
    <row r="601" spans="8:22">
      <c r="H601" s="154"/>
      <c r="K601" s="154"/>
      <c r="N601" s="154"/>
      <c r="Q601" s="154"/>
      <c r="T601" s="154"/>
      <c r="V601" s="80"/>
    </row>
    <row r="602" spans="8:22">
      <c r="H602" s="154"/>
      <c r="K602" s="154"/>
      <c r="N602" s="154"/>
      <c r="Q602" s="154"/>
      <c r="T602" s="154"/>
      <c r="V602" s="80"/>
    </row>
    <row r="603" spans="8:22">
      <c r="H603" s="154"/>
      <c r="K603" s="154"/>
      <c r="N603" s="154"/>
      <c r="Q603" s="154"/>
      <c r="T603" s="154"/>
      <c r="V603" s="80"/>
    </row>
    <row r="604" spans="8:22">
      <c r="H604" s="154"/>
      <c r="K604" s="154"/>
      <c r="N604" s="154"/>
      <c r="Q604" s="154"/>
      <c r="T604" s="154"/>
      <c r="V604" s="80"/>
    </row>
    <row r="605" spans="8:22">
      <c r="H605" s="154"/>
      <c r="K605" s="154"/>
      <c r="N605" s="154"/>
      <c r="Q605" s="154"/>
      <c r="T605" s="154"/>
      <c r="V605" s="80"/>
    </row>
    <row r="606" spans="8:22">
      <c r="H606" s="154"/>
      <c r="K606" s="154"/>
      <c r="N606" s="154"/>
      <c r="Q606" s="154"/>
      <c r="T606" s="154"/>
      <c r="V606" s="80"/>
    </row>
    <row r="607" spans="8:22">
      <c r="H607" s="154"/>
      <c r="K607" s="154"/>
      <c r="N607" s="154"/>
      <c r="Q607" s="154"/>
      <c r="T607" s="154"/>
      <c r="V607" s="80"/>
    </row>
    <row r="608" spans="8:22">
      <c r="H608" s="154"/>
      <c r="K608" s="154"/>
      <c r="N608" s="154"/>
      <c r="Q608" s="154"/>
      <c r="T608" s="154"/>
      <c r="V608" s="80"/>
    </row>
    <row r="609" spans="8:22">
      <c r="H609" s="154"/>
      <c r="K609" s="154"/>
      <c r="N609" s="154"/>
      <c r="Q609" s="154"/>
      <c r="T609" s="154"/>
      <c r="V609" s="80"/>
    </row>
    <row r="610" spans="8:22">
      <c r="H610" s="154"/>
      <c r="K610" s="154"/>
      <c r="N610" s="154"/>
      <c r="Q610" s="154"/>
      <c r="T610" s="154"/>
      <c r="V610" s="80"/>
    </row>
    <row r="611" spans="8:22">
      <c r="H611" s="154"/>
      <c r="K611" s="154"/>
      <c r="N611" s="154"/>
      <c r="Q611" s="154"/>
      <c r="T611" s="154"/>
      <c r="V611" s="80"/>
    </row>
    <row r="612" spans="8:22">
      <c r="H612" s="154"/>
      <c r="K612" s="154"/>
      <c r="N612" s="154"/>
      <c r="Q612" s="154"/>
      <c r="T612" s="154"/>
      <c r="V612" s="80"/>
    </row>
    <row r="613" spans="8:22">
      <c r="H613" s="154"/>
      <c r="K613" s="154"/>
      <c r="N613" s="154"/>
      <c r="Q613" s="154"/>
      <c r="T613" s="154"/>
      <c r="V613" s="80"/>
    </row>
    <row r="614" spans="8:22">
      <c r="H614" s="154"/>
      <c r="K614" s="154"/>
      <c r="N614" s="154"/>
      <c r="Q614" s="154"/>
      <c r="T614" s="154"/>
      <c r="V614" s="80"/>
    </row>
    <row r="615" spans="8:22">
      <c r="H615" s="154"/>
      <c r="K615" s="154"/>
      <c r="N615" s="154"/>
      <c r="Q615" s="154"/>
      <c r="T615" s="154"/>
      <c r="V615" s="80"/>
    </row>
    <row r="616" spans="8:22">
      <c r="H616" s="154"/>
      <c r="K616" s="154"/>
      <c r="N616" s="154"/>
      <c r="Q616" s="154"/>
      <c r="T616" s="154"/>
      <c r="V616" s="80"/>
    </row>
    <row r="617" spans="8:22">
      <c r="H617" s="154"/>
      <c r="K617" s="154"/>
      <c r="N617" s="154"/>
      <c r="Q617" s="154"/>
      <c r="T617" s="154"/>
      <c r="V617" s="80"/>
    </row>
    <row r="618" spans="8:22">
      <c r="H618" s="154"/>
      <c r="K618" s="154"/>
      <c r="N618" s="154"/>
      <c r="Q618" s="154"/>
      <c r="T618" s="154"/>
      <c r="V618" s="80"/>
    </row>
    <row r="619" spans="8:22">
      <c r="H619" s="154"/>
      <c r="K619" s="154"/>
      <c r="N619" s="154"/>
      <c r="Q619" s="154"/>
      <c r="T619" s="154"/>
      <c r="V619" s="80"/>
    </row>
    <row r="620" spans="8:22">
      <c r="H620" s="154"/>
      <c r="K620" s="154"/>
      <c r="N620" s="154"/>
      <c r="Q620" s="154"/>
      <c r="T620" s="154"/>
      <c r="V620" s="80"/>
    </row>
    <row r="621" spans="8:22">
      <c r="H621" s="154"/>
      <c r="K621" s="154"/>
      <c r="N621" s="154"/>
      <c r="Q621" s="154"/>
      <c r="T621" s="154"/>
      <c r="V621" s="80"/>
    </row>
    <row r="622" spans="8:22">
      <c r="H622" s="154"/>
      <c r="K622" s="154"/>
      <c r="N622" s="154"/>
      <c r="Q622" s="154"/>
      <c r="T622" s="154"/>
      <c r="V622" s="80"/>
    </row>
    <row r="623" spans="8:22">
      <c r="H623" s="154"/>
      <c r="K623" s="154"/>
      <c r="N623" s="154"/>
      <c r="Q623" s="154"/>
      <c r="T623" s="154"/>
      <c r="V623" s="80"/>
    </row>
    <row r="624" spans="8:22">
      <c r="H624" s="154"/>
      <c r="K624" s="154"/>
      <c r="N624" s="154"/>
      <c r="Q624" s="154"/>
      <c r="T624" s="154"/>
      <c r="V624" s="80"/>
    </row>
    <row r="625" spans="8:22">
      <c r="H625" s="154"/>
      <c r="K625" s="154"/>
      <c r="N625" s="154"/>
      <c r="Q625" s="154"/>
      <c r="T625" s="154"/>
      <c r="V625" s="80"/>
    </row>
    <row r="626" spans="8:22">
      <c r="H626" s="154"/>
      <c r="K626" s="154"/>
      <c r="N626" s="154"/>
      <c r="Q626" s="154"/>
      <c r="T626" s="154"/>
      <c r="V626" s="80"/>
    </row>
    <row r="627" spans="8:22">
      <c r="H627" s="154"/>
      <c r="K627" s="154"/>
      <c r="N627" s="154"/>
      <c r="Q627" s="154"/>
      <c r="T627" s="154"/>
      <c r="V627" s="80"/>
    </row>
    <row r="628" spans="8:22">
      <c r="H628" s="154"/>
      <c r="K628" s="154"/>
      <c r="N628" s="154"/>
      <c r="Q628" s="154"/>
      <c r="T628" s="154"/>
      <c r="V628" s="80"/>
    </row>
    <row r="629" spans="8:22">
      <c r="H629" s="154"/>
      <c r="K629" s="154"/>
      <c r="N629" s="154"/>
      <c r="Q629" s="154"/>
      <c r="T629" s="154"/>
      <c r="V629" s="80"/>
    </row>
    <row r="630" spans="8:22">
      <c r="H630" s="154"/>
      <c r="K630" s="154"/>
      <c r="N630" s="154"/>
      <c r="Q630" s="154"/>
      <c r="T630" s="154"/>
      <c r="V630" s="80"/>
    </row>
    <row r="631" spans="8:22">
      <c r="H631" s="154"/>
      <c r="K631" s="154"/>
      <c r="N631" s="154"/>
      <c r="Q631" s="154"/>
      <c r="T631" s="154"/>
      <c r="V631" s="80"/>
    </row>
    <row r="632" spans="8:22">
      <c r="H632" s="154"/>
      <c r="K632" s="154"/>
      <c r="N632" s="154"/>
      <c r="Q632" s="154"/>
      <c r="T632" s="154"/>
      <c r="V632" s="80"/>
    </row>
    <row r="633" spans="8:22">
      <c r="H633" s="154"/>
      <c r="K633" s="154"/>
      <c r="N633" s="154"/>
      <c r="Q633" s="154"/>
      <c r="T633" s="154"/>
      <c r="V633" s="80"/>
    </row>
    <row r="634" spans="8:22">
      <c r="H634" s="154"/>
      <c r="K634" s="154"/>
      <c r="N634" s="154"/>
      <c r="Q634" s="154"/>
      <c r="T634" s="154"/>
      <c r="V634" s="80"/>
    </row>
    <row r="635" spans="8:22">
      <c r="H635" s="154"/>
      <c r="K635" s="154"/>
      <c r="N635" s="154"/>
      <c r="Q635" s="154"/>
      <c r="T635" s="154"/>
      <c r="V635" s="80"/>
    </row>
    <row r="636" spans="8:22">
      <c r="H636" s="154"/>
      <c r="K636" s="154"/>
      <c r="N636" s="154"/>
      <c r="Q636" s="154"/>
      <c r="T636" s="154"/>
      <c r="V636" s="80"/>
    </row>
    <row r="637" spans="8:22">
      <c r="H637" s="154"/>
      <c r="K637" s="154"/>
      <c r="N637" s="154"/>
      <c r="Q637" s="154"/>
      <c r="T637" s="154"/>
      <c r="V637" s="80"/>
    </row>
    <row r="638" spans="8:22">
      <c r="H638" s="154"/>
      <c r="K638" s="154"/>
      <c r="N638" s="154"/>
      <c r="Q638" s="154"/>
      <c r="T638" s="154"/>
      <c r="V638" s="80"/>
    </row>
    <row r="639" spans="8:22">
      <c r="H639" s="154"/>
      <c r="K639" s="154"/>
      <c r="N639" s="154"/>
      <c r="Q639" s="154"/>
      <c r="T639" s="154"/>
      <c r="V639" s="80"/>
    </row>
    <row r="640" spans="8:22">
      <c r="H640" s="154"/>
      <c r="K640" s="154"/>
      <c r="N640" s="154"/>
      <c r="Q640" s="154"/>
      <c r="T640" s="154"/>
      <c r="V640" s="80"/>
    </row>
    <row r="641" spans="8:22">
      <c r="H641" s="154"/>
      <c r="K641" s="154"/>
      <c r="N641" s="154"/>
      <c r="Q641" s="154"/>
      <c r="T641" s="154"/>
      <c r="V641" s="80"/>
    </row>
    <row r="642" spans="8:22">
      <c r="H642" s="154"/>
      <c r="K642" s="154"/>
      <c r="N642" s="154"/>
      <c r="Q642" s="154"/>
      <c r="T642" s="154"/>
      <c r="V642" s="80"/>
    </row>
    <row r="643" spans="8:22">
      <c r="H643" s="154"/>
      <c r="K643" s="154"/>
      <c r="N643" s="154"/>
      <c r="Q643" s="154"/>
      <c r="T643" s="154"/>
      <c r="V643" s="80"/>
    </row>
    <row r="644" spans="8:22">
      <c r="H644" s="154"/>
      <c r="K644" s="154"/>
      <c r="N644" s="154"/>
      <c r="Q644" s="154"/>
      <c r="T644" s="154"/>
      <c r="V644" s="80"/>
    </row>
    <row r="645" spans="8:22">
      <c r="H645" s="154"/>
      <c r="K645" s="154"/>
      <c r="N645" s="154"/>
      <c r="Q645" s="154"/>
      <c r="T645" s="154"/>
      <c r="V645" s="80"/>
    </row>
    <row r="646" spans="8:22">
      <c r="H646" s="154"/>
      <c r="K646" s="154"/>
      <c r="N646" s="154"/>
      <c r="Q646" s="154"/>
      <c r="T646" s="154"/>
      <c r="V646" s="80"/>
    </row>
    <row r="647" spans="8:22">
      <c r="H647" s="154"/>
      <c r="K647" s="154"/>
      <c r="N647" s="154"/>
      <c r="Q647" s="154"/>
      <c r="T647" s="154"/>
      <c r="V647" s="80"/>
    </row>
    <row r="648" spans="8:22">
      <c r="H648" s="154"/>
      <c r="K648" s="154"/>
      <c r="N648" s="154"/>
      <c r="Q648" s="154"/>
      <c r="T648" s="154"/>
      <c r="V648" s="80"/>
    </row>
    <row r="649" spans="8:22">
      <c r="H649" s="154"/>
      <c r="K649" s="154"/>
      <c r="N649" s="154"/>
      <c r="Q649" s="154"/>
      <c r="T649" s="154"/>
      <c r="V649" s="80"/>
    </row>
    <row r="650" spans="8:22">
      <c r="H650" s="154"/>
      <c r="K650" s="154"/>
      <c r="N650" s="154"/>
      <c r="Q650" s="154"/>
      <c r="T650" s="154"/>
      <c r="V650" s="80"/>
    </row>
    <row r="651" spans="8:22">
      <c r="H651" s="154"/>
      <c r="K651" s="154"/>
      <c r="N651" s="154"/>
      <c r="Q651" s="154"/>
      <c r="T651" s="154"/>
      <c r="V651" s="80"/>
    </row>
    <row r="652" spans="8:22">
      <c r="H652" s="154"/>
      <c r="K652" s="154"/>
      <c r="N652" s="154"/>
      <c r="Q652" s="154"/>
      <c r="T652" s="154"/>
      <c r="V652" s="80"/>
    </row>
    <row r="653" spans="8:22">
      <c r="H653" s="154"/>
      <c r="K653" s="154"/>
      <c r="N653" s="154"/>
      <c r="Q653" s="154"/>
      <c r="T653" s="154"/>
      <c r="V653" s="80"/>
    </row>
    <row r="654" spans="8:22">
      <c r="H654" s="154"/>
      <c r="K654" s="154"/>
      <c r="N654" s="154"/>
      <c r="Q654" s="154"/>
      <c r="T654" s="154"/>
      <c r="V654" s="80"/>
    </row>
    <row r="655" spans="8:22">
      <c r="H655" s="154"/>
      <c r="K655" s="154"/>
      <c r="N655" s="154"/>
      <c r="Q655" s="154"/>
      <c r="T655" s="154"/>
      <c r="V655" s="80"/>
    </row>
    <row r="656" spans="8:22">
      <c r="H656" s="154"/>
      <c r="K656" s="154"/>
      <c r="N656" s="154"/>
      <c r="Q656" s="154"/>
      <c r="T656" s="154"/>
      <c r="V656" s="80"/>
    </row>
    <row r="657" spans="8:22">
      <c r="H657" s="154"/>
      <c r="K657" s="154"/>
      <c r="N657" s="154"/>
      <c r="Q657" s="154"/>
      <c r="T657" s="154"/>
      <c r="V657" s="80"/>
    </row>
    <row r="658" spans="8:22">
      <c r="H658" s="154"/>
      <c r="K658" s="154"/>
      <c r="N658" s="154"/>
      <c r="Q658" s="154"/>
      <c r="T658" s="154"/>
      <c r="V658" s="80"/>
    </row>
    <row r="659" spans="8:22">
      <c r="H659" s="154"/>
      <c r="K659" s="154"/>
      <c r="N659" s="154"/>
      <c r="Q659" s="154"/>
      <c r="T659" s="154"/>
      <c r="V659" s="80"/>
    </row>
    <row r="660" spans="8:22">
      <c r="H660" s="154"/>
      <c r="K660" s="154"/>
      <c r="N660" s="154"/>
      <c r="Q660" s="154"/>
      <c r="T660" s="154"/>
      <c r="V660" s="80"/>
    </row>
    <row r="661" spans="8:22">
      <c r="H661" s="154"/>
      <c r="K661" s="154"/>
      <c r="N661" s="154"/>
      <c r="Q661" s="154"/>
      <c r="T661" s="154"/>
      <c r="V661" s="80"/>
    </row>
    <row r="662" spans="8:22">
      <c r="H662" s="154"/>
      <c r="K662" s="154"/>
      <c r="N662" s="154"/>
      <c r="Q662" s="154"/>
      <c r="T662" s="154"/>
      <c r="V662" s="80"/>
    </row>
    <row r="663" spans="8:22">
      <c r="H663" s="154"/>
      <c r="K663" s="154"/>
      <c r="N663" s="154"/>
      <c r="Q663" s="154"/>
      <c r="T663" s="154"/>
      <c r="V663" s="80"/>
    </row>
    <row r="664" spans="8:22">
      <c r="H664" s="154"/>
      <c r="K664" s="154"/>
      <c r="N664" s="154"/>
      <c r="Q664" s="154"/>
      <c r="T664" s="154"/>
      <c r="V664" s="80"/>
    </row>
    <row r="665" spans="8:22">
      <c r="H665" s="154"/>
      <c r="K665" s="154"/>
      <c r="N665" s="154"/>
      <c r="Q665" s="154"/>
      <c r="T665" s="154"/>
      <c r="V665" s="80"/>
    </row>
    <row r="666" spans="8:22">
      <c r="H666" s="154"/>
      <c r="K666" s="154"/>
      <c r="N666" s="154"/>
      <c r="Q666" s="154"/>
      <c r="T666" s="154"/>
      <c r="V666" s="80"/>
    </row>
    <row r="667" spans="8:22">
      <c r="H667" s="154"/>
      <c r="K667" s="154"/>
      <c r="N667" s="154"/>
      <c r="Q667" s="154"/>
      <c r="T667" s="154"/>
      <c r="V667" s="80"/>
    </row>
    <row r="668" spans="8:22">
      <c r="H668" s="154"/>
      <c r="K668" s="154"/>
      <c r="N668" s="154"/>
      <c r="Q668" s="154"/>
      <c r="T668" s="154"/>
      <c r="V668" s="80"/>
    </row>
    <row r="669" spans="8:22">
      <c r="H669" s="154"/>
      <c r="K669" s="154"/>
      <c r="N669" s="154"/>
      <c r="Q669" s="154"/>
      <c r="T669" s="154"/>
      <c r="V669" s="80"/>
    </row>
    <row r="670" spans="8:22">
      <c r="H670" s="154"/>
      <c r="K670" s="154"/>
      <c r="N670" s="154"/>
      <c r="Q670" s="154"/>
      <c r="T670" s="154"/>
      <c r="V670" s="80"/>
    </row>
    <row r="671" spans="8:22">
      <c r="H671" s="154"/>
      <c r="K671" s="154"/>
      <c r="N671" s="154"/>
      <c r="Q671" s="154"/>
      <c r="T671" s="154"/>
      <c r="V671" s="80"/>
    </row>
    <row r="672" spans="8:22">
      <c r="H672" s="154"/>
      <c r="K672" s="154"/>
      <c r="N672" s="154"/>
      <c r="Q672" s="154"/>
      <c r="T672" s="154"/>
      <c r="V672" s="80"/>
    </row>
    <row r="673" spans="8:22">
      <c r="H673" s="154"/>
      <c r="K673" s="154"/>
      <c r="N673" s="154"/>
      <c r="Q673" s="154"/>
      <c r="T673" s="154"/>
      <c r="V673" s="80"/>
    </row>
    <row r="674" spans="8:22">
      <c r="H674" s="154"/>
      <c r="K674" s="154"/>
      <c r="N674" s="154"/>
      <c r="Q674" s="154"/>
      <c r="T674" s="154"/>
      <c r="V674" s="80"/>
    </row>
    <row r="675" spans="8:22">
      <c r="H675" s="154"/>
      <c r="K675" s="154"/>
      <c r="N675" s="154"/>
      <c r="Q675" s="154"/>
      <c r="T675" s="154"/>
      <c r="V675" s="80"/>
    </row>
    <row r="676" spans="8:22">
      <c r="H676" s="154"/>
      <c r="K676" s="154"/>
      <c r="N676" s="154"/>
      <c r="Q676" s="154"/>
      <c r="T676" s="154"/>
      <c r="V676" s="80"/>
    </row>
    <row r="677" spans="8:22">
      <c r="H677" s="154"/>
      <c r="K677" s="154"/>
      <c r="N677" s="154"/>
      <c r="Q677" s="154"/>
      <c r="T677" s="154"/>
      <c r="V677" s="80"/>
    </row>
    <row r="678" spans="8:22">
      <c r="H678" s="154"/>
      <c r="K678" s="154"/>
      <c r="N678" s="154"/>
      <c r="Q678" s="154"/>
      <c r="T678" s="154"/>
      <c r="V678" s="80"/>
    </row>
    <row r="679" spans="8:22">
      <c r="H679" s="154"/>
      <c r="K679" s="154"/>
      <c r="N679" s="154"/>
      <c r="Q679" s="154"/>
      <c r="T679" s="154"/>
      <c r="V679" s="80"/>
    </row>
    <row r="680" spans="8:22">
      <c r="H680" s="154"/>
      <c r="K680" s="154"/>
      <c r="N680" s="154"/>
      <c r="Q680" s="154"/>
      <c r="T680" s="154"/>
      <c r="V680" s="80"/>
    </row>
    <row r="681" spans="8:22">
      <c r="H681" s="154"/>
      <c r="K681" s="154"/>
      <c r="N681" s="154"/>
      <c r="Q681" s="154"/>
      <c r="T681" s="154"/>
      <c r="V681" s="80"/>
    </row>
    <row r="682" spans="8:22">
      <c r="H682" s="154"/>
      <c r="K682" s="154"/>
      <c r="N682" s="154"/>
      <c r="Q682" s="154"/>
      <c r="T682" s="154"/>
      <c r="V682" s="80"/>
    </row>
    <row r="683" spans="8:22">
      <c r="H683" s="154"/>
      <c r="K683" s="154"/>
      <c r="N683" s="154"/>
      <c r="Q683" s="154"/>
      <c r="T683" s="154"/>
      <c r="V683" s="80"/>
    </row>
    <row r="684" spans="8:22">
      <c r="H684" s="154"/>
      <c r="K684" s="154"/>
      <c r="N684" s="154"/>
      <c r="Q684" s="154"/>
      <c r="T684" s="154"/>
      <c r="V684" s="80"/>
    </row>
    <row r="685" spans="8:22">
      <c r="H685" s="154"/>
      <c r="K685" s="154"/>
      <c r="N685" s="154"/>
      <c r="Q685" s="154"/>
      <c r="T685" s="154"/>
      <c r="V685" s="80"/>
    </row>
    <row r="686" spans="8:22">
      <c r="H686" s="154"/>
      <c r="K686" s="154"/>
      <c r="N686" s="154"/>
      <c r="Q686" s="154"/>
      <c r="T686" s="154"/>
      <c r="V686" s="80"/>
    </row>
    <row r="687" spans="8:22">
      <c r="H687" s="154"/>
      <c r="K687" s="154"/>
      <c r="N687" s="154"/>
      <c r="Q687" s="154"/>
      <c r="T687" s="154"/>
      <c r="V687" s="80"/>
    </row>
    <row r="688" spans="8:22">
      <c r="H688" s="154"/>
      <c r="K688" s="154"/>
      <c r="N688" s="154"/>
      <c r="Q688" s="154"/>
      <c r="T688" s="154"/>
      <c r="V688" s="80"/>
    </row>
    <row r="689" spans="8:22">
      <c r="H689" s="154"/>
      <c r="K689" s="154"/>
      <c r="N689" s="154"/>
      <c r="Q689" s="154"/>
      <c r="T689" s="154"/>
      <c r="V689" s="80"/>
    </row>
    <row r="690" spans="8:22">
      <c r="H690" s="154"/>
      <c r="K690" s="154"/>
      <c r="N690" s="154"/>
      <c r="Q690" s="154"/>
      <c r="T690" s="154"/>
      <c r="V690" s="80"/>
    </row>
    <row r="691" spans="8:22">
      <c r="H691" s="154"/>
      <c r="K691" s="154"/>
      <c r="N691" s="154"/>
      <c r="Q691" s="154"/>
      <c r="T691" s="154"/>
      <c r="V691" s="80"/>
    </row>
    <row r="692" spans="8:22">
      <c r="H692" s="154"/>
      <c r="K692" s="154"/>
      <c r="N692" s="154"/>
      <c r="Q692" s="154"/>
      <c r="T692" s="154"/>
      <c r="V692" s="80"/>
    </row>
    <row r="693" spans="8:22">
      <c r="H693" s="154"/>
      <c r="K693" s="154"/>
      <c r="N693" s="154"/>
      <c r="Q693" s="154"/>
      <c r="T693" s="154"/>
      <c r="V693" s="80"/>
    </row>
    <row r="694" spans="8:22">
      <c r="H694" s="154"/>
      <c r="K694" s="154"/>
      <c r="N694" s="154"/>
      <c r="Q694" s="154"/>
      <c r="T694" s="154"/>
      <c r="V694" s="80"/>
    </row>
    <row r="695" spans="8:22">
      <c r="H695" s="154"/>
      <c r="K695" s="154"/>
      <c r="N695" s="154"/>
      <c r="Q695" s="154"/>
      <c r="T695" s="154"/>
      <c r="V695" s="80"/>
    </row>
    <row r="696" spans="8:22">
      <c r="H696" s="154"/>
      <c r="K696" s="154"/>
      <c r="N696" s="154"/>
      <c r="Q696" s="154"/>
      <c r="T696" s="154"/>
      <c r="V696" s="80"/>
    </row>
    <row r="697" spans="8:22">
      <c r="H697" s="154"/>
      <c r="K697" s="154"/>
      <c r="N697" s="154"/>
      <c r="Q697" s="154"/>
      <c r="T697" s="154"/>
      <c r="V697" s="80"/>
    </row>
    <row r="698" spans="8:22">
      <c r="H698" s="154"/>
      <c r="K698" s="154"/>
      <c r="N698" s="154"/>
      <c r="Q698" s="154"/>
      <c r="T698" s="154"/>
      <c r="V698" s="80"/>
    </row>
    <row r="699" spans="8:22">
      <c r="H699" s="154"/>
      <c r="K699" s="154"/>
      <c r="N699" s="154"/>
      <c r="Q699" s="154"/>
      <c r="T699" s="154"/>
      <c r="V699" s="80"/>
    </row>
    <row r="700" spans="8:22">
      <c r="H700" s="154"/>
      <c r="K700" s="154"/>
      <c r="N700" s="154"/>
      <c r="Q700" s="154"/>
      <c r="T700" s="154"/>
      <c r="V700" s="80"/>
    </row>
    <row r="701" spans="8:22">
      <c r="H701" s="154"/>
      <c r="K701" s="154"/>
      <c r="N701" s="154"/>
      <c r="Q701" s="154"/>
      <c r="T701" s="154"/>
      <c r="V701" s="80"/>
    </row>
    <row r="702" spans="8:22">
      <c r="H702" s="154"/>
      <c r="K702" s="154"/>
      <c r="N702" s="154"/>
      <c r="Q702" s="154"/>
      <c r="T702" s="154"/>
      <c r="V702" s="80"/>
    </row>
    <row r="703" spans="8:22">
      <c r="H703" s="154"/>
      <c r="K703" s="154"/>
      <c r="N703" s="154"/>
      <c r="Q703" s="154"/>
      <c r="T703" s="154"/>
      <c r="V703" s="80"/>
    </row>
    <row r="704" spans="8:22">
      <c r="H704" s="154"/>
      <c r="K704" s="154"/>
      <c r="N704" s="154"/>
      <c r="Q704" s="154"/>
      <c r="T704" s="154"/>
      <c r="V704" s="80"/>
    </row>
    <row r="705" spans="8:22">
      <c r="H705" s="154"/>
      <c r="K705" s="154"/>
      <c r="N705" s="154"/>
      <c r="Q705" s="154"/>
      <c r="T705" s="154"/>
      <c r="V705" s="80"/>
    </row>
    <row r="706" spans="8:22">
      <c r="H706" s="154"/>
      <c r="K706" s="154"/>
      <c r="N706" s="154"/>
      <c r="Q706" s="154"/>
      <c r="T706" s="154"/>
      <c r="V706" s="80"/>
    </row>
    <row r="707" spans="8:22">
      <c r="H707" s="154"/>
      <c r="K707" s="154"/>
      <c r="N707" s="154"/>
      <c r="Q707" s="154"/>
      <c r="T707" s="154"/>
      <c r="V707" s="80"/>
    </row>
    <row r="708" spans="8:22">
      <c r="H708" s="154"/>
      <c r="K708" s="154"/>
      <c r="N708" s="154"/>
      <c r="Q708" s="154"/>
      <c r="T708" s="154"/>
      <c r="V708" s="80"/>
    </row>
    <row r="709" spans="8:22">
      <c r="H709" s="154"/>
      <c r="K709" s="154"/>
      <c r="N709" s="154"/>
      <c r="Q709" s="154"/>
      <c r="T709" s="154"/>
      <c r="V709" s="80"/>
    </row>
    <row r="710" spans="8:22">
      <c r="H710" s="154"/>
      <c r="K710" s="154"/>
      <c r="N710" s="154"/>
      <c r="Q710" s="154"/>
      <c r="T710" s="154"/>
      <c r="V710" s="80"/>
    </row>
    <row r="711" spans="8:22">
      <c r="H711" s="154"/>
      <c r="K711" s="154"/>
      <c r="N711" s="154"/>
      <c r="Q711" s="154"/>
      <c r="T711" s="154"/>
      <c r="V711" s="80"/>
    </row>
    <row r="712" spans="8:22">
      <c r="H712" s="154"/>
      <c r="K712" s="154"/>
      <c r="N712" s="154"/>
      <c r="Q712" s="154"/>
      <c r="T712" s="154"/>
      <c r="V712" s="80"/>
    </row>
    <row r="713" spans="8:22">
      <c r="H713" s="154"/>
      <c r="K713" s="154"/>
      <c r="N713" s="154"/>
      <c r="Q713" s="154"/>
      <c r="T713" s="154"/>
      <c r="V713" s="80"/>
    </row>
    <row r="714" spans="8:22">
      <c r="H714" s="154"/>
      <c r="K714" s="154"/>
      <c r="N714" s="154"/>
      <c r="Q714" s="154"/>
      <c r="T714" s="154"/>
      <c r="V714" s="80"/>
    </row>
    <row r="715" spans="8:22">
      <c r="H715" s="154"/>
      <c r="K715" s="154"/>
      <c r="N715" s="154"/>
      <c r="Q715" s="154"/>
      <c r="T715" s="154"/>
      <c r="V715" s="80"/>
    </row>
    <row r="716" spans="8:22">
      <c r="H716" s="154"/>
      <c r="K716" s="154"/>
      <c r="N716" s="154"/>
      <c r="Q716" s="154"/>
      <c r="T716" s="154"/>
      <c r="V716" s="80"/>
    </row>
    <row r="717" spans="8:22">
      <c r="H717" s="154"/>
      <c r="K717" s="154"/>
      <c r="N717" s="154"/>
      <c r="Q717" s="154"/>
      <c r="T717" s="154"/>
      <c r="V717" s="80"/>
    </row>
    <row r="718" spans="8:22">
      <c r="H718" s="154"/>
      <c r="K718" s="154"/>
      <c r="N718" s="154"/>
      <c r="Q718" s="154"/>
      <c r="T718" s="154"/>
      <c r="V718" s="80"/>
    </row>
    <row r="719" spans="8:22">
      <c r="H719" s="154"/>
      <c r="K719" s="154"/>
      <c r="N719" s="154"/>
      <c r="Q719" s="154"/>
      <c r="T719" s="154"/>
      <c r="V719" s="80"/>
    </row>
    <row r="720" spans="8:22">
      <c r="H720" s="154"/>
      <c r="K720" s="154"/>
      <c r="N720" s="154"/>
      <c r="Q720" s="154"/>
      <c r="T720" s="154"/>
      <c r="V720" s="80"/>
    </row>
    <row r="721" spans="8:22">
      <c r="H721" s="154"/>
      <c r="K721" s="154"/>
      <c r="N721" s="154"/>
      <c r="Q721" s="154"/>
      <c r="T721" s="154"/>
      <c r="V721" s="80"/>
    </row>
    <row r="722" spans="8:22">
      <c r="H722" s="154"/>
      <c r="K722" s="154"/>
      <c r="N722" s="154"/>
      <c r="Q722" s="154"/>
      <c r="T722" s="154"/>
      <c r="V722" s="80"/>
    </row>
    <row r="723" spans="8:22">
      <c r="H723" s="154"/>
      <c r="K723" s="154"/>
      <c r="N723" s="154"/>
      <c r="Q723" s="154"/>
      <c r="T723" s="154"/>
      <c r="V723" s="80"/>
    </row>
    <row r="724" spans="8:22">
      <c r="H724" s="154"/>
      <c r="K724" s="154"/>
      <c r="N724" s="154"/>
      <c r="Q724" s="154"/>
      <c r="T724" s="154"/>
      <c r="V724" s="80"/>
    </row>
    <row r="725" spans="8:22">
      <c r="H725" s="154"/>
      <c r="K725" s="154"/>
      <c r="N725" s="154"/>
      <c r="Q725" s="154"/>
      <c r="T725" s="154"/>
      <c r="V725" s="80"/>
    </row>
    <row r="726" spans="8:22">
      <c r="H726" s="154"/>
      <c r="K726" s="154"/>
      <c r="N726" s="154"/>
      <c r="Q726" s="154"/>
      <c r="T726" s="154"/>
      <c r="V726" s="80"/>
    </row>
    <row r="727" spans="8:22">
      <c r="H727" s="154"/>
      <c r="K727" s="154"/>
      <c r="N727" s="154"/>
      <c r="Q727" s="154"/>
      <c r="T727" s="154"/>
      <c r="V727" s="80"/>
    </row>
    <row r="728" spans="8:22">
      <c r="H728" s="154"/>
      <c r="K728" s="154"/>
      <c r="N728" s="154"/>
      <c r="Q728" s="154"/>
      <c r="T728" s="154"/>
      <c r="V728" s="80"/>
    </row>
    <row r="729" spans="8:22">
      <c r="H729" s="154"/>
      <c r="K729" s="154"/>
      <c r="N729" s="154"/>
      <c r="Q729" s="154"/>
      <c r="T729" s="154"/>
      <c r="V729" s="80"/>
    </row>
    <row r="730" spans="8:22">
      <c r="H730" s="154"/>
      <c r="K730" s="154"/>
      <c r="N730" s="154"/>
      <c r="Q730" s="154"/>
      <c r="T730" s="154"/>
      <c r="V730" s="80"/>
    </row>
    <row r="731" spans="8:22">
      <c r="H731" s="154"/>
      <c r="K731" s="154"/>
      <c r="N731" s="154"/>
      <c r="Q731" s="154"/>
      <c r="T731" s="154"/>
      <c r="V731" s="80"/>
    </row>
    <row r="732" spans="8:22">
      <c r="H732" s="154"/>
      <c r="K732" s="154"/>
      <c r="N732" s="154"/>
      <c r="Q732" s="154"/>
      <c r="T732" s="154"/>
      <c r="V732" s="80"/>
    </row>
    <row r="733" spans="8:22">
      <c r="H733" s="154"/>
      <c r="K733" s="154"/>
      <c r="N733" s="154"/>
      <c r="Q733" s="154"/>
      <c r="T733" s="154"/>
      <c r="V733" s="80"/>
    </row>
    <row r="734" spans="8:22">
      <c r="H734" s="154"/>
      <c r="K734" s="154"/>
      <c r="N734" s="154"/>
      <c r="Q734" s="154"/>
      <c r="T734" s="154"/>
      <c r="V734" s="80"/>
    </row>
    <row r="735" spans="8:22">
      <c r="H735" s="154"/>
      <c r="K735" s="154"/>
      <c r="N735" s="154"/>
      <c r="Q735" s="154"/>
      <c r="T735" s="154"/>
      <c r="V735" s="80"/>
    </row>
    <row r="736" spans="8:22">
      <c r="H736" s="154"/>
      <c r="K736" s="154"/>
      <c r="N736" s="154"/>
      <c r="Q736" s="154"/>
      <c r="T736" s="154"/>
      <c r="V736" s="80"/>
    </row>
    <row r="737" spans="8:22">
      <c r="H737" s="154"/>
      <c r="K737" s="154"/>
      <c r="N737" s="154"/>
      <c r="Q737" s="154"/>
      <c r="T737" s="154"/>
      <c r="V737" s="80"/>
    </row>
    <row r="738" spans="8:22">
      <c r="H738" s="154"/>
      <c r="K738" s="154"/>
      <c r="N738" s="154"/>
      <c r="Q738" s="154"/>
      <c r="T738" s="154"/>
      <c r="V738" s="80"/>
    </row>
    <row r="739" spans="8:22">
      <c r="H739" s="154"/>
      <c r="K739" s="154"/>
      <c r="N739" s="154"/>
      <c r="Q739" s="154"/>
      <c r="T739" s="154"/>
      <c r="V739" s="80"/>
    </row>
    <row r="740" spans="8:22">
      <c r="H740" s="154"/>
      <c r="K740" s="154"/>
      <c r="N740" s="154"/>
      <c r="Q740" s="154"/>
      <c r="T740" s="154"/>
      <c r="V740" s="80"/>
    </row>
    <row r="741" spans="8:22">
      <c r="H741" s="154"/>
      <c r="K741" s="154"/>
      <c r="N741" s="154"/>
      <c r="Q741" s="154"/>
      <c r="T741" s="154"/>
      <c r="V741" s="80"/>
    </row>
    <row r="742" spans="8:22">
      <c r="H742" s="154"/>
      <c r="K742" s="154"/>
      <c r="N742" s="154"/>
      <c r="Q742" s="154"/>
      <c r="T742" s="154"/>
      <c r="V742" s="80"/>
    </row>
    <row r="743" spans="8:22">
      <c r="H743" s="154"/>
      <c r="K743" s="154"/>
      <c r="N743" s="154"/>
      <c r="Q743" s="154"/>
      <c r="T743" s="154"/>
      <c r="V743" s="80"/>
    </row>
    <row r="744" spans="8:22">
      <c r="H744" s="154"/>
      <c r="K744" s="154"/>
      <c r="N744" s="154"/>
      <c r="Q744" s="154"/>
      <c r="T744" s="154"/>
      <c r="V744" s="80"/>
    </row>
    <row r="745" spans="8:22">
      <c r="H745" s="154"/>
      <c r="K745" s="154"/>
      <c r="N745" s="154"/>
      <c r="Q745" s="154"/>
      <c r="T745" s="154"/>
      <c r="V745" s="80"/>
    </row>
    <row r="746" spans="8:22">
      <c r="H746" s="154"/>
      <c r="K746" s="154"/>
      <c r="N746" s="154"/>
      <c r="Q746" s="154"/>
      <c r="T746" s="154"/>
      <c r="V746" s="80"/>
    </row>
    <row r="747" spans="8:22">
      <c r="H747" s="154"/>
      <c r="K747" s="154"/>
      <c r="N747" s="154"/>
      <c r="Q747" s="154"/>
      <c r="T747" s="154"/>
      <c r="V747" s="80"/>
    </row>
    <row r="748" spans="8:22">
      <c r="H748" s="154"/>
      <c r="K748" s="154"/>
      <c r="N748" s="154"/>
      <c r="Q748" s="154"/>
      <c r="T748" s="154"/>
      <c r="V748" s="80"/>
    </row>
    <row r="749" spans="8:22">
      <c r="H749" s="154"/>
      <c r="K749" s="154"/>
      <c r="N749" s="154"/>
      <c r="Q749" s="154"/>
      <c r="T749" s="154"/>
      <c r="V749" s="80"/>
    </row>
    <row r="750" spans="8:22">
      <c r="H750" s="154"/>
      <c r="K750" s="154"/>
      <c r="N750" s="154"/>
      <c r="Q750" s="154"/>
      <c r="T750" s="154"/>
      <c r="V750" s="80"/>
    </row>
    <row r="751" spans="8:22">
      <c r="H751" s="154"/>
      <c r="K751" s="154"/>
      <c r="N751" s="154"/>
      <c r="Q751" s="154"/>
      <c r="T751" s="154"/>
      <c r="V751" s="80"/>
    </row>
    <row r="752" spans="8:22">
      <c r="H752" s="154"/>
      <c r="K752" s="154"/>
      <c r="N752" s="154"/>
      <c r="Q752" s="154"/>
      <c r="T752" s="154"/>
      <c r="V752" s="80"/>
    </row>
    <row r="753" spans="8:22">
      <c r="H753" s="154"/>
      <c r="K753" s="154"/>
      <c r="N753" s="154"/>
      <c r="Q753" s="154"/>
      <c r="T753" s="154"/>
      <c r="V753" s="80"/>
    </row>
    <row r="754" spans="8:22">
      <c r="H754" s="154"/>
      <c r="K754" s="154"/>
      <c r="N754" s="154"/>
      <c r="Q754" s="154"/>
      <c r="T754" s="154"/>
      <c r="V754" s="80"/>
    </row>
    <row r="755" spans="8:22">
      <c r="H755" s="154"/>
      <c r="K755" s="154"/>
      <c r="N755" s="154"/>
      <c r="Q755" s="154"/>
      <c r="T755" s="154"/>
      <c r="V755" s="80"/>
    </row>
    <row r="756" spans="8:22">
      <c r="H756" s="154"/>
      <c r="K756" s="154"/>
      <c r="N756" s="154"/>
      <c r="Q756" s="154"/>
      <c r="T756" s="154"/>
      <c r="V756" s="80"/>
    </row>
    <row r="757" spans="8:22">
      <c r="H757" s="154"/>
      <c r="K757" s="154"/>
      <c r="N757" s="154"/>
      <c r="Q757" s="154"/>
      <c r="T757" s="154"/>
      <c r="V757" s="80"/>
    </row>
    <row r="758" spans="8:22">
      <c r="H758" s="154"/>
      <c r="K758" s="154"/>
      <c r="N758" s="154"/>
      <c r="Q758" s="154"/>
      <c r="T758" s="154"/>
      <c r="V758" s="80"/>
    </row>
    <row r="759" spans="8:22">
      <c r="H759" s="154"/>
      <c r="K759" s="154"/>
      <c r="N759" s="154"/>
      <c r="Q759" s="154"/>
      <c r="T759" s="154"/>
      <c r="V759" s="80"/>
    </row>
    <row r="760" spans="8:22">
      <c r="H760" s="154"/>
      <c r="K760" s="154"/>
      <c r="N760" s="154"/>
      <c r="Q760" s="154"/>
      <c r="T760" s="154"/>
      <c r="V760" s="80"/>
    </row>
    <row r="761" spans="8:22">
      <c r="H761" s="154"/>
      <c r="K761" s="154"/>
      <c r="N761" s="154"/>
      <c r="Q761" s="154"/>
      <c r="T761" s="154"/>
      <c r="V761" s="80"/>
    </row>
    <row r="762" spans="8:22">
      <c r="H762" s="154"/>
      <c r="K762" s="154"/>
      <c r="N762" s="154"/>
      <c r="Q762" s="154"/>
      <c r="T762" s="154"/>
      <c r="V762" s="80"/>
    </row>
    <row r="763" spans="8:22">
      <c r="H763" s="154"/>
      <c r="K763" s="154"/>
      <c r="N763" s="154"/>
      <c r="Q763" s="154"/>
      <c r="T763" s="154"/>
      <c r="V763" s="80"/>
    </row>
    <row r="764" spans="8:22">
      <c r="H764" s="154"/>
      <c r="K764" s="154"/>
      <c r="N764" s="154"/>
      <c r="Q764" s="154"/>
      <c r="T764" s="154"/>
      <c r="V764" s="80"/>
    </row>
    <row r="765" spans="8:22">
      <c r="H765" s="154"/>
      <c r="K765" s="154"/>
      <c r="N765" s="154"/>
      <c r="Q765" s="154"/>
      <c r="T765" s="154"/>
      <c r="V765" s="80"/>
    </row>
    <row r="766" spans="8:22">
      <c r="H766" s="154"/>
      <c r="K766" s="154"/>
      <c r="N766" s="154"/>
      <c r="Q766" s="154"/>
      <c r="T766" s="154"/>
      <c r="V766" s="80"/>
    </row>
    <row r="767" spans="8:22">
      <c r="H767" s="154"/>
      <c r="K767" s="154"/>
      <c r="N767" s="154"/>
      <c r="Q767" s="154"/>
      <c r="T767" s="154"/>
      <c r="V767" s="80"/>
    </row>
    <row r="768" spans="8:22">
      <c r="H768" s="154"/>
      <c r="K768" s="154"/>
      <c r="N768" s="154"/>
      <c r="Q768" s="154"/>
      <c r="T768" s="154"/>
      <c r="V768" s="80"/>
    </row>
    <row r="769" spans="8:22">
      <c r="H769" s="154"/>
      <c r="K769" s="154"/>
      <c r="N769" s="154"/>
      <c r="Q769" s="154"/>
      <c r="T769" s="154"/>
      <c r="V769" s="80"/>
    </row>
    <row r="770" spans="8:22">
      <c r="H770" s="154"/>
      <c r="K770" s="154"/>
      <c r="N770" s="154"/>
      <c r="Q770" s="154"/>
      <c r="T770" s="154"/>
      <c r="V770" s="80"/>
    </row>
    <row r="771" spans="8:22">
      <c r="H771" s="154"/>
      <c r="K771" s="154"/>
      <c r="N771" s="154"/>
      <c r="Q771" s="154"/>
      <c r="T771" s="154"/>
      <c r="V771" s="80"/>
    </row>
    <row r="772" spans="8:22">
      <c r="H772" s="154"/>
      <c r="K772" s="154"/>
      <c r="N772" s="154"/>
      <c r="Q772" s="154"/>
      <c r="T772" s="154"/>
      <c r="V772" s="80"/>
    </row>
    <row r="773" spans="8:22">
      <c r="H773" s="154"/>
      <c r="K773" s="154"/>
      <c r="N773" s="154"/>
      <c r="Q773" s="154"/>
      <c r="T773" s="154"/>
      <c r="V773" s="80"/>
    </row>
    <row r="774" spans="8:22">
      <c r="H774" s="154"/>
      <c r="K774" s="154"/>
      <c r="N774" s="154"/>
      <c r="Q774" s="154"/>
      <c r="T774" s="154"/>
      <c r="V774" s="80"/>
    </row>
    <row r="775" spans="8:22">
      <c r="H775" s="154"/>
      <c r="K775" s="154"/>
      <c r="N775" s="154"/>
      <c r="Q775" s="154"/>
      <c r="T775" s="154"/>
      <c r="V775" s="80"/>
    </row>
    <row r="776" spans="8:22">
      <c r="H776" s="154"/>
      <c r="K776" s="154"/>
      <c r="N776" s="154"/>
      <c r="Q776" s="154"/>
      <c r="T776" s="154"/>
      <c r="V776" s="80"/>
    </row>
    <row r="777" spans="8:22">
      <c r="H777" s="154"/>
      <c r="K777" s="154"/>
      <c r="N777" s="154"/>
      <c r="Q777" s="154"/>
      <c r="T777" s="154"/>
      <c r="V777" s="80"/>
    </row>
    <row r="778" spans="8:22">
      <c r="H778" s="154"/>
      <c r="K778" s="154"/>
      <c r="N778" s="154"/>
      <c r="Q778" s="154"/>
      <c r="T778" s="154"/>
      <c r="V778" s="80"/>
    </row>
    <row r="779" spans="8:22">
      <c r="H779" s="154"/>
      <c r="K779" s="154"/>
      <c r="N779" s="154"/>
      <c r="Q779" s="154"/>
      <c r="T779" s="154"/>
      <c r="V779" s="80"/>
    </row>
    <row r="780" spans="8:22">
      <c r="H780" s="154"/>
      <c r="K780" s="154"/>
      <c r="N780" s="154"/>
      <c r="Q780" s="154"/>
      <c r="T780" s="154"/>
      <c r="V780" s="80"/>
    </row>
    <row r="781" spans="8:22">
      <c r="H781" s="154"/>
      <c r="K781" s="154"/>
      <c r="N781" s="154"/>
      <c r="Q781" s="154"/>
      <c r="T781" s="154"/>
      <c r="V781" s="80"/>
    </row>
    <row r="782" spans="8:22">
      <c r="H782" s="154"/>
      <c r="K782" s="154"/>
      <c r="N782" s="154"/>
      <c r="Q782" s="154"/>
      <c r="T782" s="154"/>
      <c r="V782" s="80"/>
    </row>
    <row r="783" spans="8:22">
      <c r="H783" s="154"/>
      <c r="K783" s="154"/>
      <c r="N783" s="154"/>
      <c r="Q783" s="154"/>
      <c r="T783" s="154"/>
      <c r="V783" s="80"/>
    </row>
    <row r="784" spans="8:22">
      <c r="H784" s="154"/>
      <c r="K784" s="154"/>
      <c r="N784" s="154"/>
      <c r="Q784" s="154"/>
      <c r="T784" s="154"/>
      <c r="V784" s="80"/>
    </row>
    <row r="785" spans="8:22">
      <c r="H785" s="154"/>
      <c r="K785" s="154"/>
      <c r="N785" s="154"/>
      <c r="Q785" s="154"/>
      <c r="T785" s="154"/>
      <c r="V785" s="80"/>
    </row>
    <row r="786" spans="8:22">
      <c r="H786" s="154"/>
      <c r="K786" s="154"/>
      <c r="N786" s="154"/>
      <c r="Q786" s="154"/>
      <c r="T786" s="154"/>
      <c r="V786" s="80"/>
    </row>
    <row r="787" spans="8:22">
      <c r="H787" s="154"/>
      <c r="K787" s="154"/>
      <c r="N787" s="154"/>
      <c r="Q787" s="154"/>
      <c r="T787" s="154"/>
      <c r="V787" s="80"/>
    </row>
    <row r="788" spans="8:22">
      <c r="H788" s="154"/>
      <c r="K788" s="154"/>
      <c r="N788" s="154"/>
      <c r="Q788" s="154"/>
      <c r="T788" s="154"/>
      <c r="V788" s="80"/>
    </row>
    <row r="789" spans="8:22">
      <c r="H789" s="154"/>
      <c r="K789" s="154"/>
      <c r="N789" s="154"/>
      <c r="Q789" s="154"/>
      <c r="T789" s="154"/>
      <c r="V789" s="80"/>
    </row>
    <row r="790" spans="8:22">
      <c r="H790" s="154"/>
      <c r="K790" s="154"/>
      <c r="N790" s="154"/>
      <c r="Q790" s="154"/>
      <c r="T790" s="154"/>
      <c r="V790" s="80"/>
    </row>
    <row r="791" spans="8:22">
      <c r="H791" s="154"/>
      <c r="K791" s="154"/>
      <c r="N791" s="154"/>
      <c r="Q791" s="154"/>
      <c r="T791" s="154"/>
      <c r="V791" s="80"/>
    </row>
    <row r="792" spans="8:22">
      <c r="H792" s="154"/>
      <c r="K792" s="154"/>
      <c r="N792" s="154"/>
      <c r="Q792" s="154"/>
      <c r="T792" s="154"/>
      <c r="V792" s="80"/>
    </row>
    <row r="793" spans="8:22">
      <c r="H793" s="154"/>
      <c r="K793" s="154"/>
      <c r="N793" s="154"/>
      <c r="Q793" s="154"/>
      <c r="T793" s="154"/>
      <c r="V793" s="80"/>
    </row>
    <row r="794" spans="8:22">
      <c r="H794" s="154"/>
      <c r="K794" s="154"/>
      <c r="N794" s="154"/>
      <c r="Q794" s="154"/>
      <c r="T794" s="154"/>
      <c r="V794" s="80"/>
    </row>
    <row r="795" spans="8:22">
      <c r="H795" s="154"/>
      <c r="K795" s="154"/>
      <c r="N795" s="154"/>
      <c r="Q795" s="154"/>
      <c r="T795" s="154"/>
      <c r="V795" s="80"/>
    </row>
    <row r="796" spans="8:22">
      <c r="H796" s="154"/>
      <c r="K796" s="154"/>
      <c r="N796" s="154"/>
      <c r="Q796" s="154"/>
      <c r="T796" s="154"/>
      <c r="V796" s="80"/>
    </row>
    <row r="797" spans="8:22">
      <c r="H797" s="154"/>
      <c r="K797" s="154"/>
      <c r="N797" s="154"/>
      <c r="Q797" s="154"/>
      <c r="T797" s="154"/>
      <c r="V797" s="80"/>
    </row>
    <row r="798" spans="8:22">
      <c r="H798" s="154"/>
      <c r="K798" s="154"/>
      <c r="N798" s="154"/>
      <c r="Q798" s="154"/>
      <c r="T798" s="154"/>
      <c r="V798" s="80"/>
    </row>
    <row r="799" spans="8:22">
      <c r="H799" s="154"/>
      <c r="K799" s="154"/>
      <c r="N799" s="154"/>
      <c r="Q799" s="154"/>
      <c r="T799" s="154"/>
      <c r="V799" s="80"/>
    </row>
    <row r="800" spans="8:22">
      <c r="H800" s="154"/>
      <c r="K800" s="154"/>
      <c r="N800" s="154"/>
      <c r="Q800" s="154"/>
      <c r="T800" s="154"/>
      <c r="V800" s="80"/>
    </row>
    <row r="801" spans="8:22">
      <c r="H801" s="154"/>
      <c r="K801" s="154"/>
      <c r="N801" s="154"/>
      <c r="Q801" s="154"/>
      <c r="T801" s="154"/>
      <c r="V801" s="80"/>
    </row>
    <row r="802" spans="8:22">
      <c r="H802" s="154"/>
      <c r="K802" s="154"/>
      <c r="N802" s="154"/>
      <c r="Q802" s="154"/>
      <c r="T802" s="154"/>
      <c r="V802" s="80"/>
    </row>
    <row r="803" spans="8:22">
      <c r="H803" s="154"/>
      <c r="K803" s="154"/>
      <c r="N803" s="154"/>
      <c r="Q803" s="154"/>
      <c r="T803" s="154"/>
      <c r="V803" s="80"/>
    </row>
    <row r="804" spans="8:22">
      <c r="H804" s="154"/>
      <c r="K804" s="154"/>
      <c r="N804" s="154"/>
      <c r="Q804" s="154"/>
      <c r="T804" s="154"/>
      <c r="V804" s="80"/>
    </row>
    <row r="805" spans="8:22">
      <c r="H805" s="154"/>
      <c r="K805" s="154"/>
      <c r="N805" s="154"/>
      <c r="Q805" s="154"/>
      <c r="T805" s="154"/>
      <c r="V805" s="80"/>
    </row>
    <row r="806" spans="8:22">
      <c r="H806" s="154"/>
      <c r="K806" s="154"/>
      <c r="N806" s="154"/>
      <c r="Q806" s="154"/>
      <c r="T806" s="154"/>
      <c r="V806" s="80"/>
    </row>
    <row r="807" spans="8:22">
      <c r="H807" s="154"/>
      <c r="K807" s="154"/>
      <c r="N807" s="154"/>
      <c r="Q807" s="154"/>
      <c r="T807" s="154"/>
      <c r="V807" s="80"/>
    </row>
    <row r="808" spans="8:22">
      <c r="H808" s="154"/>
      <c r="K808" s="154"/>
      <c r="N808" s="154"/>
      <c r="Q808" s="154"/>
      <c r="T808" s="154"/>
      <c r="V808" s="80"/>
    </row>
    <row r="809" spans="8:22">
      <c r="H809" s="154"/>
      <c r="K809" s="154"/>
      <c r="N809" s="154"/>
      <c r="Q809" s="154"/>
      <c r="T809" s="154"/>
      <c r="V809" s="80"/>
    </row>
    <row r="810" spans="8:22">
      <c r="H810" s="154"/>
      <c r="K810" s="154"/>
      <c r="N810" s="154"/>
      <c r="Q810" s="154"/>
      <c r="T810" s="154"/>
      <c r="V810" s="80"/>
    </row>
    <row r="811" spans="8:22">
      <c r="H811" s="154"/>
      <c r="K811" s="154"/>
      <c r="N811" s="154"/>
      <c r="Q811" s="154"/>
      <c r="T811" s="154"/>
      <c r="V811" s="80"/>
    </row>
    <row r="812" spans="8:22">
      <c r="H812" s="154"/>
      <c r="K812" s="154"/>
      <c r="N812" s="154"/>
      <c r="Q812" s="154"/>
      <c r="T812" s="154"/>
      <c r="V812" s="80"/>
    </row>
    <row r="813" spans="8:22">
      <c r="H813" s="154"/>
      <c r="K813" s="154"/>
      <c r="N813" s="154"/>
      <c r="Q813" s="154"/>
      <c r="T813" s="154"/>
      <c r="V813" s="80"/>
    </row>
    <row r="814" spans="8:22">
      <c r="H814" s="154"/>
      <c r="K814" s="154"/>
      <c r="N814" s="154"/>
      <c r="Q814" s="154"/>
      <c r="T814" s="154"/>
      <c r="V814" s="80"/>
    </row>
    <row r="815" spans="8:22">
      <c r="H815" s="154"/>
      <c r="K815" s="154"/>
      <c r="N815" s="154"/>
      <c r="Q815" s="154"/>
      <c r="T815" s="154"/>
      <c r="V815" s="80"/>
    </row>
    <row r="816" spans="8:22">
      <c r="H816" s="154"/>
      <c r="K816" s="154"/>
      <c r="N816" s="154"/>
      <c r="Q816" s="154"/>
      <c r="T816" s="154"/>
      <c r="V816" s="80"/>
    </row>
    <row r="817" spans="8:22">
      <c r="H817" s="154"/>
      <c r="K817" s="154"/>
      <c r="N817" s="154"/>
      <c r="Q817" s="154"/>
      <c r="T817" s="154"/>
      <c r="V817" s="80"/>
    </row>
    <row r="818" spans="8:22">
      <c r="H818" s="154"/>
      <c r="K818" s="154"/>
      <c r="N818" s="154"/>
      <c r="Q818" s="154"/>
      <c r="T818" s="154"/>
      <c r="V818" s="80"/>
    </row>
    <row r="819" spans="8:22">
      <c r="H819" s="154"/>
      <c r="K819" s="154"/>
      <c r="N819" s="154"/>
      <c r="Q819" s="154"/>
      <c r="T819" s="154"/>
      <c r="V819" s="80"/>
    </row>
    <row r="820" spans="8:22">
      <c r="H820" s="154"/>
      <c r="K820" s="154"/>
      <c r="N820" s="154"/>
      <c r="Q820" s="154"/>
      <c r="T820" s="154"/>
      <c r="V820" s="80"/>
    </row>
    <row r="821" spans="8:22">
      <c r="H821" s="154"/>
      <c r="K821" s="154"/>
      <c r="N821" s="154"/>
      <c r="Q821" s="154"/>
      <c r="T821" s="154"/>
      <c r="V821" s="80"/>
    </row>
    <row r="822" spans="8:22">
      <c r="H822" s="154"/>
      <c r="K822" s="154"/>
      <c r="N822" s="154"/>
      <c r="Q822" s="154"/>
      <c r="T822" s="154"/>
      <c r="V822" s="80"/>
    </row>
    <row r="823" spans="8:22">
      <c r="H823" s="154"/>
      <c r="K823" s="154"/>
      <c r="N823" s="154"/>
      <c r="Q823" s="154"/>
      <c r="T823" s="154"/>
      <c r="V823" s="80"/>
    </row>
    <row r="824" spans="8:22">
      <c r="H824" s="154"/>
      <c r="K824" s="154"/>
      <c r="N824" s="154"/>
      <c r="Q824" s="154"/>
      <c r="T824" s="154"/>
      <c r="V824" s="80"/>
    </row>
    <row r="825" spans="8:22">
      <c r="H825" s="154"/>
      <c r="K825" s="154"/>
      <c r="N825" s="154"/>
      <c r="Q825" s="154"/>
      <c r="T825" s="154"/>
      <c r="V825" s="80"/>
    </row>
    <row r="826" spans="8:22">
      <c r="H826" s="154"/>
      <c r="K826" s="154"/>
      <c r="N826" s="154"/>
      <c r="Q826" s="154"/>
      <c r="T826" s="154"/>
      <c r="V826" s="80"/>
    </row>
    <row r="827" spans="8:22">
      <c r="H827" s="154"/>
      <c r="K827" s="154"/>
      <c r="N827" s="154"/>
      <c r="Q827" s="154"/>
      <c r="T827" s="154"/>
      <c r="V827" s="80"/>
    </row>
    <row r="828" spans="8:22">
      <c r="H828" s="154"/>
      <c r="K828" s="154"/>
      <c r="N828" s="154"/>
      <c r="Q828" s="154"/>
      <c r="T828" s="154"/>
      <c r="V828" s="80"/>
    </row>
    <row r="829" spans="8:22">
      <c r="H829" s="154"/>
      <c r="K829" s="154"/>
      <c r="N829" s="154"/>
      <c r="Q829" s="154"/>
      <c r="T829" s="154"/>
      <c r="V829" s="80"/>
    </row>
    <row r="830" spans="8:22">
      <c r="H830" s="154"/>
      <c r="K830" s="154"/>
      <c r="N830" s="154"/>
      <c r="Q830" s="154"/>
      <c r="T830" s="154"/>
      <c r="V830" s="80"/>
    </row>
    <row r="831" spans="8:22">
      <c r="H831" s="154"/>
      <c r="K831" s="154"/>
      <c r="N831" s="154"/>
      <c r="Q831" s="154"/>
      <c r="T831" s="154"/>
      <c r="V831" s="80"/>
    </row>
    <row r="832" spans="8:22">
      <c r="H832" s="154"/>
      <c r="K832" s="154"/>
      <c r="N832" s="154"/>
      <c r="Q832" s="154"/>
      <c r="T832" s="154"/>
      <c r="V832" s="80"/>
    </row>
    <row r="833" spans="8:22">
      <c r="H833" s="154"/>
      <c r="K833" s="154"/>
      <c r="N833" s="154"/>
      <c r="Q833" s="154"/>
      <c r="T833" s="154"/>
      <c r="V833" s="80"/>
    </row>
    <row r="834" spans="8:22">
      <c r="H834" s="154"/>
      <c r="K834" s="154"/>
      <c r="N834" s="154"/>
      <c r="Q834" s="154"/>
      <c r="T834" s="154"/>
      <c r="V834" s="80"/>
    </row>
    <row r="835" spans="8:22">
      <c r="H835" s="154"/>
      <c r="K835" s="154"/>
      <c r="N835" s="154"/>
      <c r="Q835" s="154"/>
      <c r="T835" s="154"/>
      <c r="V835" s="80"/>
    </row>
    <row r="836" spans="8:22">
      <c r="H836" s="154"/>
      <c r="K836" s="154"/>
      <c r="N836" s="154"/>
      <c r="Q836" s="154"/>
      <c r="T836" s="154"/>
      <c r="V836" s="80"/>
    </row>
    <row r="837" spans="8:22">
      <c r="H837" s="154"/>
      <c r="K837" s="154"/>
      <c r="N837" s="154"/>
      <c r="Q837" s="154"/>
      <c r="T837" s="154"/>
      <c r="V837" s="80"/>
    </row>
    <row r="838" spans="8:22">
      <c r="H838" s="154"/>
      <c r="K838" s="154"/>
      <c r="N838" s="154"/>
      <c r="Q838" s="154"/>
      <c r="T838" s="154"/>
      <c r="V838" s="80"/>
    </row>
    <row r="839" spans="8:22">
      <c r="H839" s="154"/>
      <c r="K839" s="154"/>
      <c r="N839" s="154"/>
      <c r="Q839" s="154"/>
      <c r="T839" s="154"/>
      <c r="V839" s="80"/>
    </row>
    <row r="840" spans="8:22">
      <c r="H840" s="154"/>
      <c r="K840" s="154"/>
      <c r="N840" s="154"/>
      <c r="Q840" s="154"/>
      <c r="T840" s="154"/>
      <c r="V840" s="80"/>
    </row>
    <row r="841" spans="8:22">
      <c r="H841" s="154"/>
      <c r="K841" s="154"/>
      <c r="N841" s="154"/>
      <c r="Q841" s="154"/>
      <c r="T841" s="154"/>
      <c r="V841" s="80"/>
    </row>
    <row r="842" spans="8:22">
      <c r="H842" s="154"/>
      <c r="K842" s="154"/>
      <c r="N842" s="154"/>
      <c r="Q842" s="154"/>
      <c r="T842" s="154"/>
      <c r="V842" s="80"/>
    </row>
    <row r="843" spans="8:22">
      <c r="H843" s="154"/>
      <c r="K843" s="154"/>
      <c r="N843" s="154"/>
      <c r="Q843" s="154"/>
      <c r="T843" s="154"/>
      <c r="V843" s="80"/>
    </row>
    <row r="844" spans="8:22">
      <c r="H844" s="154"/>
      <c r="K844" s="154"/>
      <c r="N844" s="154"/>
      <c r="Q844" s="154"/>
      <c r="T844" s="154"/>
      <c r="V844" s="80"/>
    </row>
    <row r="845" spans="8:22">
      <c r="H845" s="154"/>
      <c r="K845" s="154"/>
      <c r="N845" s="154"/>
      <c r="Q845" s="154"/>
      <c r="T845" s="154"/>
      <c r="V845" s="80"/>
    </row>
    <row r="846" spans="8:22">
      <c r="H846" s="154"/>
      <c r="K846" s="154"/>
      <c r="N846" s="154"/>
      <c r="Q846" s="154"/>
      <c r="T846" s="154"/>
      <c r="V846" s="80"/>
    </row>
    <row r="847" spans="8:22">
      <c r="H847" s="154"/>
      <c r="K847" s="154"/>
      <c r="N847" s="154"/>
      <c r="Q847" s="154"/>
      <c r="T847" s="154"/>
      <c r="V847" s="80"/>
    </row>
    <row r="848" spans="8:22">
      <c r="H848" s="154"/>
      <c r="K848" s="154"/>
      <c r="N848" s="154"/>
      <c r="Q848" s="154"/>
      <c r="T848" s="154"/>
      <c r="V848" s="80"/>
    </row>
    <row r="849" spans="8:22">
      <c r="H849" s="154"/>
      <c r="K849" s="154"/>
      <c r="N849" s="154"/>
      <c r="Q849" s="154"/>
      <c r="T849" s="154"/>
      <c r="V849" s="80"/>
    </row>
    <row r="850" spans="8:22">
      <c r="H850" s="154"/>
      <c r="K850" s="154"/>
      <c r="N850" s="154"/>
      <c r="Q850" s="154"/>
      <c r="T850" s="154"/>
      <c r="V850" s="80"/>
    </row>
    <row r="851" spans="8:22">
      <c r="H851" s="154"/>
      <c r="K851" s="154"/>
      <c r="N851" s="154"/>
      <c r="Q851" s="154"/>
      <c r="T851" s="154"/>
      <c r="V851" s="80"/>
    </row>
    <row r="852" spans="8:22">
      <c r="H852" s="154"/>
      <c r="K852" s="154"/>
      <c r="N852" s="154"/>
      <c r="Q852" s="154"/>
      <c r="T852" s="154"/>
      <c r="V852" s="80"/>
    </row>
    <row r="853" spans="8:22">
      <c r="H853" s="154"/>
      <c r="K853" s="154"/>
      <c r="N853" s="154"/>
      <c r="Q853" s="154"/>
      <c r="T853" s="154"/>
      <c r="V853" s="80"/>
    </row>
    <row r="854" spans="8:22">
      <c r="H854" s="154"/>
      <c r="K854" s="154"/>
      <c r="N854" s="154"/>
      <c r="Q854" s="154"/>
      <c r="T854" s="154"/>
      <c r="V854" s="80"/>
    </row>
    <row r="855" spans="8:22">
      <c r="H855" s="154"/>
      <c r="K855" s="154"/>
      <c r="N855" s="154"/>
      <c r="Q855" s="154"/>
      <c r="T855" s="154"/>
      <c r="V855" s="80"/>
    </row>
    <row r="856" spans="8:22">
      <c r="H856" s="154"/>
      <c r="K856" s="154"/>
      <c r="N856" s="154"/>
      <c r="Q856" s="154"/>
      <c r="T856" s="154"/>
      <c r="V856" s="80"/>
    </row>
    <row r="857" spans="8:22">
      <c r="H857" s="154"/>
      <c r="K857" s="154"/>
      <c r="N857" s="154"/>
      <c r="Q857" s="154"/>
      <c r="T857" s="154"/>
      <c r="V857" s="80"/>
    </row>
    <row r="858" spans="8:22">
      <c r="H858" s="154"/>
      <c r="K858" s="154"/>
      <c r="N858" s="154"/>
      <c r="Q858" s="154"/>
      <c r="T858" s="154"/>
      <c r="V858" s="80"/>
    </row>
    <row r="859" spans="8:22">
      <c r="H859" s="154"/>
      <c r="K859" s="154"/>
      <c r="N859" s="154"/>
      <c r="Q859" s="154"/>
      <c r="T859" s="154"/>
      <c r="V859" s="80"/>
    </row>
    <row r="860" spans="8:22">
      <c r="H860" s="154"/>
      <c r="K860" s="154"/>
      <c r="N860" s="154"/>
      <c r="Q860" s="154"/>
      <c r="T860" s="154"/>
      <c r="V860" s="80"/>
    </row>
    <row r="861" spans="8:22">
      <c r="H861" s="154"/>
      <c r="K861" s="154"/>
      <c r="N861" s="154"/>
      <c r="Q861" s="154"/>
      <c r="T861" s="154"/>
      <c r="V861" s="80"/>
    </row>
    <row r="862" spans="8:22">
      <c r="H862" s="154"/>
      <c r="K862" s="154"/>
      <c r="N862" s="154"/>
      <c r="Q862" s="154"/>
      <c r="T862" s="154"/>
      <c r="V862" s="80"/>
    </row>
    <row r="863" spans="8:22">
      <c r="H863" s="154"/>
      <c r="K863" s="154"/>
      <c r="N863" s="154"/>
      <c r="Q863" s="154"/>
      <c r="T863" s="154"/>
      <c r="V863" s="80"/>
    </row>
    <row r="864" spans="8:22">
      <c r="H864" s="154"/>
      <c r="K864" s="154"/>
      <c r="N864" s="154"/>
      <c r="Q864" s="154"/>
      <c r="T864" s="154"/>
      <c r="V864" s="80"/>
    </row>
    <row r="865" spans="8:22">
      <c r="H865" s="154"/>
      <c r="K865" s="154"/>
      <c r="N865" s="154"/>
      <c r="Q865" s="154"/>
      <c r="T865" s="154"/>
      <c r="V865" s="80"/>
    </row>
    <row r="866" spans="8:22">
      <c r="H866" s="154"/>
      <c r="K866" s="154"/>
      <c r="N866" s="154"/>
      <c r="Q866" s="154"/>
      <c r="T866" s="154"/>
      <c r="V866" s="80"/>
    </row>
    <row r="867" spans="8:22">
      <c r="H867" s="154"/>
      <c r="K867" s="154"/>
      <c r="N867" s="154"/>
      <c r="Q867" s="154"/>
      <c r="T867" s="154"/>
      <c r="V867" s="80"/>
    </row>
    <row r="868" spans="8:22">
      <c r="H868" s="154"/>
      <c r="K868" s="154"/>
      <c r="N868" s="154"/>
      <c r="Q868" s="154"/>
      <c r="T868" s="154"/>
      <c r="V868" s="80"/>
    </row>
    <row r="869" spans="8:22">
      <c r="H869" s="154"/>
      <c r="K869" s="154"/>
      <c r="N869" s="154"/>
      <c r="Q869" s="154"/>
      <c r="T869" s="154"/>
      <c r="V869" s="80"/>
    </row>
    <row r="870" spans="8:22">
      <c r="H870" s="154"/>
      <c r="K870" s="154"/>
      <c r="N870" s="154"/>
      <c r="Q870" s="154"/>
      <c r="T870" s="154"/>
      <c r="V870" s="80"/>
    </row>
    <row r="871" spans="8:22">
      <c r="H871" s="154"/>
      <c r="K871" s="154"/>
      <c r="N871" s="154"/>
      <c r="Q871" s="154"/>
      <c r="T871" s="154"/>
      <c r="V871" s="80"/>
    </row>
    <row r="872" spans="8:22">
      <c r="H872" s="154"/>
      <c r="K872" s="154"/>
      <c r="N872" s="154"/>
      <c r="Q872" s="154"/>
      <c r="T872" s="154"/>
      <c r="V872" s="80"/>
    </row>
    <row r="873" spans="8:22">
      <c r="H873" s="154"/>
      <c r="K873" s="154"/>
      <c r="N873" s="154"/>
      <c r="Q873" s="154"/>
      <c r="T873" s="154"/>
      <c r="V873" s="80"/>
    </row>
    <row r="874" spans="8:22">
      <c r="H874" s="154"/>
      <c r="K874" s="154"/>
      <c r="N874" s="154"/>
      <c r="Q874" s="154"/>
      <c r="T874" s="154"/>
      <c r="V874" s="80"/>
    </row>
    <row r="875" spans="8:22">
      <c r="H875" s="154"/>
      <c r="K875" s="154"/>
      <c r="N875" s="154"/>
      <c r="Q875" s="154"/>
      <c r="T875" s="154"/>
      <c r="V875" s="80"/>
    </row>
    <row r="876" spans="8:22">
      <c r="H876" s="154"/>
      <c r="K876" s="154"/>
      <c r="N876" s="154"/>
      <c r="Q876" s="154"/>
      <c r="T876" s="154"/>
      <c r="V876" s="80"/>
    </row>
    <row r="877" spans="8:22">
      <c r="H877" s="154"/>
      <c r="K877" s="154"/>
      <c r="N877" s="154"/>
      <c r="Q877" s="154"/>
      <c r="T877" s="154"/>
      <c r="V877" s="80"/>
    </row>
    <row r="878" spans="8:22">
      <c r="H878" s="154"/>
      <c r="K878" s="154"/>
      <c r="N878" s="154"/>
      <c r="Q878" s="154"/>
      <c r="T878" s="154"/>
      <c r="V878" s="80"/>
    </row>
    <row r="879" spans="8:22">
      <c r="H879" s="154"/>
      <c r="K879" s="154"/>
      <c r="N879" s="154"/>
      <c r="Q879" s="154"/>
      <c r="T879" s="154"/>
      <c r="V879" s="80"/>
    </row>
    <row r="880" spans="8:22">
      <c r="H880" s="154"/>
      <c r="K880" s="154"/>
      <c r="N880" s="154"/>
      <c r="Q880" s="154"/>
      <c r="T880" s="154"/>
      <c r="V880" s="80"/>
    </row>
    <row r="881" spans="8:22">
      <c r="H881" s="154"/>
      <c r="K881" s="154"/>
      <c r="N881" s="154"/>
      <c r="Q881" s="154"/>
      <c r="T881" s="154"/>
      <c r="V881" s="80"/>
    </row>
    <row r="882" spans="8:22">
      <c r="H882" s="154"/>
      <c r="K882" s="154"/>
      <c r="N882" s="154"/>
      <c r="Q882" s="154"/>
      <c r="T882" s="154"/>
      <c r="V882" s="80"/>
    </row>
    <row r="883" spans="8:22">
      <c r="H883" s="154"/>
      <c r="K883" s="154"/>
      <c r="N883" s="154"/>
      <c r="Q883" s="154"/>
      <c r="T883" s="154"/>
      <c r="V883" s="80"/>
    </row>
    <row r="884" spans="8:22">
      <c r="H884" s="154"/>
      <c r="K884" s="154"/>
      <c r="N884" s="154"/>
      <c r="Q884" s="154"/>
      <c r="T884" s="154"/>
      <c r="V884" s="80"/>
    </row>
    <row r="885" spans="8:22">
      <c r="H885" s="154"/>
      <c r="K885" s="154"/>
      <c r="N885" s="154"/>
      <c r="Q885" s="154"/>
      <c r="T885" s="154"/>
      <c r="V885" s="80"/>
    </row>
    <row r="886" spans="8:22">
      <c r="H886" s="154"/>
      <c r="K886" s="154"/>
      <c r="N886" s="154"/>
      <c r="Q886" s="154"/>
      <c r="T886" s="154"/>
      <c r="V886" s="80"/>
    </row>
    <row r="887" spans="8:22">
      <c r="H887" s="154"/>
      <c r="K887" s="154"/>
      <c r="N887" s="154"/>
      <c r="Q887" s="154"/>
      <c r="T887" s="154"/>
      <c r="V887" s="80"/>
    </row>
    <row r="888" spans="8:22">
      <c r="H888" s="154"/>
      <c r="K888" s="154"/>
      <c r="N888" s="154"/>
      <c r="Q888" s="154"/>
      <c r="T888" s="154"/>
      <c r="V888" s="80"/>
    </row>
    <row r="889" spans="8:22">
      <c r="H889" s="154"/>
      <c r="K889" s="154"/>
      <c r="N889" s="154"/>
      <c r="Q889" s="154"/>
      <c r="T889" s="154"/>
      <c r="V889" s="80"/>
    </row>
    <row r="890" spans="8:22">
      <c r="H890" s="154"/>
      <c r="K890" s="154"/>
      <c r="N890" s="154"/>
      <c r="Q890" s="154"/>
      <c r="T890" s="154"/>
      <c r="V890" s="80"/>
    </row>
    <row r="891" spans="8:22">
      <c r="H891" s="154"/>
      <c r="K891" s="154"/>
      <c r="N891" s="154"/>
      <c r="Q891" s="154"/>
      <c r="T891" s="154"/>
      <c r="V891" s="80"/>
    </row>
    <row r="892" spans="8:22">
      <c r="H892" s="154"/>
      <c r="K892" s="154"/>
      <c r="N892" s="154"/>
      <c r="Q892" s="154"/>
      <c r="T892" s="154"/>
      <c r="V892" s="80"/>
    </row>
    <row r="893" spans="8:22">
      <c r="H893" s="154"/>
      <c r="K893" s="154"/>
      <c r="N893" s="154"/>
      <c r="Q893" s="154"/>
      <c r="T893" s="154"/>
      <c r="V893" s="80"/>
    </row>
    <row r="894" spans="8:22">
      <c r="H894" s="154"/>
      <c r="K894" s="154"/>
      <c r="N894" s="154"/>
      <c r="Q894" s="154"/>
      <c r="T894" s="154"/>
      <c r="V894" s="80"/>
    </row>
    <row r="895" spans="8:22">
      <c r="H895" s="154"/>
      <c r="K895" s="154"/>
      <c r="N895" s="154"/>
      <c r="Q895" s="154"/>
      <c r="T895" s="154"/>
      <c r="V895" s="80"/>
    </row>
    <row r="896" spans="8:22">
      <c r="H896" s="154"/>
      <c r="K896" s="154"/>
      <c r="N896" s="154"/>
      <c r="Q896" s="154"/>
      <c r="T896" s="154"/>
      <c r="V896" s="80"/>
    </row>
    <row r="897" spans="8:22">
      <c r="H897" s="154"/>
      <c r="K897" s="154"/>
      <c r="N897" s="154"/>
      <c r="Q897" s="154"/>
      <c r="T897" s="154"/>
      <c r="V897" s="80"/>
    </row>
    <row r="898" spans="8:22">
      <c r="H898" s="154"/>
      <c r="K898" s="154"/>
      <c r="N898" s="154"/>
      <c r="Q898" s="154"/>
      <c r="T898" s="154"/>
      <c r="V898" s="80"/>
    </row>
    <row r="899" spans="8:22">
      <c r="H899" s="154"/>
      <c r="K899" s="154"/>
      <c r="N899" s="154"/>
      <c r="Q899" s="154"/>
      <c r="T899" s="154"/>
      <c r="V899" s="80"/>
    </row>
    <row r="900" spans="8:22">
      <c r="H900" s="154"/>
      <c r="K900" s="154"/>
      <c r="N900" s="154"/>
      <c r="Q900" s="154"/>
      <c r="T900" s="154"/>
      <c r="V900" s="80"/>
    </row>
    <row r="901" spans="8:22">
      <c r="H901" s="154"/>
      <c r="K901" s="154"/>
      <c r="N901" s="154"/>
      <c r="Q901" s="154"/>
      <c r="T901" s="154"/>
      <c r="V901" s="80"/>
    </row>
    <row r="902" spans="8:22">
      <c r="H902" s="154"/>
      <c r="K902" s="154"/>
      <c r="N902" s="154"/>
      <c r="Q902" s="154"/>
      <c r="T902" s="154"/>
      <c r="V902" s="80"/>
    </row>
    <row r="903" spans="8:22">
      <c r="H903" s="154"/>
      <c r="K903" s="154"/>
      <c r="N903" s="154"/>
      <c r="Q903" s="154"/>
      <c r="T903" s="154"/>
      <c r="V903" s="80"/>
    </row>
    <row r="904" spans="8:22">
      <c r="H904" s="154"/>
      <c r="K904" s="154"/>
      <c r="N904" s="154"/>
      <c r="Q904" s="154"/>
      <c r="T904" s="154"/>
      <c r="V904" s="80"/>
    </row>
    <row r="905" spans="8:22">
      <c r="H905" s="154"/>
      <c r="K905" s="154"/>
      <c r="N905" s="154"/>
      <c r="Q905" s="154"/>
      <c r="T905" s="154"/>
      <c r="V905" s="80"/>
    </row>
    <row r="906" spans="8:22">
      <c r="H906" s="154"/>
      <c r="K906" s="154"/>
      <c r="N906" s="154"/>
      <c r="Q906" s="154"/>
      <c r="T906" s="154"/>
      <c r="V906" s="80"/>
    </row>
    <row r="907" spans="8:22">
      <c r="H907" s="154"/>
      <c r="K907" s="154"/>
      <c r="N907" s="154"/>
      <c r="Q907" s="154"/>
      <c r="T907" s="154"/>
      <c r="V907" s="80"/>
    </row>
    <row r="908" spans="8:22">
      <c r="H908" s="154"/>
      <c r="K908" s="154"/>
      <c r="N908" s="154"/>
      <c r="Q908" s="154"/>
      <c r="T908" s="154"/>
      <c r="V908" s="80"/>
    </row>
    <row r="909" spans="8:22">
      <c r="H909" s="154"/>
      <c r="K909" s="154"/>
      <c r="N909" s="154"/>
      <c r="Q909" s="154"/>
      <c r="T909" s="154"/>
      <c r="V909" s="80"/>
    </row>
    <row r="910" spans="8:22">
      <c r="H910" s="154"/>
      <c r="K910" s="154"/>
      <c r="N910" s="154"/>
      <c r="Q910" s="154"/>
      <c r="T910" s="154"/>
      <c r="V910" s="80"/>
    </row>
    <row r="911" spans="8:22">
      <c r="H911" s="154"/>
      <c r="K911" s="154"/>
      <c r="N911" s="154"/>
      <c r="Q911" s="154"/>
      <c r="T911" s="154"/>
      <c r="V911" s="80"/>
    </row>
    <row r="912" spans="8:22">
      <c r="H912" s="154"/>
      <c r="K912" s="154"/>
      <c r="N912" s="154"/>
      <c r="Q912" s="154"/>
      <c r="T912" s="154"/>
      <c r="V912" s="80"/>
    </row>
    <row r="913" spans="8:22">
      <c r="H913" s="154"/>
      <c r="K913" s="154"/>
      <c r="N913" s="154"/>
      <c r="Q913" s="154"/>
      <c r="T913" s="154"/>
      <c r="V913" s="80"/>
    </row>
    <row r="914" spans="8:22">
      <c r="H914" s="154"/>
      <c r="K914" s="154"/>
      <c r="N914" s="154"/>
      <c r="Q914" s="154"/>
      <c r="T914" s="154"/>
      <c r="V914" s="80"/>
    </row>
    <row r="915" spans="8:22">
      <c r="H915" s="154"/>
      <c r="K915" s="154"/>
      <c r="N915" s="154"/>
      <c r="Q915" s="154"/>
      <c r="T915" s="154"/>
      <c r="V915" s="80"/>
    </row>
    <row r="916" spans="8:22">
      <c r="H916" s="154"/>
      <c r="K916" s="154"/>
      <c r="N916" s="154"/>
      <c r="Q916" s="154"/>
      <c r="T916" s="154"/>
      <c r="V916" s="80"/>
    </row>
    <row r="917" spans="8:22">
      <c r="H917" s="154"/>
      <c r="K917" s="154"/>
      <c r="N917" s="154"/>
      <c r="Q917" s="154"/>
      <c r="T917" s="154"/>
      <c r="V917" s="80"/>
    </row>
    <row r="918" spans="8:22">
      <c r="H918" s="154"/>
      <c r="K918" s="154"/>
      <c r="N918" s="154"/>
      <c r="Q918" s="154"/>
      <c r="T918" s="154"/>
      <c r="V918" s="80"/>
    </row>
    <row r="919" spans="8:22">
      <c r="H919" s="154"/>
      <c r="K919" s="154"/>
      <c r="N919" s="154"/>
      <c r="Q919" s="154"/>
      <c r="T919" s="154"/>
      <c r="V919" s="80"/>
    </row>
    <row r="920" spans="8:22">
      <c r="H920" s="154"/>
      <c r="K920" s="154"/>
      <c r="N920" s="154"/>
      <c r="Q920" s="154"/>
      <c r="T920" s="154"/>
      <c r="V920" s="80"/>
    </row>
    <row r="921" spans="8:22">
      <c r="H921" s="154"/>
      <c r="K921" s="154"/>
      <c r="N921" s="154"/>
      <c r="Q921" s="154"/>
      <c r="T921" s="154"/>
      <c r="V921" s="80"/>
    </row>
    <row r="922" spans="8:22">
      <c r="H922" s="154"/>
      <c r="K922" s="154"/>
      <c r="N922" s="154"/>
      <c r="Q922" s="154"/>
      <c r="T922" s="154"/>
      <c r="V922" s="80"/>
    </row>
    <row r="923" spans="8:22">
      <c r="H923" s="154"/>
      <c r="K923" s="154"/>
      <c r="N923" s="154"/>
      <c r="Q923" s="154"/>
      <c r="T923" s="154"/>
      <c r="V923" s="80"/>
    </row>
    <row r="924" spans="8:22">
      <c r="H924" s="154"/>
      <c r="K924" s="154"/>
      <c r="N924" s="154"/>
      <c r="Q924" s="154"/>
      <c r="T924" s="154"/>
      <c r="V924" s="80"/>
    </row>
    <row r="925" spans="8:22">
      <c r="H925" s="154"/>
      <c r="K925" s="154"/>
      <c r="N925" s="154"/>
      <c r="Q925" s="154"/>
      <c r="T925" s="154"/>
      <c r="V925" s="80"/>
    </row>
    <row r="926" spans="8:22">
      <c r="H926" s="154"/>
      <c r="K926" s="154"/>
      <c r="N926" s="154"/>
      <c r="Q926" s="154"/>
      <c r="T926" s="154"/>
      <c r="V926" s="80"/>
    </row>
    <row r="927" spans="8:22">
      <c r="H927" s="154"/>
      <c r="K927" s="154"/>
      <c r="N927" s="154"/>
      <c r="Q927" s="154"/>
      <c r="T927" s="154"/>
      <c r="V927" s="80"/>
    </row>
    <row r="928" spans="8:22">
      <c r="H928" s="154"/>
      <c r="K928" s="154"/>
      <c r="N928" s="154"/>
      <c r="Q928" s="154"/>
      <c r="T928" s="154"/>
      <c r="V928" s="80"/>
    </row>
    <row r="929" spans="8:22">
      <c r="H929" s="154"/>
      <c r="K929" s="154"/>
      <c r="N929" s="154"/>
      <c r="Q929" s="154"/>
      <c r="T929" s="154"/>
      <c r="V929" s="80"/>
    </row>
    <row r="930" spans="8:22">
      <c r="H930" s="154"/>
      <c r="K930" s="154"/>
      <c r="N930" s="154"/>
      <c r="Q930" s="154"/>
      <c r="T930" s="154"/>
      <c r="V930" s="80"/>
    </row>
    <row r="931" spans="8:22">
      <c r="H931" s="154"/>
      <c r="K931" s="154"/>
      <c r="N931" s="154"/>
      <c r="Q931" s="154"/>
      <c r="T931" s="154"/>
      <c r="V931" s="80"/>
    </row>
    <row r="932" spans="8:22">
      <c r="H932" s="154"/>
      <c r="K932" s="154"/>
      <c r="N932" s="154"/>
      <c r="Q932" s="154"/>
      <c r="T932" s="154"/>
      <c r="V932" s="80"/>
    </row>
    <row r="933" spans="8:22">
      <c r="H933" s="154"/>
      <c r="K933" s="154"/>
      <c r="N933" s="154"/>
      <c r="Q933" s="154"/>
      <c r="T933" s="154"/>
      <c r="V933" s="80"/>
    </row>
    <row r="934" spans="8:22">
      <c r="H934" s="154"/>
      <c r="K934" s="154"/>
      <c r="N934" s="154"/>
      <c r="Q934" s="154"/>
      <c r="T934" s="154"/>
      <c r="V934" s="80"/>
    </row>
    <row r="935" spans="8:22">
      <c r="H935" s="154"/>
      <c r="K935" s="154"/>
      <c r="N935" s="154"/>
      <c r="Q935" s="154"/>
      <c r="T935" s="154"/>
      <c r="V935" s="80"/>
    </row>
    <row r="936" spans="8:22">
      <c r="H936" s="154"/>
      <c r="K936" s="154"/>
      <c r="N936" s="154"/>
      <c r="Q936" s="154"/>
      <c r="T936" s="154"/>
      <c r="V936" s="80"/>
    </row>
    <row r="937" spans="8:22">
      <c r="H937" s="154"/>
      <c r="K937" s="154"/>
      <c r="N937" s="154"/>
      <c r="Q937" s="154"/>
      <c r="T937" s="154"/>
      <c r="V937" s="80"/>
    </row>
    <row r="938" spans="8:22">
      <c r="H938" s="154"/>
      <c r="K938" s="154"/>
      <c r="N938" s="154"/>
      <c r="Q938" s="154"/>
      <c r="T938" s="154"/>
      <c r="V938" s="80"/>
    </row>
    <row r="939" spans="8:22">
      <c r="H939" s="154"/>
      <c r="K939" s="154"/>
      <c r="N939" s="154"/>
      <c r="Q939" s="154"/>
      <c r="T939" s="154"/>
      <c r="V939" s="80"/>
    </row>
    <row r="940" spans="8:22">
      <c r="H940" s="154"/>
      <c r="K940" s="154"/>
      <c r="N940" s="154"/>
      <c r="Q940" s="154"/>
      <c r="T940" s="154"/>
      <c r="V940" s="80"/>
    </row>
    <row r="941" spans="8:22">
      <c r="H941" s="154"/>
      <c r="K941" s="154"/>
      <c r="N941" s="154"/>
      <c r="Q941" s="154"/>
      <c r="T941" s="154"/>
      <c r="V941" s="80"/>
    </row>
    <row r="942" spans="8:22">
      <c r="H942" s="154"/>
      <c r="K942" s="154"/>
      <c r="N942" s="154"/>
      <c r="Q942" s="154"/>
      <c r="T942" s="154"/>
      <c r="V942" s="80"/>
    </row>
    <row r="943" spans="8:22">
      <c r="H943" s="154"/>
      <c r="K943" s="154"/>
      <c r="N943" s="154"/>
      <c r="Q943" s="154"/>
      <c r="T943" s="154"/>
      <c r="V943" s="80"/>
    </row>
    <row r="944" spans="8:22">
      <c r="H944" s="154"/>
      <c r="K944" s="154"/>
      <c r="N944" s="154"/>
      <c r="Q944" s="154"/>
      <c r="T944" s="154"/>
      <c r="V944" s="80"/>
    </row>
    <row r="945" spans="8:22">
      <c r="H945" s="154"/>
      <c r="K945" s="154"/>
      <c r="N945" s="154"/>
      <c r="Q945" s="154"/>
      <c r="T945" s="154"/>
      <c r="V945" s="80"/>
    </row>
    <row r="946" spans="8:22">
      <c r="H946" s="154"/>
      <c r="K946" s="154"/>
      <c r="N946" s="154"/>
      <c r="Q946" s="154"/>
      <c r="T946" s="154"/>
      <c r="V946" s="80"/>
    </row>
    <row r="947" spans="8:22">
      <c r="H947" s="154"/>
      <c r="K947" s="154"/>
      <c r="N947" s="154"/>
      <c r="Q947" s="154"/>
      <c r="T947" s="154"/>
      <c r="V947" s="80"/>
    </row>
    <row r="948" spans="8:22">
      <c r="H948" s="154"/>
      <c r="K948" s="154"/>
      <c r="N948" s="154"/>
      <c r="Q948" s="154"/>
      <c r="T948" s="154"/>
      <c r="V948" s="80"/>
    </row>
    <row r="949" spans="8:22">
      <c r="H949" s="154"/>
      <c r="K949" s="154"/>
      <c r="N949" s="154"/>
      <c r="Q949" s="154"/>
      <c r="T949" s="154"/>
      <c r="V949" s="80"/>
    </row>
    <row r="950" spans="8:22">
      <c r="H950" s="154"/>
      <c r="K950" s="154"/>
      <c r="N950" s="154"/>
      <c r="Q950" s="154"/>
      <c r="T950" s="154"/>
      <c r="V950" s="80"/>
    </row>
    <row r="951" spans="8:22">
      <c r="H951" s="154"/>
      <c r="K951" s="154"/>
      <c r="N951" s="154"/>
      <c r="Q951" s="154"/>
      <c r="T951" s="154"/>
      <c r="V951" s="80"/>
    </row>
    <row r="952" spans="8:22">
      <c r="H952" s="154"/>
      <c r="K952" s="154"/>
      <c r="N952" s="154"/>
      <c r="Q952" s="154"/>
      <c r="T952" s="154"/>
      <c r="V952" s="80"/>
    </row>
    <row r="953" spans="8:22">
      <c r="H953" s="154"/>
      <c r="K953" s="154"/>
      <c r="N953" s="154"/>
      <c r="Q953" s="154"/>
      <c r="T953" s="154"/>
      <c r="V953" s="80"/>
    </row>
    <row r="954" spans="8:22">
      <c r="H954" s="154"/>
      <c r="K954" s="154"/>
      <c r="N954" s="154"/>
      <c r="Q954" s="154"/>
      <c r="T954" s="154"/>
      <c r="V954" s="80"/>
    </row>
    <row r="955" spans="8:22">
      <c r="H955" s="154"/>
      <c r="K955" s="154"/>
      <c r="N955" s="154"/>
      <c r="Q955" s="154"/>
      <c r="T955" s="154"/>
      <c r="V955" s="80"/>
    </row>
    <row r="956" spans="8:22">
      <c r="H956" s="154"/>
      <c r="K956" s="154"/>
      <c r="N956" s="154"/>
      <c r="Q956" s="154"/>
      <c r="T956" s="154"/>
      <c r="V956" s="80"/>
    </row>
    <row r="957" spans="8:22">
      <c r="H957" s="154"/>
      <c r="K957" s="154"/>
      <c r="N957" s="154"/>
      <c r="Q957" s="154"/>
      <c r="T957" s="154"/>
      <c r="V957" s="80"/>
    </row>
    <row r="958" spans="8:22">
      <c r="H958" s="154"/>
      <c r="K958" s="154"/>
      <c r="N958" s="154"/>
      <c r="Q958" s="154"/>
      <c r="T958" s="154"/>
      <c r="V958" s="80"/>
    </row>
    <row r="959" spans="8:22">
      <c r="H959" s="154"/>
      <c r="K959" s="154"/>
      <c r="N959" s="154"/>
      <c r="Q959" s="154"/>
      <c r="T959" s="154"/>
      <c r="V959" s="80"/>
    </row>
    <row r="960" spans="8:22">
      <c r="H960" s="154"/>
      <c r="K960" s="154"/>
      <c r="N960" s="154"/>
      <c r="Q960" s="154"/>
      <c r="T960" s="154"/>
      <c r="V960" s="80"/>
    </row>
    <row r="961" spans="8:22">
      <c r="H961" s="154"/>
      <c r="K961" s="154"/>
      <c r="N961" s="154"/>
      <c r="Q961" s="154"/>
      <c r="T961" s="154"/>
      <c r="V961" s="80"/>
    </row>
    <row r="962" spans="8:22">
      <c r="H962" s="154"/>
      <c r="K962" s="154"/>
      <c r="N962" s="154"/>
      <c r="Q962" s="154"/>
      <c r="T962" s="154"/>
      <c r="V962" s="80"/>
    </row>
    <row r="963" spans="8:22">
      <c r="H963" s="154"/>
      <c r="K963" s="154"/>
      <c r="N963" s="154"/>
      <c r="Q963" s="154"/>
      <c r="T963" s="154"/>
      <c r="V963" s="80"/>
    </row>
    <row r="964" spans="8:22">
      <c r="H964" s="154"/>
      <c r="K964" s="154"/>
      <c r="N964" s="154"/>
      <c r="Q964" s="154"/>
      <c r="T964" s="154"/>
      <c r="V964" s="80"/>
    </row>
    <row r="965" spans="8:22">
      <c r="H965" s="154"/>
      <c r="K965" s="154"/>
      <c r="N965" s="154"/>
      <c r="Q965" s="154"/>
      <c r="T965" s="154"/>
      <c r="V965" s="80"/>
    </row>
    <row r="966" spans="8:22">
      <c r="H966" s="154"/>
      <c r="K966" s="154"/>
      <c r="N966" s="154"/>
      <c r="Q966" s="154"/>
      <c r="T966" s="154"/>
      <c r="V966" s="80"/>
    </row>
    <row r="967" spans="8:22">
      <c r="H967" s="154"/>
      <c r="K967" s="154"/>
      <c r="N967" s="154"/>
      <c r="Q967" s="154"/>
      <c r="T967" s="154"/>
      <c r="V967" s="80"/>
    </row>
    <row r="968" spans="8:22">
      <c r="H968" s="154"/>
      <c r="K968" s="154"/>
      <c r="N968" s="154"/>
      <c r="Q968" s="154"/>
      <c r="T968" s="154"/>
      <c r="V968" s="80"/>
    </row>
    <row r="969" spans="8:22">
      <c r="H969" s="154"/>
      <c r="K969" s="154"/>
      <c r="N969" s="154"/>
      <c r="Q969" s="154"/>
      <c r="T969" s="154"/>
      <c r="V969" s="80"/>
    </row>
    <row r="970" spans="8:22">
      <c r="H970" s="154"/>
      <c r="K970" s="154"/>
      <c r="N970" s="154"/>
      <c r="Q970" s="154"/>
      <c r="T970" s="154"/>
      <c r="V970" s="80"/>
    </row>
    <row r="971" spans="8:22">
      <c r="H971" s="154"/>
      <c r="K971" s="154"/>
      <c r="N971" s="154"/>
      <c r="Q971" s="154"/>
      <c r="T971" s="154"/>
      <c r="V971" s="80"/>
    </row>
    <row r="972" spans="8:22">
      <c r="H972" s="154"/>
      <c r="K972" s="154"/>
      <c r="N972" s="154"/>
      <c r="Q972" s="154"/>
      <c r="T972" s="154"/>
      <c r="V972" s="80"/>
    </row>
    <row r="973" spans="8:22">
      <c r="H973" s="154"/>
      <c r="K973" s="154"/>
      <c r="N973" s="154"/>
      <c r="Q973" s="154"/>
      <c r="T973" s="154"/>
      <c r="V973" s="80"/>
    </row>
    <row r="974" spans="8:22">
      <c r="H974" s="154"/>
      <c r="K974" s="154"/>
      <c r="N974" s="154"/>
      <c r="Q974" s="154"/>
      <c r="T974" s="154"/>
      <c r="V974" s="80"/>
    </row>
    <row r="975" spans="8:22">
      <c r="H975" s="154"/>
      <c r="K975" s="154"/>
      <c r="N975" s="154"/>
      <c r="Q975" s="154"/>
      <c r="T975" s="154"/>
      <c r="V975" s="80"/>
    </row>
    <row r="976" spans="8:22">
      <c r="H976" s="154"/>
      <c r="K976" s="154"/>
      <c r="N976" s="154"/>
      <c r="Q976" s="154"/>
      <c r="T976" s="154"/>
      <c r="V976" s="80"/>
    </row>
    <row r="977" spans="8:22">
      <c r="H977" s="154"/>
      <c r="K977" s="154"/>
      <c r="N977" s="154"/>
      <c r="Q977" s="154"/>
      <c r="T977" s="154"/>
      <c r="V977" s="80"/>
    </row>
    <row r="978" spans="8:22">
      <c r="H978" s="154"/>
      <c r="K978" s="154"/>
      <c r="N978" s="154"/>
      <c r="Q978" s="154"/>
      <c r="T978" s="154"/>
      <c r="V978" s="80"/>
    </row>
    <row r="979" spans="8:22">
      <c r="H979" s="154"/>
      <c r="K979" s="154"/>
      <c r="N979" s="154"/>
      <c r="Q979" s="154"/>
      <c r="T979" s="154"/>
      <c r="V979" s="80"/>
    </row>
    <row r="980" spans="8:22">
      <c r="H980" s="154"/>
      <c r="K980" s="154"/>
      <c r="N980" s="154"/>
      <c r="Q980" s="154"/>
      <c r="T980" s="154"/>
      <c r="V980" s="80"/>
    </row>
    <row r="981" spans="8:22">
      <c r="H981" s="154"/>
      <c r="K981" s="154"/>
      <c r="N981" s="154"/>
      <c r="Q981" s="154"/>
      <c r="T981" s="154"/>
      <c r="V981" s="80"/>
    </row>
    <row r="982" spans="8:22">
      <c r="H982" s="154"/>
      <c r="K982" s="154"/>
      <c r="N982" s="154"/>
      <c r="Q982" s="154"/>
      <c r="T982" s="154"/>
      <c r="V982" s="80"/>
    </row>
    <row r="983" spans="8:22">
      <c r="H983" s="154"/>
      <c r="K983" s="154"/>
      <c r="N983" s="154"/>
      <c r="Q983" s="154"/>
      <c r="T983" s="154"/>
      <c r="V983" s="80"/>
    </row>
    <row r="984" spans="8:22">
      <c r="H984" s="154"/>
      <c r="K984" s="154"/>
      <c r="N984" s="154"/>
      <c r="Q984" s="154"/>
      <c r="T984" s="154"/>
      <c r="V984" s="80"/>
    </row>
    <row r="985" spans="8:22">
      <c r="H985" s="154"/>
      <c r="K985" s="154"/>
      <c r="N985" s="154"/>
      <c r="Q985" s="154"/>
      <c r="T985" s="154"/>
      <c r="V985" s="80"/>
    </row>
    <row r="986" spans="8:22">
      <c r="H986" s="154"/>
      <c r="K986" s="154"/>
      <c r="N986" s="154"/>
      <c r="Q986" s="154"/>
      <c r="T986" s="154"/>
      <c r="V986" s="80"/>
    </row>
    <row r="987" spans="8:22">
      <c r="H987" s="154"/>
      <c r="K987" s="154"/>
      <c r="N987" s="154"/>
      <c r="Q987" s="154"/>
      <c r="T987" s="154"/>
      <c r="V987" s="80"/>
    </row>
    <row r="988" spans="8:22">
      <c r="H988" s="154"/>
      <c r="K988" s="154"/>
      <c r="N988" s="154"/>
      <c r="Q988" s="154"/>
      <c r="T988" s="154"/>
      <c r="V988" s="80"/>
    </row>
    <row r="989" spans="8:22">
      <c r="H989" s="154"/>
      <c r="K989" s="154"/>
      <c r="N989" s="154"/>
      <c r="Q989" s="154"/>
      <c r="T989" s="154"/>
      <c r="V989" s="80"/>
    </row>
    <row r="990" spans="8:22">
      <c r="H990" s="154"/>
      <c r="K990" s="154"/>
      <c r="N990" s="154"/>
      <c r="Q990" s="154"/>
      <c r="T990" s="154"/>
      <c r="V990" s="80"/>
    </row>
    <row r="991" spans="8:22">
      <c r="H991" s="154"/>
      <c r="K991" s="154"/>
      <c r="N991" s="154"/>
      <c r="Q991" s="154"/>
      <c r="T991" s="154"/>
      <c r="V991" s="80"/>
    </row>
    <row r="992" spans="8:22">
      <c r="H992" s="154"/>
      <c r="K992" s="154"/>
      <c r="N992" s="154"/>
      <c r="Q992" s="154"/>
      <c r="T992" s="154"/>
      <c r="V992" s="80"/>
    </row>
    <row r="993" spans="8:22">
      <c r="H993" s="154"/>
      <c r="K993" s="154"/>
      <c r="N993" s="154"/>
      <c r="Q993" s="154"/>
      <c r="T993" s="154"/>
      <c r="V993" s="80"/>
    </row>
    <row r="994" spans="8:22">
      <c r="H994" s="154"/>
      <c r="K994" s="154"/>
      <c r="N994" s="154"/>
      <c r="Q994" s="154"/>
      <c r="T994" s="154"/>
      <c r="V994" s="80"/>
    </row>
    <row r="995" spans="8:22">
      <c r="H995" s="154"/>
      <c r="K995" s="154"/>
      <c r="N995" s="154"/>
      <c r="Q995" s="154"/>
      <c r="T995" s="154"/>
      <c r="V995" s="80"/>
    </row>
    <row r="996" spans="8:22">
      <c r="H996" s="154"/>
      <c r="K996" s="154"/>
      <c r="N996" s="154"/>
      <c r="Q996" s="154"/>
      <c r="T996" s="154"/>
      <c r="V996" s="80"/>
    </row>
    <row r="997" spans="8:22">
      <c r="H997" s="154"/>
      <c r="K997" s="154"/>
      <c r="N997" s="154"/>
      <c r="Q997" s="154"/>
      <c r="T997" s="154"/>
      <c r="V997" s="80"/>
    </row>
    <row r="998" spans="8:22">
      <c r="H998" s="154"/>
      <c r="K998" s="154"/>
      <c r="N998" s="154"/>
      <c r="Q998" s="154"/>
      <c r="T998" s="154"/>
      <c r="V998" s="80"/>
    </row>
    <row r="999" spans="8:22">
      <c r="H999" s="154"/>
      <c r="K999" s="154"/>
      <c r="N999" s="154"/>
      <c r="Q999" s="154"/>
      <c r="T999" s="154"/>
      <c r="V999" s="80"/>
    </row>
    <row r="1000" spans="8:22">
      <c r="H1000" s="154"/>
      <c r="K1000" s="154"/>
      <c r="N1000" s="154"/>
      <c r="Q1000" s="154"/>
      <c r="T1000" s="154"/>
      <c r="V1000" s="80"/>
    </row>
    <row r="1001" spans="8:22">
      <c r="H1001" s="154"/>
      <c r="K1001" s="154"/>
      <c r="N1001" s="154"/>
      <c r="Q1001" s="154"/>
      <c r="T1001" s="154"/>
      <c r="V1001" s="80"/>
    </row>
    <row r="1002" spans="8:22">
      <c r="H1002" s="154"/>
      <c r="K1002" s="154"/>
      <c r="N1002" s="154"/>
      <c r="Q1002" s="154"/>
      <c r="T1002" s="154"/>
      <c r="V1002" s="80"/>
    </row>
    <row r="1003" spans="8:22">
      <c r="H1003" s="154"/>
      <c r="K1003" s="154"/>
      <c r="N1003" s="154"/>
      <c r="Q1003" s="154"/>
      <c r="T1003" s="154"/>
      <c r="V1003" s="80"/>
    </row>
    <row r="1004" spans="8:22">
      <c r="H1004" s="154"/>
      <c r="K1004" s="154"/>
      <c r="N1004" s="154"/>
      <c r="Q1004" s="154"/>
      <c r="T1004" s="154"/>
      <c r="V1004" s="80"/>
    </row>
    <row r="1005" spans="8:22">
      <c r="H1005" s="154"/>
      <c r="K1005" s="154"/>
      <c r="N1005" s="154"/>
      <c r="Q1005" s="154"/>
      <c r="T1005" s="154"/>
      <c r="V1005" s="80"/>
    </row>
    <row r="1006" spans="8:22">
      <c r="H1006" s="154"/>
      <c r="K1006" s="154"/>
      <c r="N1006" s="154"/>
      <c r="Q1006" s="154"/>
      <c r="T1006" s="154"/>
      <c r="V1006" s="80"/>
    </row>
    <row r="1007" spans="8:22">
      <c r="H1007" s="154"/>
      <c r="K1007" s="154"/>
      <c r="N1007" s="154"/>
      <c r="Q1007" s="154"/>
      <c r="T1007" s="154"/>
      <c r="V1007" s="80"/>
    </row>
    <row r="1008" spans="8:22">
      <c r="H1008" s="154"/>
      <c r="K1008" s="154"/>
      <c r="N1008" s="154"/>
      <c r="Q1008" s="154"/>
      <c r="T1008" s="154"/>
      <c r="V1008" s="80"/>
    </row>
    <row r="1009" spans="8:22">
      <c r="H1009" s="154"/>
      <c r="K1009" s="154"/>
      <c r="N1009" s="154"/>
      <c r="Q1009" s="154"/>
      <c r="T1009" s="154"/>
      <c r="V1009" s="80"/>
    </row>
    <row r="1010" spans="8:22">
      <c r="H1010" s="154"/>
      <c r="K1010" s="154"/>
      <c r="N1010" s="154"/>
      <c r="Q1010" s="154"/>
      <c r="T1010" s="154"/>
      <c r="V1010" s="80"/>
    </row>
    <row r="1011" spans="8:22">
      <c r="H1011" s="154"/>
      <c r="K1011" s="154"/>
      <c r="N1011" s="154"/>
      <c r="Q1011" s="154"/>
      <c r="T1011" s="154"/>
      <c r="V1011" s="80"/>
    </row>
    <row r="1012" spans="8:22">
      <c r="H1012" s="154"/>
      <c r="K1012" s="154"/>
      <c r="N1012" s="154"/>
      <c r="Q1012" s="154"/>
      <c r="T1012" s="154"/>
      <c r="V1012" s="80"/>
    </row>
    <row r="1013" spans="8:22">
      <c r="H1013" s="154"/>
      <c r="K1013" s="154"/>
      <c r="N1013" s="154"/>
      <c r="Q1013" s="154"/>
      <c r="T1013" s="154"/>
      <c r="V1013" s="80"/>
    </row>
    <row r="1014" spans="8:22">
      <c r="H1014" s="154"/>
      <c r="K1014" s="154"/>
      <c r="N1014" s="154"/>
      <c r="Q1014" s="154"/>
      <c r="T1014" s="154"/>
      <c r="V1014" s="80"/>
    </row>
    <row r="1015" spans="8:22">
      <c r="H1015" s="154"/>
      <c r="K1015" s="154"/>
      <c r="N1015" s="154"/>
      <c r="Q1015" s="154"/>
      <c r="T1015" s="154"/>
      <c r="V1015" s="80"/>
    </row>
    <row r="1016" spans="8:22">
      <c r="H1016" s="154"/>
      <c r="K1016" s="154"/>
      <c r="N1016" s="154"/>
      <c r="Q1016" s="154"/>
      <c r="T1016" s="154"/>
      <c r="V1016" s="80"/>
    </row>
    <row r="1017" spans="8:22">
      <c r="H1017" s="154"/>
      <c r="K1017" s="154"/>
      <c r="N1017" s="154"/>
      <c r="Q1017" s="154"/>
      <c r="T1017" s="154"/>
      <c r="V1017" s="80"/>
    </row>
    <row r="1018" spans="8:22">
      <c r="H1018" s="154"/>
      <c r="K1018" s="154"/>
      <c r="N1018" s="154"/>
      <c r="Q1018" s="154"/>
      <c r="T1018" s="154"/>
      <c r="V1018" s="80"/>
    </row>
    <row r="1019" spans="8:22">
      <c r="H1019" s="154"/>
      <c r="K1019" s="154"/>
      <c r="N1019" s="154"/>
      <c r="Q1019" s="154"/>
      <c r="T1019" s="154"/>
      <c r="V1019" s="80"/>
    </row>
    <row r="1020" spans="8:22">
      <c r="H1020" s="154"/>
      <c r="K1020" s="154"/>
      <c r="N1020" s="154"/>
      <c r="Q1020" s="154"/>
      <c r="T1020" s="154"/>
      <c r="V1020" s="80"/>
    </row>
    <row r="1021" spans="8:22">
      <c r="H1021" s="154"/>
      <c r="K1021" s="154"/>
      <c r="N1021" s="154"/>
      <c r="Q1021" s="154"/>
      <c r="T1021" s="154"/>
      <c r="V1021" s="80"/>
    </row>
    <row r="1022" spans="8:22">
      <c r="H1022" s="154"/>
      <c r="K1022" s="154"/>
      <c r="N1022" s="154"/>
      <c r="Q1022" s="154"/>
      <c r="T1022" s="154"/>
      <c r="V1022" s="80"/>
    </row>
    <row r="1023" spans="8:22">
      <c r="H1023" s="154"/>
      <c r="K1023" s="154"/>
      <c r="N1023" s="154"/>
      <c r="Q1023" s="154"/>
      <c r="T1023" s="154"/>
      <c r="V1023" s="80"/>
    </row>
    <row r="1024" spans="8:22">
      <c r="H1024" s="154"/>
      <c r="K1024" s="154"/>
      <c r="N1024" s="154"/>
      <c r="Q1024" s="154"/>
      <c r="T1024" s="154"/>
      <c r="V1024" s="80"/>
    </row>
    <row r="1025" spans="8:22">
      <c r="H1025" s="154"/>
      <c r="K1025" s="154"/>
      <c r="N1025" s="154"/>
      <c r="Q1025" s="154"/>
      <c r="T1025" s="154"/>
      <c r="V1025" s="80"/>
    </row>
    <row r="1026" spans="8:22">
      <c r="H1026" s="154"/>
      <c r="K1026" s="154"/>
      <c r="N1026" s="154"/>
      <c r="Q1026" s="154"/>
      <c r="T1026" s="154"/>
      <c r="V1026" s="80"/>
    </row>
    <row r="1027" spans="8:22">
      <c r="H1027" s="154"/>
      <c r="K1027" s="154"/>
      <c r="N1027" s="154"/>
      <c r="Q1027" s="154"/>
      <c r="T1027" s="154"/>
      <c r="V1027" s="80"/>
    </row>
    <row r="1028" spans="8:22">
      <c r="H1028" s="154"/>
      <c r="K1028" s="154"/>
      <c r="N1028" s="154"/>
      <c r="Q1028" s="154"/>
      <c r="T1028" s="154"/>
      <c r="V1028" s="80"/>
    </row>
    <row r="1029" spans="8:22">
      <c r="H1029" s="154"/>
      <c r="K1029" s="154"/>
      <c r="N1029" s="154"/>
      <c r="Q1029" s="154"/>
      <c r="T1029" s="154"/>
      <c r="V1029" s="80"/>
    </row>
    <row r="1030" spans="8:22">
      <c r="H1030" s="154"/>
      <c r="K1030" s="154"/>
      <c r="N1030" s="154"/>
      <c r="Q1030" s="154"/>
      <c r="T1030" s="154"/>
      <c r="V1030" s="80"/>
    </row>
    <row r="1031" spans="8:22">
      <c r="H1031" s="154"/>
      <c r="K1031" s="154"/>
      <c r="N1031" s="154"/>
      <c r="Q1031" s="154"/>
      <c r="T1031" s="154"/>
      <c r="V1031" s="80"/>
    </row>
    <row r="1032" spans="8:22">
      <c r="H1032" s="154"/>
      <c r="K1032" s="154"/>
      <c r="N1032" s="154"/>
      <c r="Q1032" s="154"/>
      <c r="T1032" s="154"/>
      <c r="V1032" s="80"/>
    </row>
    <row r="1033" spans="8:22">
      <c r="H1033" s="154"/>
      <c r="K1033" s="154"/>
      <c r="N1033" s="154"/>
      <c r="Q1033" s="154"/>
      <c r="T1033" s="154"/>
      <c r="V1033" s="80"/>
    </row>
    <row r="1034" spans="8:22">
      <c r="H1034" s="154"/>
      <c r="K1034" s="154"/>
      <c r="N1034" s="154"/>
      <c r="Q1034" s="154"/>
      <c r="T1034" s="154"/>
      <c r="V1034" s="80"/>
    </row>
    <row r="1035" spans="8:22">
      <c r="H1035" s="154"/>
      <c r="K1035" s="154"/>
      <c r="N1035" s="154"/>
      <c r="Q1035" s="154"/>
      <c r="T1035" s="154"/>
      <c r="V1035" s="80"/>
    </row>
    <row r="1036" spans="8:22">
      <c r="H1036" s="154"/>
      <c r="K1036" s="154"/>
      <c r="N1036" s="154"/>
      <c r="Q1036" s="154"/>
      <c r="T1036" s="154"/>
      <c r="V1036" s="80"/>
    </row>
    <row r="1037" spans="8:22">
      <c r="H1037" s="154"/>
      <c r="K1037" s="154"/>
      <c r="N1037" s="154"/>
      <c r="Q1037" s="154"/>
      <c r="T1037" s="154"/>
      <c r="V1037" s="80"/>
    </row>
    <row r="1038" spans="8:22">
      <c r="H1038" s="154"/>
      <c r="K1038" s="154"/>
      <c r="N1038" s="154"/>
      <c r="Q1038" s="154"/>
      <c r="T1038" s="154"/>
      <c r="V1038" s="80"/>
    </row>
    <row r="1039" spans="8:22">
      <c r="H1039" s="154"/>
      <c r="K1039" s="154"/>
      <c r="N1039" s="154"/>
      <c r="Q1039" s="154"/>
      <c r="T1039" s="154"/>
      <c r="V1039" s="80"/>
    </row>
    <row r="1040" spans="8:22">
      <c r="H1040" s="154"/>
      <c r="K1040" s="154"/>
      <c r="N1040" s="154"/>
      <c r="Q1040" s="154"/>
      <c r="T1040" s="154"/>
      <c r="V1040" s="80"/>
    </row>
    <row r="1041" spans="8:22">
      <c r="H1041" s="154"/>
      <c r="K1041" s="154"/>
      <c r="N1041" s="154"/>
      <c r="Q1041" s="154"/>
      <c r="T1041" s="154"/>
      <c r="V1041" s="80"/>
    </row>
    <row r="1042" spans="8:22">
      <c r="H1042" s="154"/>
      <c r="K1042" s="154"/>
      <c r="N1042" s="154"/>
      <c r="Q1042" s="154"/>
      <c r="T1042" s="154"/>
      <c r="V1042" s="80"/>
    </row>
    <row r="1043" spans="8:22">
      <c r="H1043" s="154"/>
      <c r="K1043" s="154"/>
      <c r="N1043" s="154"/>
      <c r="Q1043" s="154"/>
      <c r="T1043" s="154"/>
      <c r="V1043" s="80"/>
    </row>
    <row r="1044" spans="8:22">
      <c r="H1044" s="154"/>
      <c r="K1044" s="154"/>
      <c r="N1044" s="154"/>
      <c r="Q1044" s="154"/>
      <c r="T1044" s="154"/>
      <c r="V1044" s="80"/>
    </row>
    <row r="1045" spans="8:22">
      <c r="H1045" s="154"/>
      <c r="K1045" s="154"/>
      <c r="N1045" s="154"/>
      <c r="Q1045" s="154"/>
      <c r="T1045" s="154"/>
      <c r="V1045" s="80"/>
    </row>
    <row r="1046" spans="8:22">
      <c r="H1046" s="154"/>
      <c r="K1046" s="154"/>
      <c r="N1046" s="154"/>
      <c r="Q1046" s="154"/>
      <c r="T1046" s="154"/>
      <c r="V1046" s="80"/>
    </row>
    <row r="1047" spans="8:22">
      <c r="H1047" s="154"/>
      <c r="K1047" s="154"/>
      <c r="N1047" s="154"/>
      <c r="Q1047" s="154"/>
      <c r="T1047" s="154"/>
      <c r="V1047" s="80"/>
    </row>
    <row r="1048" spans="8:22">
      <c r="H1048" s="154"/>
      <c r="K1048" s="154"/>
      <c r="N1048" s="154"/>
      <c r="Q1048" s="154"/>
      <c r="T1048" s="154"/>
      <c r="V1048" s="80"/>
    </row>
    <row r="1049" spans="8:22">
      <c r="H1049" s="154"/>
      <c r="K1049" s="154"/>
      <c r="N1049" s="154"/>
      <c r="Q1049" s="154"/>
      <c r="T1049" s="154"/>
      <c r="V1049" s="80"/>
    </row>
    <row r="1050" spans="8:22">
      <c r="H1050" s="154"/>
      <c r="K1050" s="154"/>
      <c r="N1050" s="154"/>
      <c r="Q1050" s="154"/>
      <c r="T1050" s="154"/>
      <c r="V1050" s="80"/>
    </row>
    <row r="1051" spans="8:22">
      <c r="H1051" s="154"/>
      <c r="K1051" s="154"/>
      <c r="N1051" s="154"/>
      <c r="Q1051" s="154"/>
      <c r="T1051" s="154"/>
      <c r="V1051" s="80"/>
    </row>
    <row r="1052" spans="8:22">
      <c r="H1052" s="154"/>
      <c r="K1052" s="154"/>
      <c r="N1052" s="154"/>
      <c r="Q1052" s="154"/>
      <c r="T1052" s="154"/>
      <c r="V1052" s="80"/>
    </row>
    <row r="1053" spans="8:22">
      <c r="H1053" s="154"/>
      <c r="K1053" s="154"/>
      <c r="N1053" s="154"/>
      <c r="Q1053" s="154"/>
      <c r="T1053" s="154"/>
      <c r="V1053" s="80"/>
    </row>
    <row r="1054" spans="8:22">
      <c r="H1054" s="154"/>
      <c r="K1054" s="154"/>
      <c r="N1054" s="154"/>
      <c r="Q1054" s="154"/>
      <c r="T1054" s="154"/>
      <c r="V1054" s="80"/>
    </row>
    <row r="1055" spans="8:22">
      <c r="H1055" s="154"/>
      <c r="K1055" s="154"/>
      <c r="N1055" s="154"/>
      <c r="Q1055" s="154"/>
      <c r="T1055" s="154"/>
      <c r="V1055" s="80"/>
    </row>
    <row r="1056" spans="8:22">
      <c r="H1056" s="154"/>
      <c r="K1056" s="154"/>
      <c r="N1056" s="154"/>
      <c r="Q1056" s="154"/>
      <c r="T1056" s="154"/>
      <c r="V1056" s="80"/>
    </row>
    <row r="1057" spans="8:22">
      <c r="H1057" s="154"/>
      <c r="K1057" s="154"/>
      <c r="N1057" s="154"/>
      <c r="Q1057" s="154"/>
      <c r="T1057" s="154"/>
      <c r="V1057" s="80"/>
    </row>
    <row r="1058" spans="8:22">
      <c r="H1058" s="154"/>
      <c r="K1058" s="154"/>
      <c r="N1058" s="154"/>
      <c r="Q1058" s="154"/>
      <c r="T1058" s="154"/>
      <c r="V1058" s="80"/>
    </row>
    <row r="1059" spans="8:22">
      <c r="H1059" s="154"/>
      <c r="K1059" s="154"/>
      <c r="N1059" s="154"/>
      <c r="Q1059" s="154"/>
      <c r="T1059" s="154"/>
      <c r="V1059" s="80"/>
    </row>
    <row r="1060" spans="8:22">
      <c r="H1060" s="154"/>
      <c r="K1060" s="154"/>
      <c r="N1060" s="154"/>
      <c r="Q1060" s="154"/>
      <c r="T1060" s="154"/>
      <c r="V1060" s="80"/>
    </row>
    <row r="1061" spans="8:22">
      <c r="H1061" s="154"/>
      <c r="K1061" s="154"/>
      <c r="N1061" s="154"/>
      <c r="Q1061" s="154"/>
      <c r="T1061" s="154"/>
      <c r="V1061" s="80"/>
    </row>
    <row r="1062" spans="8:22">
      <c r="H1062" s="154"/>
      <c r="K1062" s="154"/>
      <c r="N1062" s="154"/>
      <c r="Q1062" s="154"/>
      <c r="T1062" s="154"/>
      <c r="V1062" s="80"/>
    </row>
    <row r="1063" spans="8:22">
      <c r="H1063" s="154"/>
      <c r="K1063" s="154"/>
      <c r="N1063" s="154"/>
      <c r="Q1063" s="154"/>
      <c r="T1063" s="154"/>
      <c r="V1063" s="80"/>
    </row>
    <row r="1064" spans="8:22">
      <c r="H1064" s="154"/>
      <c r="K1064" s="154"/>
      <c r="N1064" s="154"/>
      <c r="Q1064" s="154"/>
      <c r="T1064" s="154"/>
      <c r="V1064" s="80"/>
    </row>
    <row r="1065" spans="8:22">
      <c r="H1065" s="154"/>
      <c r="K1065" s="154"/>
      <c r="N1065" s="154"/>
      <c r="Q1065" s="154"/>
      <c r="T1065" s="154"/>
      <c r="V1065" s="80"/>
    </row>
    <row r="1066" spans="8:22">
      <c r="H1066" s="154"/>
      <c r="K1066" s="154"/>
      <c r="N1066" s="154"/>
      <c r="Q1066" s="154"/>
      <c r="T1066" s="154"/>
      <c r="V1066" s="80"/>
    </row>
    <row r="1067" spans="8:22">
      <c r="H1067" s="154"/>
      <c r="K1067" s="154"/>
      <c r="N1067" s="154"/>
      <c r="Q1067" s="154"/>
      <c r="T1067" s="154"/>
      <c r="V1067" s="80"/>
    </row>
    <row r="1068" spans="8:22">
      <c r="H1068" s="154"/>
      <c r="K1068" s="154"/>
      <c r="N1068" s="154"/>
      <c r="Q1068" s="154"/>
      <c r="T1068" s="154"/>
      <c r="V1068" s="80"/>
    </row>
    <row r="1069" spans="8:22">
      <c r="H1069" s="154"/>
      <c r="K1069" s="154"/>
      <c r="N1069" s="154"/>
      <c r="Q1069" s="154"/>
      <c r="T1069" s="154"/>
      <c r="V1069" s="80"/>
    </row>
    <row r="1070" spans="8:22">
      <c r="H1070" s="154"/>
      <c r="K1070" s="154"/>
      <c r="N1070" s="154"/>
      <c r="Q1070" s="154"/>
      <c r="T1070" s="154"/>
      <c r="V1070" s="80"/>
    </row>
    <row r="1071" spans="8:22">
      <c r="H1071" s="154"/>
      <c r="K1071" s="154"/>
      <c r="N1071" s="154"/>
      <c r="Q1071" s="154"/>
      <c r="T1071" s="154"/>
      <c r="V1071" s="80"/>
    </row>
    <row r="1072" spans="8:22">
      <c r="H1072" s="154"/>
      <c r="K1072" s="154"/>
      <c r="N1072" s="154"/>
      <c r="Q1072" s="154"/>
      <c r="T1072" s="154"/>
      <c r="V1072" s="80"/>
    </row>
    <row r="1073" spans="8:22">
      <c r="H1073" s="154"/>
      <c r="K1073" s="154"/>
      <c r="N1073" s="154"/>
      <c r="Q1073" s="154"/>
      <c r="T1073" s="154"/>
      <c r="V1073" s="80"/>
    </row>
    <row r="1074" spans="8:22">
      <c r="H1074" s="154"/>
      <c r="K1074" s="154"/>
      <c r="N1074" s="154"/>
      <c r="Q1074" s="154"/>
      <c r="T1074" s="154"/>
      <c r="V1074" s="80"/>
    </row>
    <row r="1075" spans="8:22">
      <c r="H1075" s="154"/>
      <c r="K1075" s="154"/>
      <c r="N1075" s="154"/>
      <c r="Q1075" s="154"/>
      <c r="T1075" s="154"/>
      <c r="V1075" s="80"/>
    </row>
    <row r="1076" spans="8:22">
      <c r="H1076" s="154"/>
      <c r="K1076" s="154"/>
      <c r="N1076" s="154"/>
      <c r="Q1076" s="154"/>
      <c r="T1076" s="154"/>
      <c r="V1076" s="80"/>
    </row>
    <row r="1077" spans="8:22">
      <c r="H1077" s="154"/>
      <c r="K1077" s="154"/>
      <c r="N1077" s="154"/>
      <c r="Q1077" s="154"/>
      <c r="T1077" s="154"/>
      <c r="V1077" s="80"/>
    </row>
    <row r="1078" spans="8:22">
      <c r="H1078" s="154"/>
      <c r="K1078" s="154"/>
      <c r="N1078" s="154"/>
      <c r="Q1078" s="154"/>
      <c r="T1078" s="154"/>
      <c r="V1078" s="80"/>
    </row>
    <row r="1079" spans="8:22">
      <c r="H1079" s="154"/>
      <c r="K1079" s="154"/>
      <c r="N1079" s="154"/>
      <c r="Q1079" s="154"/>
      <c r="T1079" s="154"/>
      <c r="V1079" s="80"/>
    </row>
    <row r="1080" spans="8:22">
      <c r="H1080" s="154"/>
      <c r="K1080" s="154"/>
      <c r="N1080" s="154"/>
      <c r="Q1080" s="154"/>
      <c r="T1080" s="154"/>
      <c r="V1080" s="80"/>
    </row>
    <row r="1081" spans="8:22">
      <c r="H1081" s="154"/>
      <c r="K1081" s="154"/>
      <c r="N1081" s="154"/>
      <c r="Q1081" s="154"/>
      <c r="T1081" s="154"/>
      <c r="V1081" s="80"/>
    </row>
    <row r="1082" spans="8:22">
      <c r="H1082" s="154"/>
      <c r="K1082" s="154"/>
      <c r="N1082" s="154"/>
      <c r="Q1082" s="154"/>
      <c r="T1082" s="154"/>
      <c r="V1082" s="80"/>
    </row>
    <row r="1083" spans="8:22">
      <c r="H1083" s="154"/>
      <c r="K1083" s="154"/>
      <c r="N1083" s="154"/>
      <c r="Q1083" s="154"/>
      <c r="T1083" s="154"/>
      <c r="V1083" s="80"/>
    </row>
    <row r="1084" spans="8:22">
      <c r="H1084" s="154"/>
      <c r="K1084" s="154"/>
      <c r="N1084" s="154"/>
      <c r="Q1084" s="154"/>
      <c r="T1084" s="154"/>
      <c r="V1084" s="80"/>
    </row>
    <row r="1085" spans="8:22">
      <c r="H1085" s="154"/>
      <c r="K1085" s="154"/>
      <c r="N1085" s="154"/>
      <c r="Q1085" s="154"/>
      <c r="T1085" s="154"/>
      <c r="V1085" s="80"/>
    </row>
    <row r="1086" spans="8:22">
      <c r="H1086" s="154"/>
      <c r="K1086" s="154"/>
      <c r="N1086" s="154"/>
      <c r="Q1086" s="154"/>
      <c r="T1086" s="154"/>
      <c r="V1086" s="80"/>
    </row>
    <row r="1087" spans="8:22">
      <c r="H1087" s="154"/>
      <c r="K1087" s="154"/>
      <c r="N1087" s="154"/>
      <c r="Q1087" s="154"/>
      <c r="T1087" s="154"/>
      <c r="V1087" s="80"/>
    </row>
    <row r="1088" spans="8:22">
      <c r="H1088" s="154"/>
      <c r="K1088" s="154"/>
      <c r="N1088" s="154"/>
      <c r="Q1088" s="154"/>
      <c r="T1088" s="154"/>
      <c r="V1088" s="80"/>
    </row>
    <row r="1089" spans="8:22">
      <c r="H1089" s="154"/>
      <c r="K1089" s="154"/>
      <c r="N1089" s="154"/>
      <c r="Q1089" s="154"/>
      <c r="T1089" s="154"/>
      <c r="V1089" s="80"/>
    </row>
    <row r="1090" spans="8:22">
      <c r="H1090" s="154"/>
      <c r="K1090" s="154"/>
      <c r="N1090" s="154"/>
      <c r="Q1090" s="154"/>
      <c r="T1090" s="154"/>
      <c r="V1090" s="80"/>
    </row>
    <row r="1091" spans="8:22">
      <c r="H1091" s="154"/>
      <c r="K1091" s="154"/>
      <c r="N1091" s="154"/>
      <c r="Q1091" s="154"/>
      <c r="T1091" s="154"/>
      <c r="V1091" s="80"/>
    </row>
    <row r="1092" spans="8:22">
      <c r="H1092" s="154"/>
      <c r="K1092" s="154"/>
      <c r="N1092" s="154"/>
      <c r="Q1092" s="154"/>
      <c r="T1092" s="154"/>
      <c r="V1092" s="80"/>
    </row>
    <row r="1093" spans="8:22">
      <c r="H1093" s="154"/>
      <c r="K1093" s="154"/>
      <c r="N1093" s="154"/>
      <c r="Q1093" s="154"/>
      <c r="T1093" s="154"/>
      <c r="V1093" s="80"/>
    </row>
    <row r="1094" spans="8:22">
      <c r="H1094" s="154"/>
      <c r="K1094" s="154"/>
      <c r="N1094" s="154"/>
      <c r="Q1094" s="154"/>
      <c r="T1094" s="154"/>
      <c r="V1094" s="80"/>
    </row>
    <row r="1095" spans="8:22">
      <c r="H1095" s="154"/>
      <c r="K1095" s="154"/>
      <c r="N1095" s="154"/>
      <c r="Q1095" s="154"/>
      <c r="T1095" s="154"/>
      <c r="V1095" s="80"/>
    </row>
    <row r="1096" spans="8:22">
      <c r="H1096" s="154"/>
      <c r="K1096" s="154"/>
      <c r="N1096" s="154"/>
      <c r="Q1096" s="154"/>
      <c r="T1096" s="154"/>
      <c r="V1096" s="80"/>
    </row>
    <row r="1097" spans="8:22">
      <c r="H1097" s="154"/>
      <c r="K1097" s="154"/>
      <c r="N1097" s="154"/>
      <c r="Q1097" s="154"/>
      <c r="T1097" s="154"/>
      <c r="V1097" s="80"/>
    </row>
    <row r="1098" spans="8:22">
      <c r="H1098" s="154"/>
      <c r="K1098" s="154"/>
      <c r="N1098" s="154"/>
      <c r="Q1098" s="154"/>
      <c r="T1098" s="154"/>
      <c r="V1098" s="80"/>
    </row>
    <row r="1099" spans="8:22">
      <c r="H1099" s="154"/>
      <c r="K1099" s="154"/>
      <c r="N1099" s="154"/>
      <c r="Q1099" s="154"/>
      <c r="T1099" s="154"/>
      <c r="V1099" s="80"/>
    </row>
    <row r="1100" spans="8:22">
      <c r="H1100" s="154"/>
      <c r="K1100" s="154"/>
      <c r="N1100" s="154"/>
      <c r="Q1100" s="154"/>
      <c r="T1100" s="154"/>
      <c r="V1100" s="80"/>
    </row>
    <row r="1101" spans="8:22">
      <c r="H1101" s="154"/>
      <c r="K1101" s="154"/>
      <c r="N1101" s="154"/>
      <c r="Q1101" s="154"/>
      <c r="T1101" s="154"/>
      <c r="V1101" s="80"/>
    </row>
    <row r="1102" spans="8:22">
      <c r="H1102" s="154"/>
      <c r="K1102" s="154"/>
      <c r="N1102" s="154"/>
      <c r="Q1102" s="154"/>
      <c r="T1102" s="154"/>
      <c r="V1102" s="80"/>
    </row>
    <row r="1103" spans="8:22">
      <c r="H1103" s="154"/>
      <c r="K1103" s="154"/>
      <c r="N1103" s="154"/>
      <c r="Q1103" s="154"/>
      <c r="T1103" s="154"/>
      <c r="V1103" s="80"/>
    </row>
    <row r="1104" spans="8:22">
      <c r="H1104" s="154"/>
      <c r="K1104" s="154"/>
      <c r="N1104" s="154"/>
      <c r="Q1104" s="154"/>
      <c r="T1104" s="154"/>
      <c r="V1104" s="80"/>
    </row>
    <row r="1105" spans="8:22">
      <c r="H1105" s="154"/>
      <c r="K1105" s="154"/>
      <c r="N1105" s="154"/>
      <c r="Q1105" s="154"/>
      <c r="T1105" s="154"/>
      <c r="V1105" s="80"/>
    </row>
    <row r="1106" spans="8:22">
      <c r="H1106" s="154"/>
      <c r="K1106" s="154"/>
      <c r="N1106" s="154"/>
      <c r="Q1106" s="154"/>
      <c r="T1106" s="154"/>
      <c r="V1106" s="80"/>
    </row>
    <row r="1107" spans="8:22">
      <c r="H1107" s="154"/>
      <c r="K1107" s="154"/>
      <c r="N1107" s="154"/>
      <c r="Q1107" s="154"/>
      <c r="T1107" s="154"/>
      <c r="V1107" s="80"/>
    </row>
    <row r="1108" spans="8:22">
      <c r="H1108" s="154"/>
      <c r="K1108" s="154"/>
      <c r="N1108" s="154"/>
      <c r="Q1108" s="154"/>
      <c r="T1108" s="154"/>
      <c r="V1108" s="80"/>
    </row>
    <row r="1109" spans="8:22">
      <c r="H1109" s="154"/>
      <c r="K1109" s="154"/>
      <c r="N1109" s="154"/>
      <c r="Q1109" s="154"/>
      <c r="T1109" s="154"/>
      <c r="V1109" s="80"/>
    </row>
    <row r="1110" spans="8:22">
      <c r="H1110" s="154"/>
      <c r="K1110" s="154"/>
      <c r="N1110" s="154"/>
      <c r="Q1110" s="154"/>
      <c r="T1110" s="154"/>
      <c r="V1110" s="80"/>
    </row>
    <row r="1111" spans="8:22">
      <c r="H1111" s="154"/>
      <c r="K1111" s="154"/>
      <c r="N1111" s="154"/>
      <c r="Q1111" s="154"/>
      <c r="T1111" s="154"/>
      <c r="V1111" s="80"/>
    </row>
    <row r="1112" spans="8:22">
      <c r="H1112" s="154"/>
      <c r="K1112" s="154"/>
      <c r="N1112" s="154"/>
      <c r="Q1112" s="154"/>
      <c r="T1112" s="154"/>
      <c r="V1112" s="80"/>
    </row>
    <row r="1113" spans="8:22">
      <c r="H1113" s="154"/>
      <c r="K1113" s="154"/>
      <c r="N1113" s="154"/>
      <c r="Q1113" s="154"/>
      <c r="T1113" s="154"/>
      <c r="V1113" s="80"/>
    </row>
    <row r="1114" spans="8:22">
      <c r="H1114" s="154"/>
      <c r="K1114" s="154"/>
      <c r="N1114" s="154"/>
      <c r="Q1114" s="154"/>
      <c r="T1114" s="154"/>
      <c r="V1114" s="80"/>
    </row>
    <row r="1115" spans="8:22">
      <c r="H1115" s="154"/>
      <c r="K1115" s="154"/>
      <c r="N1115" s="154"/>
      <c r="Q1115" s="154"/>
      <c r="T1115" s="154"/>
      <c r="V1115" s="80"/>
    </row>
    <row r="1116" spans="8:22">
      <c r="H1116" s="154"/>
      <c r="K1116" s="154"/>
      <c r="N1116" s="154"/>
      <c r="Q1116" s="154"/>
      <c r="T1116" s="154"/>
      <c r="V1116" s="80"/>
    </row>
    <row r="1117" spans="8:22">
      <c r="H1117" s="154"/>
      <c r="K1117" s="154"/>
      <c r="N1117" s="154"/>
      <c r="Q1117" s="154"/>
      <c r="T1117" s="154"/>
      <c r="V1117" s="80"/>
    </row>
    <row r="1118" spans="8:22">
      <c r="H1118" s="154"/>
      <c r="K1118" s="154"/>
      <c r="N1118" s="154"/>
      <c r="Q1118" s="154"/>
      <c r="T1118" s="154"/>
      <c r="V1118" s="80"/>
    </row>
    <row r="1119" spans="8:22">
      <c r="H1119" s="154"/>
      <c r="K1119" s="154"/>
      <c r="N1119" s="154"/>
      <c r="Q1119" s="154"/>
      <c r="T1119" s="154"/>
      <c r="V1119" s="80"/>
    </row>
    <row r="1120" spans="8:22">
      <c r="H1120" s="154"/>
      <c r="K1120" s="154"/>
      <c r="N1120" s="154"/>
      <c r="Q1120" s="154"/>
      <c r="T1120" s="154"/>
      <c r="V1120" s="80"/>
    </row>
    <row r="1121" spans="8:22">
      <c r="H1121" s="154"/>
      <c r="K1121" s="154"/>
      <c r="N1121" s="154"/>
      <c r="Q1121" s="154"/>
      <c r="T1121" s="154"/>
      <c r="V1121" s="80"/>
    </row>
    <row r="1122" spans="8:22">
      <c r="H1122" s="154"/>
      <c r="K1122" s="154"/>
      <c r="N1122" s="154"/>
      <c r="Q1122" s="154"/>
      <c r="T1122" s="154"/>
      <c r="V1122" s="80"/>
    </row>
    <row r="1123" spans="8:22">
      <c r="H1123" s="154"/>
      <c r="K1123" s="154"/>
      <c r="N1123" s="154"/>
      <c r="Q1123" s="154"/>
      <c r="T1123" s="154"/>
      <c r="V1123" s="80"/>
    </row>
    <row r="1124" spans="8:22">
      <c r="H1124" s="154"/>
      <c r="K1124" s="154"/>
      <c r="N1124" s="154"/>
      <c r="Q1124" s="154"/>
      <c r="T1124" s="154"/>
      <c r="V1124" s="80"/>
    </row>
    <row r="1125" spans="8:22">
      <c r="H1125" s="154"/>
      <c r="K1125" s="154"/>
      <c r="N1125" s="154"/>
      <c r="Q1125" s="154"/>
      <c r="T1125" s="154"/>
      <c r="V1125" s="80"/>
    </row>
    <row r="1126" spans="8:22">
      <c r="H1126" s="154"/>
      <c r="K1126" s="154"/>
      <c r="N1126" s="154"/>
      <c r="Q1126" s="154"/>
      <c r="T1126" s="154"/>
      <c r="V1126" s="80"/>
    </row>
    <row r="1127" spans="8:22">
      <c r="H1127" s="154"/>
      <c r="K1127" s="154"/>
      <c r="N1127" s="154"/>
      <c r="Q1127" s="154"/>
      <c r="T1127" s="154"/>
      <c r="V1127" s="80"/>
    </row>
    <row r="1128" spans="8:22">
      <c r="H1128" s="154"/>
      <c r="K1128" s="154"/>
      <c r="N1128" s="154"/>
      <c r="Q1128" s="154"/>
      <c r="T1128" s="154"/>
      <c r="V1128" s="80"/>
    </row>
    <row r="1129" spans="8:22">
      <c r="H1129" s="154"/>
      <c r="K1129" s="154"/>
      <c r="N1129" s="154"/>
      <c r="Q1129" s="154"/>
      <c r="T1129" s="154"/>
      <c r="V1129" s="80"/>
    </row>
    <row r="1130" spans="8:22">
      <c r="H1130" s="154"/>
      <c r="K1130" s="154"/>
      <c r="N1130" s="154"/>
      <c r="Q1130" s="154"/>
      <c r="T1130" s="154"/>
      <c r="V1130" s="80"/>
    </row>
    <row r="1131" spans="8:22">
      <c r="H1131" s="154"/>
      <c r="K1131" s="154"/>
      <c r="N1131" s="154"/>
      <c r="Q1131" s="154"/>
      <c r="T1131" s="154"/>
      <c r="V1131" s="80"/>
    </row>
    <row r="1132" spans="8:22">
      <c r="H1132" s="154"/>
      <c r="K1132" s="154"/>
      <c r="N1132" s="154"/>
      <c r="Q1132" s="154"/>
      <c r="T1132" s="154"/>
      <c r="V1132" s="80"/>
    </row>
    <row r="1133" spans="8:22">
      <c r="H1133" s="154"/>
      <c r="K1133" s="154"/>
      <c r="N1133" s="154"/>
      <c r="Q1133" s="154"/>
      <c r="T1133" s="154"/>
      <c r="V1133" s="80"/>
    </row>
    <row r="1134" spans="8:22">
      <c r="H1134" s="154"/>
      <c r="K1134" s="154"/>
      <c r="N1134" s="154"/>
      <c r="Q1134" s="154"/>
      <c r="T1134" s="154"/>
      <c r="V1134" s="80"/>
    </row>
    <row r="1135" spans="8:22">
      <c r="H1135" s="154"/>
      <c r="K1135" s="154"/>
      <c r="N1135" s="154"/>
      <c r="Q1135" s="154"/>
      <c r="T1135" s="154"/>
      <c r="V1135" s="80"/>
    </row>
    <row r="1136" spans="8:22">
      <c r="H1136" s="154"/>
      <c r="K1136" s="154"/>
      <c r="N1136" s="154"/>
      <c r="Q1136" s="154"/>
      <c r="T1136" s="154"/>
      <c r="V1136" s="80"/>
    </row>
    <row r="1137" spans="8:22">
      <c r="H1137" s="154"/>
      <c r="K1137" s="154"/>
      <c r="N1137" s="154"/>
      <c r="Q1137" s="154"/>
      <c r="T1137" s="154"/>
      <c r="V1137" s="80"/>
    </row>
    <row r="1138" spans="8:22">
      <c r="H1138" s="154"/>
      <c r="K1138" s="154"/>
      <c r="N1138" s="154"/>
      <c r="Q1138" s="154"/>
      <c r="T1138" s="154"/>
      <c r="V1138" s="80"/>
    </row>
    <row r="1139" spans="8:22">
      <c r="H1139" s="154"/>
      <c r="K1139" s="154"/>
      <c r="N1139" s="154"/>
      <c r="Q1139" s="154"/>
      <c r="T1139" s="154"/>
      <c r="V1139" s="80"/>
    </row>
    <row r="1140" spans="8:22">
      <c r="H1140" s="154"/>
      <c r="K1140" s="154"/>
      <c r="N1140" s="154"/>
      <c r="Q1140" s="154"/>
      <c r="T1140" s="154"/>
      <c r="V1140" s="80"/>
    </row>
    <row r="1141" spans="8:22">
      <c r="H1141" s="154"/>
      <c r="K1141" s="154"/>
      <c r="N1141" s="154"/>
      <c r="Q1141" s="154"/>
      <c r="T1141" s="154"/>
      <c r="V1141" s="80"/>
    </row>
    <row r="1142" spans="8:22">
      <c r="H1142" s="154"/>
      <c r="K1142" s="154"/>
      <c r="N1142" s="154"/>
      <c r="Q1142" s="154"/>
      <c r="T1142" s="154"/>
      <c r="V1142" s="80"/>
    </row>
    <row r="1143" spans="8:22">
      <c r="H1143" s="154"/>
      <c r="K1143" s="154"/>
      <c r="N1143" s="154"/>
      <c r="Q1143" s="154"/>
      <c r="T1143" s="154"/>
      <c r="V1143" s="80"/>
    </row>
    <row r="1144" spans="8:22">
      <c r="H1144" s="154"/>
      <c r="K1144" s="154"/>
      <c r="N1144" s="154"/>
      <c r="Q1144" s="154"/>
      <c r="T1144" s="154"/>
      <c r="V1144" s="80"/>
    </row>
    <row r="1145" spans="8:22">
      <c r="H1145" s="154"/>
      <c r="K1145" s="154"/>
      <c r="N1145" s="154"/>
      <c r="Q1145" s="154"/>
      <c r="T1145" s="154"/>
      <c r="V1145" s="80"/>
    </row>
    <row r="1146" spans="8:22">
      <c r="H1146" s="154"/>
      <c r="K1146" s="154"/>
      <c r="N1146" s="154"/>
      <c r="Q1146" s="154"/>
      <c r="T1146" s="154"/>
      <c r="V1146" s="80"/>
    </row>
    <row r="1147" spans="8:22">
      <c r="H1147" s="154"/>
      <c r="K1147" s="154"/>
      <c r="N1147" s="154"/>
      <c r="Q1147" s="154"/>
      <c r="T1147" s="154"/>
      <c r="V1147" s="80"/>
    </row>
    <row r="1148" spans="8:22">
      <c r="H1148" s="154"/>
      <c r="K1148" s="154"/>
      <c r="N1148" s="154"/>
      <c r="Q1148" s="154"/>
      <c r="T1148" s="154"/>
      <c r="V1148" s="80"/>
    </row>
    <row r="1149" spans="8:22">
      <c r="H1149" s="154"/>
      <c r="K1149" s="154"/>
      <c r="N1149" s="154"/>
      <c r="Q1149" s="154"/>
      <c r="T1149" s="154"/>
      <c r="V1149" s="80"/>
    </row>
    <row r="1150" spans="8:22">
      <c r="H1150" s="154"/>
      <c r="K1150" s="154"/>
      <c r="N1150" s="154"/>
      <c r="Q1150" s="154"/>
      <c r="T1150" s="154"/>
      <c r="V1150" s="80"/>
    </row>
    <row r="1151" spans="8:22">
      <c r="H1151" s="154"/>
      <c r="K1151" s="154"/>
      <c r="N1151" s="154"/>
      <c r="Q1151" s="154"/>
      <c r="T1151" s="154"/>
      <c r="V1151" s="80"/>
    </row>
    <row r="1152" spans="8:22">
      <c r="H1152" s="154"/>
      <c r="K1152" s="154"/>
      <c r="N1152" s="154"/>
      <c r="Q1152" s="154"/>
      <c r="T1152" s="154"/>
      <c r="V1152" s="80"/>
    </row>
    <row r="1153" spans="8:22">
      <c r="H1153" s="154"/>
      <c r="K1153" s="154"/>
      <c r="N1153" s="154"/>
      <c r="Q1153" s="154"/>
      <c r="T1153" s="154"/>
      <c r="V1153" s="80"/>
    </row>
    <row r="1154" spans="8:22">
      <c r="H1154" s="154"/>
      <c r="K1154" s="154"/>
      <c r="N1154" s="154"/>
      <c r="Q1154" s="154"/>
      <c r="T1154" s="154"/>
      <c r="V1154" s="80"/>
    </row>
    <row r="1155" spans="8:22">
      <c r="H1155" s="154"/>
      <c r="K1155" s="154"/>
      <c r="N1155" s="154"/>
      <c r="Q1155" s="154"/>
      <c r="T1155" s="154"/>
      <c r="V1155" s="80"/>
    </row>
    <row r="1156" spans="8:22">
      <c r="H1156" s="154"/>
      <c r="K1156" s="154"/>
      <c r="N1156" s="154"/>
      <c r="Q1156" s="154"/>
      <c r="T1156" s="154"/>
      <c r="V1156" s="80"/>
    </row>
    <row r="1157" spans="8:22">
      <c r="H1157" s="154"/>
      <c r="K1157" s="154"/>
      <c r="N1157" s="154"/>
      <c r="Q1157" s="154"/>
      <c r="T1157" s="154"/>
      <c r="V1157" s="80"/>
    </row>
    <row r="1158" spans="8:22">
      <c r="H1158" s="154"/>
      <c r="K1158" s="154"/>
      <c r="N1158" s="154"/>
      <c r="Q1158" s="154"/>
      <c r="T1158" s="154"/>
      <c r="V1158" s="80"/>
    </row>
    <row r="1159" spans="8:22">
      <c r="H1159" s="154"/>
      <c r="K1159" s="154"/>
      <c r="N1159" s="154"/>
      <c r="Q1159" s="154"/>
      <c r="T1159" s="154"/>
      <c r="V1159" s="80"/>
    </row>
    <row r="1160" spans="8:22">
      <c r="H1160" s="154"/>
      <c r="K1160" s="154"/>
      <c r="N1160" s="154"/>
      <c r="Q1160" s="154"/>
      <c r="T1160" s="154"/>
      <c r="V1160" s="80"/>
    </row>
    <row r="1161" spans="8:22">
      <c r="H1161" s="154"/>
      <c r="K1161" s="154"/>
      <c r="N1161" s="154"/>
      <c r="Q1161" s="154"/>
      <c r="T1161" s="154"/>
      <c r="V1161" s="80"/>
    </row>
    <row r="1162" spans="8:22">
      <c r="H1162" s="154"/>
      <c r="K1162" s="154"/>
      <c r="N1162" s="154"/>
      <c r="Q1162" s="154"/>
      <c r="T1162" s="154"/>
      <c r="V1162" s="80"/>
    </row>
    <row r="1163" spans="8:22">
      <c r="H1163" s="154"/>
      <c r="K1163" s="154"/>
      <c r="N1163" s="154"/>
      <c r="Q1163" s="154"/>
      <c r="T1163" s="154"/>
      <c r="V1163" s="80"/>
    </row>
    <row r="1164" spans="8:22">
      <c r="H1164" s="154"/>
      <c r="K1164" s="154"/>
      <c r="N1164" s="154"/>
      <c r="Q1164" s="154"/>
      <c r="T1164" s="154"/>
      <c r="V1164" s="80"/>
    </row>
    <row r="1165" spans="8:22">
      <c r="H1165" s="154"/>
      <c r="K1165" s="154"/>
      <c r="N1165" s="154"/>
      <c r="Q1165" s="154"/>
      <c r="T1165" s="154"/>
      <c r="V1165" s="80"/>
    </row>
    <row r="1166" spans="8:22">
      <c r="H1166" s="154"/>
      <c r="K1166" s="154"/>
      <c r="N1166" s="154"/>
      <c r="Q1166" s="154"/>
      <c r="T1166" s="154"/>
      <c r="V1166" s="80"/>
    </row>
    <row r="1167" spans="8:22">
      <c r="H1167" s="154"/>
      <c r="K1167" s="154"/>
      <c r="N1167" s="154"/>
      <c r="Q1167" s="154"/>
      <c r="T1167" s="154"/>
      <c r="V1167" s="80"/>
    </row>
    <row r="1168" spans="8:22">
      <c r="H1168" s="154"/>
      <c r="K1168" s="154"/>
      <c r="N1168" s="154"/>
      <c r="Q1168" s="154"/>
      <c r="T1168" s="154"/>
      <c r="V1168" s="80"/>
    </row>
    <row r="1169" spans="8:22">
      <c r="H1169" s="154"/>
      <c r="K1169" s="154"/>
      <c r="N1169" s="154"/>
      <c r="Q1169" s="154"/>
      <c r="T1169" s="154"/>
      <c r="V1169" s="80"/>
    </row>
    <row r="1170" spans="8:22">
      <c r="H1170" s="154"/>
      <c r="K1170" s="154"/>
      <c r="N1170" s="154"/>
      <c r="Q1170" s="154"/>
      <c r="T1170" s="154"/>
      <c r="V1170" s="80"/>
    </row>
    <row r="1171" spans="8:22">
      <c r="H1171" s="154"/>
      <c r="K1171" s="154"/>
      <c r="N1171" s="154"/>
      <c r="Q1171" s="154"/>
      <c r="T1171" s="154"/>
      <c r="V1171" s="80"/>
    </row>
    <row r="1172" spans="8:22">
      <c r="H1172" s="154"/>
      <c r="K1172" s="154"/>
      <c r="N1172" s="154"/>
      <c r="Q1172" s="154"/>
      <c r="T1172" s="154"/>
      <c r="V1172" s="80"/>
    </row>
    <row r="1173" spans="8:22">
      <c r="H1173" s="154"/>
      <c r="K1173" s="154"/>
      <c r="N1173" s="154"/>
      <c r="Q1173" s="154"/>
      <c r="T1173" s="154"/>
      <c r="V1173" s="80"/>
    </row>
    <row r="1174" spans="8:22">
      <c r="H1174" s="154"/>
      <c r="K1174" s="154"/>
      <c r="N1174" s="154"/>
      <c r="Q1174" s="154"/>
      <c r="T1174" s="154"/>
      <c r="V1174" s="80"/>
    </row>
    <row r="1175" spans="8:22">
      <c r="H1175" s="154"/>
      <c r="K1175" s="154"/>
      <c r="N1175" s="154"/>
      <c r="Q1175" s="154"/>
      <c r="T1175" s="154"/>
      <c r="V1175" s="80"/>
    </row>
    <row r="1176" spans="8:22">
      <c r="H1176" s="154"/>
      <c r="K1176" s="154"/>
      <c r="N1176" s="154"/>
      <c r="Q1176" s="154"/>
      <c r="T1176" s="154"/>
      <c r="V1176" s="80"/>
    </row>
    <row r="1177" spans="8:22">
      <c r="H1177" s="154"/>
      <c r="K1177" s="154"/>
      <c r="N1177" s="154"/>
      <c r="Q1177" s="154"/>
      <c r="T1177" s="154"/>
      <c r="V1177" s="80"/>
    </row>
    <row r="1178" spans="8:22">
      <c r="H1178" s="154"/>
      <c r="K1178" s="154"/>
      <c r="N1178" s="154"/>
      <c r="Q1178" s="154"/>
      <c r="T1178" s="154"/>
      <c r="V1178" s="80"/>
    </row>
    <row r="1179" spans="8:22">
      <c r="H1179" s="154"/>
      <c r="K1179" s="154"/>
      <c r="N1179" s="154"/>
      <c r="Q1179" s="154"/>
      <c r="T1179" s="154"/>
      <c r="V1179" s="80"/>
    </row>
    <row r="1180" spans="8:22">
      <c r="H1180" s="154"/>
      <c r="K1180" s="154"/>
      <c r="N1180" s="154"/>
      <c r="Q1180" s="154"/>
      <c r="T1180" s="154"/>
      <c r="V1180" s="80"/>
    </row>
    <row r="1181" spans="8:22">
      <c r="H1181" s="154"/>
      <c r="K1181" s="154"/>
      <c r="N1181" s="154"/>
      <c r="Q1181" s="154"/>
      <c r="T1181" s="154"/>
      <c r="V1181" s="80"/>
    </row>
    <row r="1182" spans="8:22">
      <c r="H1182" s="154"/>
      <c r="K1182" s="154"/>
      <c r="N1182" s="154"/>
      <c r="Q1182" s="154"/>
      <c r="T1182" s="154"/>
      <c r="V1182" s="80"/>
    </row>
    <row r="1183" spans="8:22">
      <c r="H1183" s="154"/>
      <c r="K1183" s="154"/>
      <c r="N1183" s="154"/>
      <c r="Q1183" s="154"/>
      <c r="T1183" s="154"/>
      <c r="V1183" s="80"/>
    </row>
    <row r="1184" spans="8:22">
      <c r="H1184" s="154"/>
      <c r="K1184" s="154"/>
      <c r="N1184" s="154"/>
      <c r="Q1184" s="154"/>
      <c r="T1184" s="154"/>
      <c r="V1184" s="80"/>
    </row>
    <row r="1185" spans="8:22">
      <c r="H1185" s="154"/>
      <c r="K1185" s="154"/>
      <c r="N1185" s="154"/>
      <c r="Q1185" s="154"/>
      <c r="T1185" s="154"/>
      <c r="V1185" s="80"/>
    </row>
    <row r="1186" spans="8:22">
      <c r="H1186" s="154"/>
      <c r="K1186" s="154"/>
      <c r="N1186" s="154"/>
      <c r="Q1186" s="154"/>
      <c r="T1186" s="154"/>
      <c r="V1186" s="80"/>
    </row>
    <row r="1187" spans="8:22">
      <c r="H1187" s="154"/>
      <c r="K1187" s="154"/>
      <c r="N1187" s="154"/>
      <c r="Q1187" s="154"/>
      <c r="T1187" s="154"/>
      <c r="V1187" s="80"/>
    </row>
    <row r="1188" spans="8:22">
      <c r="H1188" s="154"/>
      <c r="K1188" s="154"/>
      <c r="N1188" s="154"/>
      <c r="Q1188" s="154"/>
      <c r="T1188" s="154"/>
      <c r="V1188" s="80"/>
    </row>
    <row r="1189" spans="8:22">
      <c r="H1189" s="154"/>
      <c r="K1189" s="154"/>
      <c r="N1189" s="154"/>
      <c r="Q1189" s="154"/>
      <c r="T1189" s="154"/>
      <c r="V1189" s="80"/>
    </row>
    <row r="1190" spans="8:22">
      <c r="H1190" s="154"/>
      <c r="K1190" s="154"/>
      <c r="N1190" s="154"/>
      <c r="Q1190" s="154"/>
      <c r="T1190" s="154"/>
      <c r="V1190" s="80"/>
    </row>
    <row r="1191" spans="8:22">
      <c r="H1191" s="154"/>
      <c r="K1191" s="154"/>
      <c r="N1191" s="154"/>
      <c r="Q1191" s="154"/>
      <c r="T1191" s="154"/>
      <c r="V1191" s="80"/>
    </row>
    <row r="1192" spans="8:22">
      <c r="H1192" s="154"/>
      <c r="K1192" s="154"/>
      <c r="N1192" s="154"/>
      <c r="Q1192" s="154"/>
      <c r="T1192" s="154"/>
      <c r="V1192" s="80"/>
    </row>
    <row r="1193" spans="8:22">
      <c r="H1193" s="154"/>
      <c r="K1193" s="154"/>
      <c r="N1193" s="154"/>
      <c r="Q1193" s="154"/>
      <c r="T1193" s="154"/>
      <c r="V1193" s="80"/>
    </row>
    <row r="1194" spans="8:22">
      <c r="H1194" s="154"/>
      <c r="K1194" s="154"/>
      <c r="N1194" s="154"/>
      <c r="Q1194" s="154"/>
      <c r="T1194" s="154"/>
      <c r="V1194" s="80"/>
    </row>
    <row r="1195" spans="8:22">
      <c r="H1195" s="154"/>
      <c r="K1195" s="154"/>
      <c r="N1195" s="154"/>
      <c r="Q1195" s="154"/>
      <c r="T1195" s="154"/>
      <c r="V1195" s="80"/>
    </row>
    <row r="1196" spans="8:22">
      <c r="H1196" s="154"/>
      <c r="K1196" s="154"/>
      <c r="N1196" s="154"/>
      <c r="Q1196" s="154"/>
      <c r="T1196" s="154"/>
      <c r="V1196" s="80"/>
    </row>
    <row r="1197" spans="8:22">
      <c r="H1197" s="154"/>
      <c r="K1197" s="154"/>
      <c r="N1197" s="154"/>
      <c r="Q1197" s="154"/>
      <c r="T1197" s="154"/>
      <c r="V1197" s="80"/>
    </row>
    <row r="1198" spans="8:22">
      <c r="H1198" s="154"/>
      <c r="K1198" s="154"/>
      <c r="N1198" s="154"/>
      <c r="Q1198" s="154"/>
      <c r="T1198" s="154"/>
      <c r="V1198" s="80"/>
    </row>
    <row r="1199" spans="8:22">
      <c r="H1199" s="154"/>
      <c r="K1199" s="154"/>
      <c r="N1199" s="154"/>
      <c r="Q1199" s="154"/>
      <c r="T1199" s="154"/>
      <c r="V1199" s="80"/>
    </row>
    <row r="1200" spans="8:22">
      <c r="H1200" s="154"/>
      <c r="K1200" s="154"/>
      <c r="N1200" s="154"/>
      <c r="Q1200" s="154"/>
      <c r="T1200" s="154"/>
      <c r="V1200" s="80"/>
    </row>
    <row r="1201" spans="8:22">
      <c r="H1201" s="154"/>
      <c r="K1201" s="154"/>
      <c r="N1201" s="154"/>
      <c r="Q1201" s="154"/>
      <c r="T1201" s="154"/>
      <c r="V1201" s="80"/>
    </row>
    <row r="1202" spans="8:22">
      <c r="H1202" s="154"/>
      <c r="K1202" s="154"/>
      <c r="N1202" s="154"/>
      <c r="Q1202" s="154"/>
      <c r="T1202" s="154"/>
      <c r="V1202" s="80"/>
    </row>
    <row r="1203" spans="8:22">
      <c r="H1203" s="154"/>
      <c r="K1203" s="154"/>
      <c r="N1203" s="154"/>
      <c r="Q1203" s="154"/>
      <c r="T1203" s="154"/>
      <c r="V1203" s="80"/>
    </row>
    <row r="1204" spans="8:22">
      <c r="H1204" s="154"/>
      <c r="K1204" s="154"/>
      <c r="N1204" s="154"/>
      <c r="Q1204" s="154"/>
      <c r="T1204" s="154"/>
      <c r="V1204" s="80"/>
    </row>
    <row r="1205" spans="8:22">
      <c r="H1205" s="154"/>
      <c r="K1205" s="154"/>
      <c r="N1205" s="154"/>
      <c r="Q1205" s="154"/>
      <c r="T1205" s="154"/>
      <c r="V1205" s="80"/>
    </row>
    <row r="1206" spans="8:22">
      <c r="H1206" s="154"/>
      <c r="K1206" s="154"/>
      <c r="N1206" s="154"/>
      <c r="Q1206" s="154"/>
      <c r="T1206" s="154"/>
      <c r="V1206" s="80"/>
    </row>
    <row r="1207" spans="8:22">
      <c r="H1207" s="154"/>
      <c r="K1207" s="154"/>
      <c r="N1207" s="154"/>
      <c r="Q1207" s="154"/>
      <c r="T1207" s="154"/>
      <c r="V1207" s="80"/>
    </row>
    <row r="1208" spans="8:22">
      <c r="H1208" s="154"/>
      <c r="K1208" s="154"/>
      <c r="N1208" s="154"/>
      <c r="Q1208" s="154"/>
      <c r="T1208" s="154"/>
      <c r="V1208" s="80"/>
    </row>
    <row r="1209" spans="8:22">
      <c r="H1209" s="154"/>
      <c r="K1209" s="154"/>
      <c r="N1209" s="154"/>
      <c r="Q1209" s="154"/>
      <c r="T1209" s="154"/>
      <c r="V1209" s="80"/>
    </row>
    <row r="1210" spans="8:22">
      <c r="H1210" s="154"/>
      <c r="K1210" s="154"/>
      <c r="N1210" s="154"/>
      <c r="Q1210" s="154"/>
      <c r="T1210" s="154"/>
      <c r="V1210" s="80"/>
    </row>
    <row r="1211" spans="8:22">
      <c r="H1211" s="154"/>
      <c r="K1211" s="154"/>
      <c r="N1211" s="154"/>
      <c r="Q1211" s="154"/>
      <c r="T1211" s="154"/>
      <c r="V1211" s="80"/>
    </row>
    <row r="1212" spans="8:22">
      <c r="H1212" s="154"/>
      <c r="K1212" s="154"/>
      <c r="N1212" s="154"/>
      <c r="Q1212" s="154"/>
      <c r="T1212" s="154"/>
      <c r="V1212" s="80"/>
    </row>
    <row r="1213" spans="8:22">
      <c r="H1213" s="154"/>
      <c r="K1213" s="154"/>
      <c r="N1213" s="154"/>
      <c r="Q1213" s="154"/>
      <c r="T1213" s="154"/>
      <c r="V1213" s="80"/>
    </row>
    <row r="1214" spans="8:22">
      <c r="H1214" s="154"/>
      <c r="K1214" s="154"/>
      <c r="N1214" s="154"/>
      <c r="Q1214" s="154"/>
      <c r="T1214" s="154"/>
      <c r="V1214" s="80"/>
    </row>
    <row r="1215" spans="8:22">
      <c r="H1215" s="154"/>
      <c r="K1215" s="154"/>
      <c r="N1215" s="154"/>
      <c r="Q1215" s="154"/>
      <c r="T1215" s="154"/>
      <c r="V1215" s="80"/>
    </row>
    <row r="1216" spans="8:22">
      <c r="H1216" s="154"/>
      <c r="K1216" s="154"/>
      <c r="N1216" s="154"/>
      <c r="Q1216" s="154"/>
      <c r="T1216" s="154"/>
      <c r="V1216" s="80"/>
    </row>
    <row r="1217" spans="8:22">
      <c r="H1217" s="154"/>
      <c r="K1217" s="154"/>
      <c r="N1217" s="154"/>
      <c r="Q1217" s="154"/>
      <c r="T1217" s="154"/>
      <c r="V1217" s="80"/>
    </row>
    <row r="1218" spans="8:22">
      <c r="H1218" s="154"/>
      <c r="K1218" s="154"/>
      <c r="N1218" s="154"/>
      <c r="Q1218" s="154"/>
      <c r="T1218" s="154"/>
      <c r="V1218" s="80"/>
    </row>
    <row r="1219" spans="8:22">
      <c r="H1219" s="154"/>
      <c r="K1219" s="154"/>
      <c r="N1219" s="154"/>
      <c r="Q1219" s="154"/>
      <c r="T1219" s="154"/>
      <c r="V1219" s="80"/>
    </row>
    <row r="1220" spans="8:22">
      <c r="H1220" s="154"/>
      <c r="K1220" s="154"/>
      <c r="N1220" s="154"/>
      <c r="Q1220" s="154"/>
      <c r="T1220" s="154"/>
      <c r="V1220" s="80"/>
    </row>
    <row r="1221" spans="8:22">
      <c r="H1221" s="154"/>
      <c r="K1221" s="154"/>
      <c r="N1221" s="154"/>
      <c r="Q1221" s="154"/>
      <c r="T1221" s="154"/>
      <c r="V1221" s="80"/>
    </row>
    <row r="1222" spans="8:22">
      <c r="H1222" s="154"/>
      <c r="K1222" s="154"/>
      <c r="N1222" s="154"/>
      <c r="Q1222" s="154"/>
      <c r="T1222" s="154"/>
      <c r="V1222" s="80"/>
    </row>
    <row r="1223" spans="8:22">
      <c r="H1223" s="154"/>
      <c r="K1223" s="154"/>
      <c r="N1223" s="154"/>
      <c r="Q1223" s="154"/>
      <c r="T1223" s="154"/>
      <c r="V1223" s="80"/>
    </row>
    <row r="1224" spans="8:22">
      <c r="H1224" s="154"/>
      <c r="K1224" s="154"/>
      <c r="N1224" s="154"/>
      <c r="Q1224" s="154"/>
      <c r="T1224" s="154"/>
      <c r="V1224" s="80"/>
    </row>
    <row r="1225" spans="8:22">
      <c r="H1225" s="154"/>
      <c r="K1225" s="154"/>
      <c r="N1225" s="154"/>
      <c r="Q1225" s="154"/>
      <c r="T1225" s="154"/>
      <c r="V1225" s="80"/>
    </row>
    <row r="1226" spans="8:22">
      <c r="H1226" s="154"/>
      <c r="K1226" s="154"/>
      <c r="N1226" s="154"/>
      <c r="Q1226" s="154"/>
      <c r="T1226" s="154"/>
      <c r="V1226" s="80"/>
    </row>
    <row r="1227" spans="8:22">
      <c r="H1227" s="154"/>
      <c r="K1227" s="154"/>
      <c r="N1227" s="154"/>
      <c r="Q1227" s="154"/>
      <c r="T1227" s="154"/>
      <c r="V1227" s="80"/>
    </row>
    <row r="1228" spans="8:22">
      <c r="H1228" s="154"/>
      <c r="K1228" s="154"/>
      <c r="N1228" s="154"/>
      <c r="Q1228" s="154"/>
      <c r="T1228" s="154"/>
      <c r="V1228" s="80"/>
    </row>
    <row r="1229" spans="8:22">
      <c r="H1229" s="154"/>
      <c r="K1229" s="154"/>
      <c r="N1229" s="154"/>
      <c r="Q1229" s="154"/>
      <c r="T1229" s="154"/>
      <c r="V1229" s="80"/>
    </row>
    <row r="1230" spans="8:22">
      <c r="H1230" s="154"/>
      <c r="K1230" s="154"/>
      <c r="N1230" s="154"/>
      <c r="Q1230" s="154"/>
      <c r="T1230" s="154"/>
      <c r="V1230" s="80"/>
    </row>
    <row r="1231" spans="8:22">
      <c r="H1231" s="154"/>
      <c r="K1231" s="154"/>
      <c r="N1231" s="154"/>
      <c r="Q1231" s="154"/>
      <c r="T1231" s="154"/>
      <c r="V1231" s="80"/>
    </row>
    <row r="1232" spans="8:22">
      <c r="H1232" s="154"/>
      <c r="K1232" s="154"/>
      <c r="N1232" s="154"/>
      <c r="Q1232" s="154"/>
      <c r="T1232" s="154"/>
      <c r="V1232" s="80"/>
    </row>
    <row r="1233" spans="8:22">
      <c r="H1233" s="154"/>
      <c r="K1233" s="154"/>
      <c r="N1233" s="154"/>
      <c r="Q1233" s="154"/>
      <c r="T1233" s="154"/>
      <c r="V1233" s="80"/>
    </row>
    <row r="1234" spans="8:22">
      <c r="H1234" s="154"/>
      <c r="K1234" s="154"/>
      <c r="N1234" s="154"/>
      <c r="Q1234" s="154"/>
      <c r="T1234" s="154"/>
      <c r="V1234" s="80"/>
    </row>
    <row r="1235" spans="8:22">
      <c r="H1235" s="154"/>
      <c r="K1235" s="154"/>
      <c r="N1235" s="154"/>
      <c r="Q1235" s="154"/>
      <c r="T1235" s="154"/>
      <c r="V1235" s="80"/>
    </row>
    <row r="1236" spans="8:22">
      <c r="H1236" s="154"/>
      <c r="K1236" s="154"/>
      <c r="N1236" s="154"/>
      <c r="Q1236" s="154"/>
      <c r="T1236" s="154"/>
      <c r="V1236" s="80"/>
    </row>
    <row r="1237" spans="8:22">
      <c r="H1237" s="154"/>
      <c r="K1237" s="154"/>
      <c r="N1237" s="154"/>
      <c r="Q1237" s="154"/>
      <c r="T1237" s="154"/>
      <c r="V1237" s="80"/>
    </row>
    <row r="1238" spans="8:22">
      <c r="H1238" s="154"/>
      <c r="K1238" s="154"/>
      <c r="N1238" s="154"/>
      <c r="Q1238" s="154"/>
      <c r="T1238" s="154"/>
      <c r="V1238" s="80"/>
    </row>
    <row r="1239" spans="8:22">
      <c r="H1239" s="154"/>
      <c r="K1239" s="154"/>
      <c r="N1239" s="154"/>
      <c r="Q1239" s="154"/>
      <c r="T1239" s="154"/>
      <c r="V1239" s="80"/>
    </row>
    <row r="1240" spans="8:22">
      <c r="H1240" s="154"/>
      <c r="K1240" s="154"/>
      <c r="N1240" s="154"/>
      <c r="Q1240" s="154"/>
      <c r="T1240" s="154"/>
      <c r="V1240" s="80"/>
    </row>
    <row r="1241" spans="8:22">
      <c r="H1241" s="154"/>
      <c r="K1241" s="154"/>
      <c r="N1241" s="154"/>
      <c r="Q1241" s="154"/>
      <c r="T1241" s="154"/>
      <c r="V1241" s="80"/>
    </row>
    <row r="1242" spans="8:22">
      <c r="H1242" s="154"/>
      <c r="K1242" s="154"/>
      <c r="N1242" s="154"/>
      <c r="Q1242" s="154"/>
      <c r="T1242" s="154"/>
      <c r="V1242" s="80"/>
    </row>
    <row r="1243" spans="8:22">
      <c r="H1243" s="154"/>
      <c r="K1243" s="154"/>
      <c r="N1243" s="154"/>
      <c r="Q1243" s="154"/>
      <c r="T1243" s="154"/>
      <c r="V1243" s="80"/>
    </row>
    <row r="1244" spans="8:22">
      <c r="H1244" s="154"/>
      <c r="K1244" s="154"/>
      <c r="N1244" s="154"/>
      <c r="Q1244" s="154"/>
      <c r="T1244" s="154"/>
      <c r="V1244" s="80"/>
    </row>
    <row r="1245" spans="8:22">
      <c r="H1245" s="154"/>
      <c r="K1245" s="154"/>
      <c r="N1245" s="154"/>
      <c r="Q1245" s="154"/>
      <c r="T1245" s="154"/>
      <c r="V1245" s="80"/>
    </row>
    <row r="1246" spans="8:22">
      <c r="H1246" s="154"/>
      <c r="K1246" s="154"/>
      <c r="N1246" s="154"/>
      <c r="Q1246" s="154"/>
      <c r="T1246" s="154"/>
      <c r="V1246" s="80"/>
    </row>
    <row r="1247" spans="8:22">
      <c r="H1247" s="154"/>
      <c r="K1247" s="154"/>
      <c r="N1247" s="154"/>
      <c r="Q1247" s="154"/>
      <c r="T1247" s="154"/>
      <c r="V1247" s="80"/>
    </row>
    <row r="1248" spans="8:22">
      <c r="H1248" s="154"/>
      <c r="K1248" s="154"/>
      <c r="N1248" s="154"/>
      <c r="Q1248" s="154"/>
      <c r="T1248" s="154"/>
      <c r="V1248" s="80"/>
    </row>
    <row r="1249" spans="8:22">
      <c r="H1249" s="154"/>
      <c r="K1249" s="154"/>
      <c r="N1249" s="154"/>
      <c r="Q1249" s="154"/>
      <c r="T1249" s="154"/>
      <c r="V1249" s="80"/>
    </row>
    <row r="1250" spans="8:22">
      <c r="H1250" s="154"/>
      <c r="K1250" s="154"/>
      <c r="N1250" s="154"/>
      <c r="Q1250" s="154"/>
      <c r="T1250" s="154"/>
      <c r="V1250" s="80"/>
    </row>
    <row r="1251" spans="8:22">
      <c r="H1251" s="154"/>
      <c r="K1251" s="154"/>
      <c r="N1251" s="154"/>
      <c r="Q1251" s="154"/>
      <c r="T1251" s="154"/>
      <c r="V1251" s="80"/>
    </row>
    <row r="1252" spans="8:22">
      <c r="H1252" s="154"/>
      <c r="K1252" s="154"/>
      <c r="N1252" s="154"/>
      <c r="Q1252" s="154"/>
      <c r="T1252" s="154"/>
      <c r="V1252" s="80"/>
    </row>
    <row r="1253" spans="8:22">
      <c r="H1253" s="154"/>
      <c r="K1253" s="154"/>
      <c r="N1253" s="154"/>
      <c r="Q1253" s="154"/>
      <c r="T1253" s="154"/>
      <c r="V1253" s="80"/>
    </row>
    <row r="1254" spans="8:22">
      <c r="H1254" s="154"/>
      <c r="K1254" s="154"/>
      <c r="N1254" s="154"/>
      <c r="Q1254" s="154"/>
      <c r="T1254" s="154"/>
      <c r="V1254" s="80"/>
    </row>
    <row r="1255" spans="8:22">
      <c r="H1255" s="154"/>
      <c r="K1255" s="154"/>
      <c r="N1255" s="154"/>
      <c r="Q1255" s="154"/>
      <c r="T1255" s="154"/>
      <c r="V1255" s="80"/>
    </row>
    <row r="1256" spans="8:22">
      <c r="H1256" s="154"/>
      <c r="K1256" s="154"/>
      <c r="N1256" s="154"/>
      <c r="Q1256" s="154"/>
      <c r="T1256" s="154"/>
      <c r="V1256" s="80"/>
    </row>
    <row r="1257" spans="8:22">
      <c r="H1257" s="154"/>
      <c r="K1257" s="154"/>
      <c r="N1257" s="154"/>
      <c r="Q1257" s="154"/>
      <c r="T1257" s="154"/>
      <c r="V1257" s="80"/>
    </row>
    <row r="1258" spans="8:22">
      <c r="H1258" s="154"/>
      <c r="K1258" s="154"/>
      <c r="N1258" s="154"/>
      <c r="Q1258" s="154"/>
      <c r="T1258" s="154"/>
      <c r="V1258" s="80"/>
    </row>
    <row r="1259" spans="8:22">
      <c r="H1259" s="154"/>
      <c r="K1259" s="154"/>
      <c r="N1259" s="154"/>
      <c r="Q1259" s="154"/>
      <c r="T1259" s="154"/>
      <c r="V1259" s="80"/>
    </row>
    <row r="1260" spans="8:22">
      <c r="H1260" s="154"/>
      <c r="K1260" s="154"/>
      <c r="N1260" s="154"/>
      <c r="Q1260" s="154"/>
      <c r="T1260" s="154"/>
      <c r="V1260" s="80"/>
    </row>
    <row r="1261" spans="8:22">
      <c r="H1261" s="154"/>
      <c r="K1261" s="154"/>
      <c r="N1261" s="154"/>
      <c r="Q1261" s="154"/>
      <c r="T1261" s="154"/>
      <c r="V1261" s="80"/>
    </row>
    <row r="1262" spans="8:22">
      <c r="H1262" s="154"/>
      <c r="K1262" s="154"/>
      <c r="N1262" s="154"/>
      <c r="Q1262" s="154"/>
      <c r="T1262" s="154"/>
      <c r="V1262" s="80"/>
    </row>
    <row r="1263" spans="8:22">
      <c r="H1263" s="154"/>
      <c r="K1263" s="154"/>
      <c r="N1263" s="154"/>
      <c r="Q1263" s="154"/>
      <c r="T1263" s="157"/>
      <c r="U1263" s="125"/>
      <c r="V1263" s="126"/>
    </row>
  </sheetData>
  <hyperlinks>
    <hyperlink ref="J8" r:id="rId1" xr:uid="{00000000-0004-0000-0500-000000000000}"/>
    <hyperlink ref="M8" r:id="rId2" xr:uid="{00000000-0004-0000-0500-000001000000}"/>
    <hyperlink ref="P8" r:id="rId3" xr:uid="{00000000-0004-0000-0500-000002000000}"/>
    <hyperlink ref="S8" r:id="rId4" xr:uid="{00000000-0004-0000-0500-000003000000}"/>
    <hyperlink ref="V8" r:id="rId5" xr:uid="{00000000-0004-0000-0500-000004000000}"/>
  </hyperlinks>
  <pageMargins left="0.511811024" right="0.511811024" top="0.78740157499999996" bottom="0.78740157499999996" header="0.31496062000000002" footer="0.31496062000000002"/>
  <tableParts count="3">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C1263"/>
  <sheetViews>
    <sheetView topLeftCell="B1" workbookViewId="0">
      <selection activeCell="W9" sqref="W9"/>
    </sheetView>
  </sheetViews>
  <sheetFormatPr defaultColWidth="12.5703125" defaultRowHeight="15" customHeight="1"/>
  <cols>
    <col min="4" max="4" width="9.42578125" customWidth="1"/>
    <col min="5" max="5" width="8" customWidth="1"/>
    <col min="6" max="6" width="9.140625" customWidth="1"/>
    <col min="7" max="7" width="11" customWidth="1"/>
    <col min="8" max="8" width="8" customWidth="1"/>
    <col min="9" max="9" width="6.85546875" customWidth="1"/>
    <col min="10" max="10" width="6.42578125" customWidth="1"/>
    <col min="11" max="11" width="7.5703125" customWidth="1"/>
    <col min="12" max="12" width="6.42578125" customWidth="1"/>
    <col min="13" max="13" width="7" customWidth="1"/>
    <col min="14" max="14" width="8.85546875" customWidth="1"/>
    <col min="15" max="15" width="7.28515625" customWidth="1"/>
    <col min="16" max="16" width="6.5703125" customWidth="1"/>
    <col min="17" max="17" width="7.28515625" customWidth="1"/>
    <col min="18" max="18" width="7.42578125" customWidth="1"/>
    <col min="19" max="19" width="5.7109375" customWidth="1"/>
    <col min="20" max="20" width="7.28515625" customWidth="1"/>
    <col min="21" max="22" width="6.7109375" customWidth="1"/>
  </cols>
  <sheetData>
    <row r="1" spans="1:23" ht="18">
      <c r="A1" s="28" t="s">
        <v>624</v>
      </c>
      <c r="B1" s="2"/>
      <c r="C1" s="2"/>
      <c r="D1" s="2"/>
      <c r="E1" s="2"/>
      <c r="F1" s="2"/>
      <c r="G1" s="2"/>
      <c r="H1" s="29"/>
      <c r="I1" s="2"/>
      <c r="J1" s="2"/>
      <c r="K1" s="29"/>
      <c r="L1" s="2"/>
      <c r="M1" s="2"/>
      <c r="N1" s="29"/>
      <c r="O1" s="2"/>
      <c r="P1" s="2"/>
      <c r="Q1" s="29"/>
      <c r="R1" s="2"/>
      <c r="S1" s="2"/>
      <c r="T1" s="158"/>
      <c r="U1" s="159"/>
      <c r="V1" s="160"/>
      <c r="W1" s="2"/>
    </row>
    <row r="2" spans="1:23">
      <c r="A2" s="33" t="s">
        <v>625</v>
      </c>
      <c r="B2" s="2"/>
      <c r="C2" s="2"/>
      <c r="D2" s="2"/>
      <c r="E2" s="2"/>
      <c r="F2" s="2"/>
      <c r="G2" s="2"/>
      <c r="H2" s="29"/>
      <c r="I2" s="2"/>
      <c r="J2" s="2"/>
      <c r="K2" s="29"/>
      <c r="L2" s="2"/>
      <c r="M2" s="2"/>
      <c r="N2" s="29"/>
      <c r="O2" s="2"/>
      <c r="P2" s="2"/>
      <c r="Q2" s="29"/>
      <c r="R2" s="2"/>
      <c r="S2" s="2"/>
      <c r="T2" s="161"/>
      <c r="U2" s="19"/>
      <c r="V2" s="162"/>
      <c r="W2" s="2"/>
    </row>
    <row r="3" spans="1:23">
      <c r="A3" s="1" t="s">
        <v>625</v>
      </c>
      <c r="B3" s="2"/>
      <c r="C3" s="2"/>
      <c r="D3" s="2"/>
      <c r="E3" s="2"/>
      <c r="F3" s="2"/>
      <c r="G3" s="2"/>
      <c r="H3" s="2" t="s">
        <v>3</v>
      </c>
      <c r="I3" s="2"/>
      <c r="J3" s="2"/>
      <c r="K3" s="29"/>
      <c r="L3" s="2"/>
      <c r="M3" s="2"/>
      <c r="N3" s="29"/>
      <c r="O3" s="2"/>
      <c r="P3" s="2"/>
      <c r="Q3" s="29"/>
      <c r="R3" s="2"/>
      <c r="S3" s="2"/>
      <c r="T3" s="161"/>
      <c r="U3" s="19"/>
      <c r="V3" s="162"/>
      <c r="W3" s="2" t="s">
        <v>455</v>
      </c>
    </row>
    <row r="4" spans="1:23">
      <c r="A4" s="2"/>
      <c r="B4" s="2"/>
      <c r="C4" s="2"/>
      <c r="D4" s="2"/>
      <c r="E4" s="2"/>
      <c r="F4" s="2"/>
      <c r="G4" s="2"/>
      <c r="H4" s="29"/>
      <c r="I4" s="2"/>
      <c r="J4" s="34"/>
      <c r="K4" s="29"/>
      <c r="L4" s="2"/>
      <c r="M4" s="34"/>
      <c r="N4" s="29"/>
      <c r="O4" s="2"/>
      <c r="P4" s="34"/>
      <c r="Q4" s="29"/>
      <c r="R4" s="2"/>
      <c r="S4" s="34"/>
      <c r="T4" s="161"/>
      <c r="U4" s="19"/>
      <c r="V4" s="162"/>
      <c r="W4" s="2"/>
    </row>
    <row r="5" spans="1:23">
      <c r="A5" s="2"/>
      <c r="B5" s="2"/>
      <c r="C5" s="2"/>
      <c r="D5" s="2"/>
      <c r="E5" s="2"/>
      <c r="F5" s="2"/>
      <c r="G5" s="2"/>
      <c r="H5" s="35" t="s">
        <v>439</v>
      </c>
      <c r="I5" s="2"/>
      <c r="J5" s="34"/>
      <c r="K5" s="35" t="s">
        <v>439</v>
      </c>
      <c r="L5" s="2"/>
      <c r="M5" s="34"/>
      <c r="N5" s="35" t="s">
        <v>439</v>
      </c>
      <c r="O5" s="2"/>
      <c r="P5" s="34"/>
      <c r="Q5" s="35" t="s">
        <v>439</v>
      </c>
      <c r="R5" s="2"/>
      <c r="S5" s="34"/>
      <c r="T5" s="163" t="s">
        <v>439</v>
      </c>
      <c r="U5" s="19"/>
      <c r="V5" s="162"/>
      <c r="W5" s="2"/>
    </row>
    <row r="6" spans="1:23">
      <c r="A6" s="2"/>
      <c r="B6" s="2"/>
      <c r="C6" s="2"/>
      <c r="D6" s="2"/>
      <c r="E6" s="2"/>
      <c r="F6" s="2"/>
      <c r="G6" s="2"/>
      <c r="H6" s="29" t="s">
        <v>440</v>
      </c>
      <c r="I6" s="2"/>
      <c r="J6" s="34"/>
      <c r="K6" s="29" t="s">
        <v>441</v>
      </c>
      <c r="L6" s="2"/>
      <c r="M6" s="34"/>
      <c r="N6" s="29" t="s">
        <v>442</v>
      </c>
      <c r="O6" s="2"/>
      <c r="P6" s="34"/>
      <c r="Q6" s="29" t="s">
        <v>442</v>
      </c>
      <c r="R6" s="2"/>
      <c r="S6" s="34"/>
      <c r="T6" s="161"/>
      <c r="U6" s="19"/>
      <c r="V6" s="162"/>
      <c r="W6" s="2"/>
    </row>
    <row r="7" spans="1:23">
      <c r="A7" s="2"/>
      <c r="B7" s="2"/>
      <c r="C7" s="2"/>
      <c r="D7" s="2"/>
      <c r="E7" s="2"/>
      <c r="F7" s="2"/>
      <c r="G7" s="2"/>
      <c r="H7" s="29"/>
      <c r="I7" s="2"/>
      <c r="J7" s="34"/>
      <c r="K7" s="29" t="s">
        <v>443</v>
      </c>
      <c r="L7" s="2"/>
      <c r="M7" s="34"/>
      <c r="N7" s="29"/>
      <c r="O7" s="2"/>
      <c r="P7" s="34"/>
      <c r="Q7" s="29"/>
      <c r="R7" s="2"/>
      <c r="S7" s="34"/>
      <c r="T7" s="161"/>
      <c r="U7" s="19"/>
      <c r="V7" s="162"/>
      <c r="W7" s="2" t="s">
        <v>455</v>
      </c>
    </row>
    <row r="8" spans="1:23" ht="18">
      <c r="A8" s="28" t="s">
        <v>444</v>
      </c>
      <c r="B8" s="2"/>
      <c r="C8" s="2"/>
      <c r="D8" s="2"/>
      <c r="E8" s="1"/>
      <c r="F8" s="2"/>
      <c r="G8" s="2"/>
      <c r="H8" s="35" t="s">
        <v>445</v>
      </c>
      <c r="I8" s="36"/>
      <c r="J8" s="37" t="s">
        <v>446</v>
      </c>
      <c r="K8" s="35" t="s">
        <v>447</v>
      </c>
      <c r="L8" s="36"/>
      <c r="M8" s="37" t="s">
        <v>448</v>
      </c>
      <c r="N8" s="35" t="s">
        <v>449</v>
      </c>
      <c r="O8" s="36"/>
      <c r="P8" s="37" t="s">
        <v>450</v>
      </c>
      <c r="Q8" s="35" t="s">
        <v>485</v>
      </c>
      <c r="R8" s="36"/>
      <c r="S8" s="37" t="s">
        <v>452</v>
      </c>
      <c r="T8" s="163" t="s">
        <v>453</v>
      </c>
      <c r="U8" s="164"/>
      <c r="V8" s="165" t="s">
        <v>454</v>
      </c>
      <c r="W8" s="2" t="s">
        <v>455</v>
      </c>
    </row>
    <row r="9" spans="1:23">
      <c r="A9" s="39" t="s">
        <v>456</v>
      </c>
      <c r="B9" s="39" t="s">
        <v>457</v>
      </c>
      <c r="C9" s="39" t="s">
        <v>458</v>
      </c>
      <c r="D9" s="40" t="s">
        <v>15</v>
      </c>
      <c r="E9" s="40" t="s">
        <v>16</v>
      </c>
      <c r="F9" s="40" t="s">
        <v>17</v>
      </c>
      <c r="G9" s="1"/>
      <c r="H9" s="41" t="s">
        <v>421</v>
      </c>
      <c r="I9" s="1" t="s">
        <v>459</v>
      </c>
      <c r="J9" s="42" t="s">
        <v>460</v>
      </c>
      <c r="K9" s="41" t="s">
        <v>421</v>
      </c>
      <c r="L9" s="1" t="s">
        <v>459</v>
      </c>
      <c r="M9" s="42" t="s">
        <v>460</v>
      </c>
      <c r="N9" s="41" t="s">
        <v>421</v>
      </c>
      <c r="O9" s="1" t="s">
        <v>459</v>
      </c>
      <c r="P9" s="42" t="s">
        <v>460</v>
      </c>
      <c r="Q9" s="41" t="s">
        <v>421</v>
      </c>
      <c r="R9" s="1" t="s">
        <v>459</v>
      </c>
      <c r="S9" s="42" t="s">
        <v>460</v>
      </c>
      <c r="T9" s="166" t="s">
        <v>421</v>
      </c>
      <c r="U9" s="1" t="s">
        <v>459</v>
      </c>
      <c r="V9" s="167" t="s">
        <v>460</v>
      </c>
      <c r="W9" s="2" t="s">
        <v>455</v>
      </c>
    </row>
    <row r="10" spans="1:23">
      <c r="A10" s="43">
        <v>1</v>
      </c>
      <c r="B10" s="43" t="s">
        <v>19</v>
      </c>
      <c r="C10" s="43" t="s">
        <v>20</v>
      </c>
      <c r="D10" s="43">
        <v>0</v>
      </c>
      <c r="E10" s="43">
        <v>0</v>
      </c>
      <c r="F10" s="44">
        <f t="shared" ref="F10:F45" si="0">SUM(D10:E10)/2</f>
        <v>0</v>
      </c>
      <c r="G10" s="45"/>
      <c r="H10" s="168">
        <v>30</v>
      </c>
      <c r="I10" s="169">
        <f t="shared" ref="I10:I138" si="1">(H10-F10)^2</f>
        <v>900</v>
      </c>
      <c r="J10" s="170">
        <f t="shared" ref="J10:J138" si="2">ABS(H10-F10)</f>
        <v>30</v>
      </c>
      <c r="K10" s="168">
        <v>20</v>
      </c>
      <c r="L10" s="169">
        <f t="shared" ref="L10:L138" si="3">(K10-F10)^2</f>
        <v>400</v>
      </c>
      <c r="M10" s="170">
        <f t="shared" ref="M10:M138" si="4">ABS(K10-F10)</f>
        <v>20</v>
      </c>
      <c r="N10" s="168">
        <v>25</v>
      </c>
      <c r="O10" s="169">
        <f t="shared" ref="O10:O138" si="5">(N10-F10)^2</f>
        <v>625</v>
      </c>
      <c r="P10" s="170">
        <f t="shared" ref="P10:P138" si="6">ABS(N10-F10)</f>
        <v>25</v>
      </c>
      <c r="Q10" s="168">
        <v>35</v>
      </c>
      <c r="R10" s="169">
        <f t="shared" ref="R10:R138" si="7">(Q10-F10)^2</f>
        <v>1225</v>
      </c>
      <c r="S10" s="170">
        <f t="shared" ref="S10:S138" si="8">ABS(Q10-F10)</f>
        <v>35</v>
      </c>
      <c r="T10" s="171">
        <v>20</v>
      </c>
      <c r="U10" s="169">
        <f t="shared" ref="U10:U138" si="9">(T10-F10)^2</f>
        <v>400</v>
      </c>
      <c r="V10" s="170">
        <f t="shared" ref="V10:V138" si="10">ABS(T10-F10)</f>
        <v>20</v>
      </c>
      <c r="W10" s="2"/>
    </row>
    <row r="11" spans="1:23">
      <c r="A11" s="49">
        <v>2</v>
      </c>
      <c r="B11" s="49" t="s">
        <v>19</v>
      </c>
      <c r="C11" s="49" t="s">
        <v>23</v>
      </c>
      <c r="D11" s="49">
        <v>20</v>
      </c>
      <c r="E11" s="49">
        <v>0</v>
      </c>
      <c r="F11" s="50">
        <f t="shared" si="0"/>
        <v>10</v>
      </c>
      <c r="G11" s="45"/>
      <c r="H11" s="168">
        <v>30</v>
      </c>
      <c r="I11" s="169">
        <f t="shared" si="1"/>
        <v>400</v>
      </c>
      <c r="J11" s="170">
        <f t="shared" si="2"/>
        <v>20</v>
      </c>
      <c r="K11" s="168">
        <v>20</v>
      </c>
      <c r="L11" s="169">
        <f t="shared" si="3"/>
        <v>100</v>
      </c>
      <c r="M11" s="170">
        <f t="shared" si="4"/>
        <v>10</v>
      </c>
      <c r="N11" s="168">
        <v>20</v>
      </c>
      <c r="O11" s="169">
        <f t="shared" si="5"/>
        <v>100</v>
      </c>
      <c r="P11" s="170">
        <f t="shared" si="6"/>
        <v>10</v>
      </c>
      <c r="Q11" s="168">
        <v>25</v>
      </c>
      <c r="R11" s="169">
        <f t="shared" si="7"/>
        <v>225</v>
      </c>
      <c r="S11" s="170">
        <f t="shared" si="8"/>
        <v>15</v>
      </c>
      <c r="T11" s="171">
        <v>30</v>
      </c>
      <c r="U11" s="169">
        <f t="shared" si="9"/>
        <v>400</v>
      </c>
      <c r="V11" s="170">
        <f t="shared" si="10"/>
        <v>20</v>
      </c>
      <c r="W11" s="2"/>
    </row>
    <row r="12" spans="1:23">
      <c r="A12" s="49">
        <v>3</v>
      </c>
      <c r="B12" s="49" t="s">
        <v>19</v>
      </c>
      <c r="C12" s="49" t="s">
        <v>26</v>
      </c>
      <c r="D12" s="49">
        <v>20</v>
      </c>
      <c r="E12" s="49">
        <v>15</v>
      </c>
      <c r="F12" s="50">
        <f t="shared" si="0"/>
        <v>17.5</v>
      </c>
      <c r="G12" s="45"/>
      <c r="H12" s="168">
        <v>20</v>
      </c>
      <c r="I12" s="169">
        <f t="shared" si="1"/>
        <v>6.25</v>
      </c>
      <c r="J12" s="170">
        <f t="shared" si="2"/>
        <v>2.5</v>
      </c>
      <c r="K12" s="168">
        <v>20</v>
      </c>
      <c r="L12" s="169">
        <f t="shared" si="3"/>
        <v>6.25</v>
      </c>
      <c r="M12" s="170">
        <f t="shared" si="4"/>
        <v>2.5</v>
      </c>
      <c r="N12" s="168">
        <v>20</v>
      </c>
      <c r="O12" s="169">
        <f t="shared" si="5"/>
        <v>6.25</v>
      </c>
      <c r="P12" s="170">
        <f t="shared" si="6"/>
        <v>2.5</v>
      </c>
      <c r="Q12" s="168">
        <v>25</v>
      </c>
      <c r="R12" s="169">
        <f t="shared" si="7"/>
        <v>56.25</v>
      </c>
      <c r="S12" s="170">
        <f t="shared" si="8"/>
        <v>7.5</v>
      </c>
      <c r="T12" s="171">
        <v>20</v>
      </c>
      <c r="U12" s="169">
        <f t="shared" si="9"/>
        <v>6.25</v>
      </c>
      <c r="V12" s="170">
        <f t="shared" si="10"/>
        <v>2.5</v>
      </c>
      <c r="W12" s="2"/>
    </row>
    <row r="13" spans="1:23">
      <c r="A13" s="51">
        <v>4</v>
      </c>
      <c r="B13" s="49" t="s">
        <v>19</v>
      </c>
      <c r="C13" s="50" t="s">
        <v>29</v>
      </c>
      <c r="D13" s="49">
        <v>40</v>
      </c>
      <c r="E13" s="49">
        <v>30</v>
      </c>
      <c r="F13" s="50">
        <f t="shared" si="0"/>
        <v>35</v>
      </c>
      <c r="G13" s="45"/>
      <c r="H13" s="168">
        <v>30</v>
      </c>
      <c r="I13" s="169">
        <f t="shared" si="1"/>
        <v>25</v>
      </c>
      <c r="J13" s="170">
        <f t="shared" si="2"/>
        <v>5</v>
      </c>
      <c r="K13" s="168">
        <v>30</v>
      </c>
      <c r="L13" s="169">
        <f t="shared" si="3"/>
        <v>25</v>
      </c>
      <c r="M13" s="170">
        <f t="shared" si="4"/>
        <v>5</v>
      </c>
      <c r="N13" s="168">
        <v>40</v>
      </c>
      <c r="O13" s="169">
        <f t="shared" si="5"/>
        <v>25</v>
      </c>
      <c r="P13" s="170">
        <f t="shared" si="6"/>
        <v>5</v>
      </c>
      <c r="Q13" s="168">
        <v>30</v>
      </c>
      <c r="R13" s="169">
        <f t="shared" si="7"/>
        <v>25</v>
      </c>
      <c r="S13" s="170">
        <f t="shared" si="8"/>
        <v>5</v>
      </c>
      <c r="T13" s="171">
        <v>40</v>
      </c>
      <c r="U13" s="169">
        <f t="shared" si="9"/>
        <v>25</v>
      </c>
      <c r="V13" s="170">
        <f t="shared" si="10"/>
        <v>5</v>
      </c>
      <c r="W13" s="2"/>
    </row>
    <row r="14" spans="1:23">
      <c r="A14" s="49">
        <v>5</v>
      </c>
      <c r="B14" s="49" t="s">
        <v>19</v>
      </c>
      <c r="C14" s="49" t="s">
        <v>32</v>
      </c>
      <c r="D14" s="49">
        <v>5</v>
      </c>
      <c r="E14" s="49">
        <v>10</v>
      </c>
      <c r="F14" s="50">
        <f t="shared" si="0"/>
        <v>7.5</v>
      </c>
      <c r="G14" s="45"/>
      <c r="H14" s="168">
        <v>10</v>
      </c>
      <c r="I14" s="169">
        <f t="shared" si="1"/>
        <v>6.25</v>
      </c>
      <c r="J14" s="170">
        <f t="shared" si="2"/>
        <v>2.5</v>
      </c>
      <c r="K14" s="171">
        <v>25</v>
      </c>
      <c r="L14" s="169">
        <f t="shared" si="3"/>
        <v>306.25</v>
      </c>
      <c r="M14" s="170">
        <f t="shared" si="4"/>
        <v>17.5</v>
      </c>
      <c r="N14" s="171">
        <v>10</v>
      </c>
      <c r="O14" s="169">
        <f t="shared" si="5"/>
        <v>6.25</v>
      </c>
      <c r="P14" s="170">
        <f t="shared" si="6"/>
        <v>2.5</v>
      </c>
      <c r="Q14" s="171">
        <v>25</v>
      </c>
      <c r="R14" s="169">
        <f t="shared" si="7"/>
        <v>306.25</v>
      </c>
      <c r="S14" s="170">
        <f t="shared" si="8"/>
        <v>17.5</v>
      </c>
      <c r="T14" s="171">
        <v>20</v>
      </c>
      <c r="U14" s="169">
        <f t="shared" si="9"/>
        <v>156.25</v>
      </c>
      <c r="V14" s="170">
        <f t="shared" si="10"/>
        <v>12.5</v>
      </c>
      <c r="W14" s="2"/>
    </row>
    <row r="15" spans="1:23">
      <c r="A15" s="49">
        <v>6</v>
      </c>
      <c r="B15" s="50" t="s">
        <v>19</v>
      </c>
      <c r="C15" s="50" t="s">
        <v>35</v>
      </c>
      <c r="D15" s="49">
        <v>5</v>
      </c>
      <c r="E15" s="49">
        <v>10</v>
      </c>
      <c r="F15" s="50">
        <f t="shared" si="0"/>
        <v>7.5</v>
      </c>
      <c r="G15" s="45"/>
      <c r="H15" s="168">
        <v>30</v>
      </c>
      <c r="I15" s="169">
        <f t="shared" si="1"/>
        <v>506.25</v>
      </c>
      <c r="J15" s="170">
        <f t="shared" si="2"/>
        <v>22.5</v>
      </c>
      <c r="K15" s="168">
        <v>20</v>
      </c>
      <c r="L15" s="169">
        <f t="shared" si="3"/>
        <v>156.25</v>
      </c>
      <c r="M15" s="170">
        <f t="shared" si="4"/>
        <v>12.5</v>
      </c>
      <c r="N15" s="168">
        <v>20</v>
      </c>
      <c r="O15" s="169">
        <f t="shared" si="5"/>
        <v>156.25</v>
      </c>
      <c r="P15" s="170">
        <f t="shared" si="6"/>
        <v>12.5</v>
      </c>
      <c r="Q15" s="168">
        <v>25</v>
      </c>
      <c r="R15" s="169">
        <f t="shared" si="7"/>
        <v>306.25</v>
      </c>
      <c r="S15" s="170">
        <f t="shared" si="8"/>
        <v>17.5</v>
      </c>
      <c r="T15" s="171">
        <v>20</v>
      </c>
      <c r="U15" s="169">
        <f t="shared" si="9"/>
        <v>156.25</v>
      </c>
      <c r="V15" s="170">
        <f t="shared" si="10"/>
        <v>12.5</v>
      </c>
      <c r="W15" s="2"/>
    </row>
    <row r="16" spans="1:23">
      <c r="A16" s="43">
        <v>7</v>
      </c>
      <c r="B16" s="49" t="s">
        <v>19</v>
      </c>
      <c r="C16" s="49" t="s">
        <v>37</v>
      </c>
      <c r="D16" s="49">
        <v>15</v>
      </c>
      <c r="E16" s="49">
        <v>15</v>
      </c>
      <c r="F16" s="50">
        <f t="shared" si="0"/>
        <v>15</v>
      </c>
      <c r="G16" s="45"/>
      <c r="H16" s="168">
        <v>30</v>
      </c>
      <c r="I16" s="169">
        <f t="shared" si="1"/>
        <v>225</v>
      </c>
      <c r="J16" s="170">
        <f t="shared" si="2"/>
        <v>15</v>
      </c>
      <c r="K16" s="168">
        <v>25</v>
      </c>
      <c r="L16" s="169">
        <f t="shared" si="3"/>
        <v>100</v>
      </c>
      <c r="M16" s="170">
        <f t="shared" si="4"/>
        <v>10</v>
      </c>
      <c r="N16" s="168">
        <v>30</v>
      </c>
      <c r="O16" s="169">
        <f t="shared" si="5"/>
        <v>225</v>
      </c>
      <c r="P16" s="170">
        <f t="shared" si="6"/>
        <v>15</v>
      </c>
      <c r="Q16" s="168">
        <v>30</v>
      </c>
      <c r="R16" s="169">
        <f t="shared" si="7"/>
        <v>225</v>
      </c>
      <c r="S16" s="170">
        <f t="shared" si="8"/>
        <v>15</v>
      </c>
      <c r="T16" s="171">
        <v>35</v>
      </c>
      <c r="U16" s="169">
        <f t="shared" si="9"/>
        <v>400</v>
      </c>
      <c r="V16" s="170">
        <f t="shared" si="10"/>
        <v>20</v>
      </c>
      <c r="W16" s="2"/>
    </row>
    <row r="17" spans="1:23">
      <c r="A17" s="49">
        <v>8</v>
      </c>
      <c r="B17" s="49" t="s">
        <v>19</v>
      </c>
      <c r="C17" s="50" t="s">
        <v>40</v>
      </c>
      <c r="D17" s="49">
        <v>25</v>
      </c>
      <c r="E17" s="49">
        <v>10</v>
      </c>
      <c r="F17" s="50">
        <f t="shared" si="0"/>
        <v>17.5</v>
      </c>
      <c r="G17" s="45"/>
      <c r="H17" s="168">
        <v>30</v>
      </c>
      <c r="I17" s="169">
        <f t="shared" si="1"/>
        <v>156.25</v>
      </c>
      <c r="J17" s="170">
        <f t="shared" si="2"/>
        <v>12.5</v>
      </c>
      <c r="K17" s="168">
        <v>15</v>
      </c>
      <c r="L17" s="169">
        <f t="shared" si="3"/>
        <v>6.25</v>
      </c>
      <c r="M17" s="170">
        <f t="shared" si="4"/>
        <v>2.5</v>
      </c>
      <c r="N17" s="168">
        <v>35</v>
      </c>
      <c r="O17" s="169">
        <f t="shared" si="5"/>
        <v>306.25</v>
      </c>
      <c r="P17" s="170">
        <f t="shared" si="6"/>
        <v>17.5</v>
      </c>
      <c r="Q17" s="168">
        <v>25</v>
      </c>
      <c r="R17" s="169">
        <f t="shared" si="7"/>
        <v>56.25</v>
      </c>
      <c r="S17" s="170">
        <f t="shared" si="8"/>
        <v>7.5</v>
      </c>
      <c r="T17" s="171">
        <v>35</v>
      </c>
      <c r="U17" s="169">
        <f t="shared" si="9"/>
        <v>306.25</v>
      </c>
      <c r="V17" s="170">
        <f t="shared" si="10"/>
        <v>17.5</v>
      </c>
      <c r="W17" s="2"/>
    </row>
    <row r="18" spans="1:23">
      <c r="A18" s="49">
        <v>9</v>
      </c>
      <c r="B18" s="49" t="s">
        <v>19</v>
      </c>
      <c r="C18" s="49" t="s">
        <v>43</v>
      </c>
      <c r="D18" s="49">
        <v>25</v>
      </c>
      <c r="E18" s="49">
        <v>25</v>
      </c>
      <c r="F18" s="50">
        <f t="shared" si="0"/>
        <v>25</v>
      </c>
      <c r="G18" s="45"/>
      <c r="H18" s="168">
        <v>30</v>
      </c>
      <c r="I18" s="169">
        <f t="shared" si="1"/>
        <v>25</v>
      </c>
      <c r="J18" s="170">
        <f t="shared" si="2"/>
        <v>5</v>
      </c>
      <c r="K18" s="168">
        <v>25</v>
      </c>
      <c r="L18" s="169">
        <f t="shared" si="3"/>
        <v>0</v>
      </c>
      <c r="M18" s="170">
        <f t="shared" si="4"/>
        <v>0</v>
      </c>
      <c r="N18" s="168">
        <v>30</v>
      </c>
      <c r="O18" s="169">
        <f t="shared" si="5"/>
        <v>25</v>
      </c>
      <c r="P18" s="170">
        <f t="shared" si="6"/>
        <v>5</v>
      </c>
      <c r="Q18" s="168">
        <v>35</v>
      </c>
      <c r="R18" s="169">
        <f t="shared" si="7"/>
        <v>100</v>
      </c>
      <c r="S18" s="170">
        <f t="shared" si="8"/>
        <v>10</v>
      </c>
      <c r="T18" s="171">
        <v>25</v>
      </c>
      <c r="U18" s="169">
        <f t="shared" si="9"/>
        <v>0</v>
      </c>
      <c r="V18" s="170">
        <f t="shared" si="10"/>
        <v>0</v>
      </c>
      <c r="W18" s="2"/>
    </row>
    <row r="19" spans="1:23">
      <c r="A19" s="51">
        <v>10</v>
      </c>
      <c r="B19" s="49" t="s">
        <v>19</v>
      </c>
      <c r="C19" s="49" t="s">
        <v>46</v>
      </c>
      <c r="D19" s="49">
        <v>40</v>
      </c>
      <c r="E19" s="49">
        <v>40</v>
      </c>
      <c r="F19" s="50">
        <f t="shared" si="0"/>
        <v>40</v>
      </c>
      <c r="G19" s="45"/>
      <c r="H19" s="168">
        <v>40</v>
      </c>
      <c r="I19" s="169">
        <f t="shared" si="1"/>
        <v>0</v>
      </c>
      <c r="J19" s="170">
        <f t="shared" si="2"/>
        <v>0</v>
      </c>
      <c r="K19" s="168">
        <v>40</v>
      </c>
      <c r="L19" s="169">
        <f t="shared" si="3"/>
        <v>0</v>
      </c>
      <c r="M19" s="170">
        <f t="shared" si="4"/>
        <v>0</v>
      </c>
      <c r="N19" s="168">
        <v>40</v>
      </c>
      <c r="O19" s="169">
        <f t="shared" si="5"/>
        <v>0</v>
      </c>
      <c r="P19" s="170">
        <f t="shared" si="6"/>
        <v>0</v>
      </c>
      <c r="Q19" s="168">
        <v>40</v>
      </c>
      <c r="R19" s="169">
        <f t="shared" si="7"/>
        <v>0</v>
      </c>
      <c r="S19" s="170">
        <f t="shared" si="8"/>
        <v>0</v>
      </c>
      <c r="T19" s="171">
        <v>40</v>
      </c>
      <c r="U19" s="169">
        <f t="shared" si="9"/>
        <v>0</v>
      </c>
      <c r="V19" s="170">
        <f t="shared" si="10"/>
        <v>0</v>
      </c>
      <c r="W19" s="2"/>
    </row>
    <row r="20" spans="1:23">
      <c r="A20" s="49">
        <v>11</v>
      </c>
      <c r="B20" s="50" t="s">
        <v>19</v>
      </c>
      <c r="C20" s="49" t="s">
        <v>49</v>
      </c>
      <c r="D20" s="49">
        <v>0</v>
      </c>
      <c r="E20" s="49">
        <v>0</v>
      </c>
      <c r="F20" s="50">
        <f t="shared" si="0"/>
        <v>0</v>
      </c>
      <c r="G20" s="45"/>
      <c r="H20" s="168">
        <v>30</v>
      </c>
      <c r="I20" s="169">
        <f t="shared" si="1"/>
        <v>900</v>
      </c>
      <c r="J20" s="170">
        <f t="shared" si="2"/>
        <v>30</v>
      </c>
      <c r="K20" s="168">
        <v>20</v>
      </c>
      <c r="L20" s="169">
        <f t="shared" si="3"/>
        <v>400</v>
      </c>
      <c r="M20" s="170">
        <f t="shared" si="4"/>
        <v>20</v>
      </c>
      <c r="N20" s="168">
        <v>20</v>
      </c>
      <c r="O20" s="169">
        <f t="shared" si="5"/>
        <v>400</v>
      </c>
      <c r="P20" s="170">
        <f t="shared" si="6"/>
        <v>20</v>
      </c>
      <c r="Q20" s="168">
        <v>25</v>
      </c>
      <c r="R20" s="169">
        <f t="shared" si="7"/>
        <v>625</v>
      </c>
      <c r="S20" s="170">
        <f t="shared" si="8"/>
        <v>25</v>
      </c>
      <c r="T20" s="171">
        <v>20</v>
      </c>
      <c r="U20" s="169">
        <f t="shared" si="9"/>
        <v>400</v>
      </c>
      <c r="V20" s="170">
        <f t="shared" si="10"/>
        <v>20</v>
      </c>
      <c r="W20" s="2"/>
    </row>
    <row r="21" spans="1:23">
      <c r="A21" s="49">
        <v>12</v>
      </c>
      <c r="B21" s="49" t="s">
        <v>19</v>
      </c>
      <c r="C21" s="49" t="s">
        <v>52</v>
      </c>
      <c r="D21" s="49">
        <v>40</v>
      </c>
      <c r="E21" s="49">
        <v>40</v>
      </c>
      <c r="F21" s="50">
        <f t="shared" si="0"/>
        <v>40</v>
      </c>
      <c r="G21" s="45"/>
      <c r="H21" s="168">
        <v>30</v>
      </c>
      <c r="I21" s="169">
        <f t="shared" si="1"/>
        <v>100</v>
      </c>
      <c r="J21" s="170">
        <f t="shared" si="2"/>
        <v>10</v>
      </c>
      <c r="K21" s="168">
        <v>40</v>
      </c>
      <c r="L21" s="169">
        <f t="shared" si="3"/>
        <v>0</v>
      </c>
      <c r="M21" s="170">
        <f t="shared" si="4"/>
        <v>0</v>
      </c>
      <c r="N21" s="168">
        <v>40</v>
      </c>
      <c r="O21" s="169">
        <f t="shared" si="5"/>
        <v>0</v>
      </c>
      <c r="P21" s="170">
        <f t="shared" si="6"/>
        <v>0</v>
      </c>
      <c r="Q21" s="168">
        <v>35</v>
      </c>
      <c r="R21" s="169">
        <f t="shared" si="7"/>
        <v>25</v>
      </c>
      <c r="S21" s="170">
        <f t="shared" si="8"/>
        <v>5</v>
      </c>
      <c r="T21" s="171">
        <v>40</v>
      </c>
      <c r="U21" s="169">
        <f t="shared" si="9"/>
        <v>0</v>
      </c>
      <c r="V21" s="170">
        <f t="shared" si="10"/>
        <v>0</v>
      </c>
      <c r="W21" s="2"/>
    </row>
    <row r="22" spans="1:23">
      <c r="A22" s="43">
        <v>13</v>
      </c>
      <c r="B22" s="50" t="s">
        <v>19</v>
      </c>
      <c r="C22" s="50" t="s">
        <v>55</v>
      </c>
      <c r="D22" s="49">
        <v>0</v>
      </c>
      <c r="E22" s="49">
        <v>10</v>
      </c>
      <c r="F22" s="50">
        <f t="shared" si="0"/>
        <v>5</v>
      </c>
      <c r="G22" s="45"/>
      <c r="H22" s="168">
        <v>20</v>
      </c>
      <c r="I22" s="169">
        <f t="shared" si="1"/>
        <v>225</v>
      </c>
      <c r="J22" s="170">
        <f t="shared" si="2"/>
        <v>15</v>
      </c>
      <c r="K22" s="168">
        <v>20</v>
      </c>
      <c r="L22" s="169">
        <f t="shared" si="3"/>
        <v>225</v>
      </c>
      <c r="M22" s="170">
        <f t="shared" si="4"/>
        <v>15</v>
      </c>
      <c r="N22" s="168">
        <v>20</v>
      </c>
      <c r="O22" s="169">
        <f t="shared" si="5"/>
        <v>225</v>
      </c>
      <c r="P22" s="170">
        <f t="shared" si="6"/>
        <v>15</v>
      </c>
      <c r="Q22" s="168">
        <v>20</v>
      </c>
      <c r="R22" s="169">
        <f t="shared" si="7"/>
        <v>225</v>
      </c>
      <c r="S22" s="170">
        <f t="shared" si="8"/>
        <v>15</v>
      </c>
      <c r="T22" s="171">
        <v>20</v>
      </c>
      <c r="U22" s="169">
        <f t="shared" si="9"/>
        <v>225</v>
      </c>
      <c r="V22" s="170">
        <f t="shared" si="10"/>
        <v>15</v>
      </c>
      <c r="W22" s="2"/>
    </row>
    <row r="23" spans="1:23">
      <c r="A23" s="49">
        <v>15</v>
      </c>
      <c r="B23" s="50" t="s">
        <v>19</v>
      </c>
      <c r="C23" s="49" t="s">
        <v>61</v>
      </c>
      <c r="D23" s="49">
        <v>27</v>
      </c>
      <c r="E23" s="49">
        <v>25</v>
      </c>
      <c r="F23" s="50">
        <f t="shared" si="0"/>
        <v>26</v>
      </c>
      <c r="G23" s="45"/>
      <c r="H23" s="168">
        <v>30</v>
      </c>
      <c r="I23" s="169">
        <f t="shared" si="1"/>
        <v>16</v>
      </c>
      <c r="J23" s="170">
        <f t="shared" si="2"/>
        <v>4</v>
      </c>
      <c r="K23" s="168">
        <v>30</v>
      </c>
      <c r="L23" s="169">
        <f t="shared" si="3"/>
        <v>16</v>
      </c>
      <c r="M23" s="170">
        <f t="shared" si="4"/>
        <v>4</v>
      </c>
      <c r="N23" s="168">
        <v>35</v>
      </c>
      <c r="O23" s="169">
        <f t="shared" si="5"/>
        <v>81</v>
      </c>
      <c r="P23" s="170">
        <f t="shared" si="6"/>
        <v>9</v>
      </c>
      <c r="Q23" s="168">
        <v>35</v>
      </c>
      <c r="R23" s="169">
        <f t="shared" si="7"/>
        <v>81</v>
      </c>
      <c r="S23" s="170">
        <f t="shared" si="8"/>
        <v>9</v>
      </c>
      <c r="T23" s="171">
        <v>25</v>
      </c>
      <c r="U23" s="169">
        <f t="shared" si="9"/>
        <v>1</v>
      </c>
      <c r="V23" s="170">
        <f t="shared" si="10"/>
        <v>1</v>
      </c>
      <c r="W23" s="2"/>
    </row>
    <row r="24" spans="1:23">
      <c r="A24" s="43">
        <v>16</v>
      </c>
      <c r="B24" s="50" t="s">
        <v>19</v>
      </c>
      <c r="C24" s="50" t="s">
        <v>64</v>
      </c>
      <c r="D24" s="49">
        <v>38</v>
      </c>
      <c r="E24" s="49">
        <v>35</v>
      </c>
      <c r="F24" s="50">
        <f t="shared" si="0"/>
        <v>36.5</v>
      </c>
      <c r="G24" s="45"/>
      <c r="H24" s="168">
        <v>30</v>
      </c>
      <c r="I24" s="169">
        <f t="shared" si="1"/>
        <v>42.25</v>
      </c>
      <c r="J24" s="170">
        <f t="shared" si="2"/>
        <v>6.5</v>
      </c>
      <c r="K24" s="168">
        <v>40</v>
      </c>
      <c r="L24" s="169">
        <f t="shared" si="3"/>
        <v>12.25</v>
      </c>
      <c r="M24" s="170">
        <f t="shared" si="4"/>
        <v>3.5</v>
      </c>
      <c r="N24" s="168">
        <v>40</v>
      </c>
      <c r="O24" s="169">
        <f t="shared" si="5"/>
        <v>12.25</v>
      </c>
      <c r="P24" s="170">
        <f t="shared" si="6"/>
        <v>3.5</v>
      </c>
      <c r="Q24" s="168">
        <v>35</v>
      </c>
      <c r="R24" s="169">
        <f t="shared" si="7"/>
        <v>2.25</v>
      </c>
      <c r="S24" s="170">
        <f t="shared" si="8"/>
        <v>1.5</v>
      </c>
      <c r="T24" s="171">
        <v>40</v>
      </c>
      <c r="U24" s="169">
        <f t="shared" si="9"/>
        <v>12.25</v>
      </c>
      <c r="V24" s="170">
        <f t="shared" si="10"/>
        <v>3.5</v>
      </c>
      <c r="W24" s="2"/>
    </row>
    <row r="25" spans="1:23">
      <c r="A25" s="49">
        <v>17</v>
      </c>
      <c r="B25" s="50" t="s">
        <v>19</v>
      </c>
      <c r="C25" s="50" t="s">
        <v>67</v>
      </c>
      <c r="D25" s="49">
        <v>20</v>
      </c>
      <c r="E25" s="49">
        <v>20</v>
      </c>
      <c r="F25" s="50">
        <f t="shared" si="0"/>
        <v>20</v>
      </c>
      <c r="G25" s="45"/>
      <c r="H25" s="168">
        <v>30</v>
      </c>
      <c r="I25" s="169">
        <f t="shared" si="1"/>
        <v>100</v>
      </c>
      <c r="J25" s="170">
        <f t="shared" si="2"/>
        <v>10</v>
      </c>
      <c r="K25" s="168">
        <v>35</v>
      </c>
      <c r="L25" s="169">
        <f t="shared" si="3"/>
        <v>225</v>
      </c>
      <c r="M25" s="170">
        <f t="shared" si="4"/>
        <v>15</v>
      </c>
      <c r="N25" s="168">
        <v>35</v>
      </c>
      <c r="O25" s="169">
        <f t="shared" si="5"/>
        <v>225</v>
      </c>
      <c r="P25" s="170">
        <f t="shared" si="6"/>
        <v>15</v>
      </c>
      <c r="Q25" s="168">
        <v>35</v>
      </c>
      <c r="R25" s="169">
        <f t="shared" si="7"/>
        <v>225</v>
      </c>
      <c r="S25" s="170">
        <f t="shared" si="8"/>
        <v>15</v>
      </c>
      <c r="T25" s="171">
        <v>40</v>
      </c>
      <c r="U25" s="169">
        <f t="shared" si="9"/>
        <v>400</v>
      </c>
      <c r="V25" s="170">
        <f t="shared" si="10"/>
        <v>20</v>
      </c>
      <c r="W25" s="2"/>
    </row>
    <row r="26" spans="1:23">
      <c r="A26" s="49">
        <v>18</v>
      </c>
      <c r="B26" s="50" t="s">
        <v>19</v>
      </c>
      <c r="C26" s="49" t="s">
        <v>70</v>
      </c>
      <c r="D26" s="49">
        <v>10</v>
      </c>
      <c r="E26" s="49">
        <v>15</v>
      </c>
      <c r="F26" s="50">
        <f t="shared" si="0"/>
        <v>12.5</v>
      </c>
      <c r="G26" s="45"/>
      <c r="H26" s="168">
        <v>30</v>
      </c>
      <c r="I26" s="169">
        <f t="shared" si="1"/>
        <v>306.25</v>
      </c>
      <c r="J26" s="170">
        <f t="shared" si="2"/>
        <v>17.5</v>
      </c>
      <c r="K26" s="168">
        <v>25</v>
      </c>
      <c r="L26" s="169">
        <f t="shared" si="3"/>
        <v>156.25</v>
      </c>
      <c r="M26" s="170">
        <f t="shared" si="4"/>
        <v>12.5</v>
      </c>
      <c r="N26" s="168">
        <v>30</v>
      </c>
      <c r="O26" s="169">
        <f t="shared" si="5"/>
        <v>306.25</v>
      </c>
      <c r="P26" s="170">
        <f t="shared" si="6"/>
        <v>17.5</v>
      </c>
      <c r="Q26" s="168">
        <v>25</v>
      </c>
      <c r="R26" s="169">
        <f t="shared" si="7"/>
        <v>156.25</v>
      </c>
      <c r="S26" s="170">
        <f t="shared" si="8"/>
        <v>12.5</v>
      </c>
      <c r="T26" s="171">
        <v>35</v>
      </c>
      <c r="U26" s="169">
        <f t="shared" si="9"/>
        <v>506.25</v>
      </c>
      <c r="V26" s="170">
        <f t="shared" si="10"/>
        <v>22.5</v>
      </c>
      <c r="W26" s="2"/>
    </row>
    <row r="27" spans="1:23">
      <c r="A27" s="51">
        <v>19</v>
      </c>
      <c r="B27" s="50" t="s">
        <v>19</v>
      </c>
      <c r="C27" s="50" t="s">
        <v>73</v>
      </c>
      <c r="D27" s="49">
        <v>20</v>
      </c>
      <c r="E27" s="49">
        <v>0</v>
      </c>
      <c r="F27" s="50">
        <f t="shared" si="0"/>
        <v>10</v>
      </c>
      <c r="G27" s="45"/>
      <c r="H27" s="168">
        <v>20</v>
      </c>
      <c r="I27" s="169">
        <f t="shared" si="1"/>
        <v>100</v>
      </c>
      <c r="J27" s="170">
        <f t="shared" si="2"/>
        <v>10</v>
      </c>
      <c r="K27" s="168">
        <v>20</v>
      </c>
      <c r="L27" s="169">
        <f t="shared" si="3"/>
        <v>100</v>
      </c>
      <c r="M27" s="170">
        <f t="shared" si="4"/>
        <v>10</v>
      </c>
      <c r="N27" s="168">
        <v>20</v>
      </c>
      <c r="O27" s="169">
        <f t="shared" si="5"/>
        <v>100</v>
      </c>
      <c r="P27" s="170">
        <f t="shared" si="6"/>
        <v>10</v>
      </c>
      <c r="Q27" s="168">
        <v>25</v>
      </c>
      <c r="R27" s="169">
        <f t="shared" si="7"/>
        <v>225</v>
      </c>
      <c r="S27" s="170">
        <f t="shared" si="8"/>
        <v>15</v>
      </c>
      <c r="T27" s="171">
        <v>20</v>
      </c>
      <c r="U27" s="169">
        <f t="shared" si="9"/>
        <v>100</v>
      </c>
      <c r="V27" s="170">
        <f t="shared" si="10"/>
        <v>10</v>
      </c>
      <c r="W27" s="2"/>
    </row>
    <row r="28" spans="1:23">
      <c r="A28" s="49">
        <v>20</v>
      </c>
      <c r="B28" s="50" t="s">
        <v>19</v>
      </c>
      <c r="C28" s="50" t="s">
        <v>76</v>
      </c>
      <c r="D28" s="49">
        <v>30</v>
      </c>
      <c r="E28" s="49">
        <v>25</v>
      </c>
      <c r="F28" s="50">
        <f t="shared" si="0"/>
        <v>27.5</v>
      </c>
      <c r="G28" s="45"/>
      <c r="H28" s="168">
        <v>30</v>
      </c>
      <c r="I28" s="169">
        <f t="shared" si="1"/>
        <v>6.25</v>
      </c>
      <c r="J28" s="170">
        <f t="shared" si="2"/>
        <v>2.5</v>
      </c>
      <c r="K28" s="168">
        <v>40</v>
      </c>
      <c r="L28" s="169">
        <f t="shared" si="3"/>
        <v>156.25</v>
      </c>
      <c r="M28" s="170">
        <f t="shared" si="4"/>
        <v>12.5</v>
      </c>
      <c r="N28" s="168">
        <v>30</v>
      </c>
      <c r="O28" s="169">
        <f t="shared" si="5"/>
        <v>6.25</v>
      </c>
      <c r="P28" s="170">
        <f t="shared" si="6"/>
        <v>2.5</v>
      </c>
      <c r="Q28" s="168">
        <v>35</v>
      </c>
      <c r="R28" s="169">
        <f t="shared" si="7"/>
        <v>56.25</v>
      </c>
      <c r="S28" s="170">
        <f t="shared" si="8"/>
        <v>7.5</v>
      </c>
      <c r="T28" s="171">
        <v>35</v>
      </c>
      <c r="U28" s="169">
        <f t="shared" si="9"/>
        <v>56.25</v>
      </c>
      <c r="V28" s="170">
        <f t="shared" si="10"/>
        <v>7.5</v>
      </c>
      <c r="W28" s="2"/>
    </row>
    <row r="29" spans="1:23">
      <c r="A29" s="49">
        <v>21</v>
      </c>
      <c r="B29" s="50" t="s">
        <v>19</v>
      </c>
      <c r="C29" s="50" t="s">
        <v>79</v>
      </c>
      <c r="D29" s="49">
        <v>20</v>
      </c>
      <c r="E29" s="49">
        <v>10</v>
      </c>
      <c r="F29" s="50">
        <f t="shared" si="0"/>
        <v>15</v>
      </c>
      <c r="G29" s="45"/>
      <c r="H29" s="168">
        <v>30</v>
      </c>
      <c r="I29" s="169">
        <f t="shared" si="1"/>
        <v>225</v>
      </c>
      <c r="J29" s="170">
        <f t="shared" si="2"/>
        <v>15</v>
      </c>
      <c r="K29" s="168">
        <v>25</v>
      </c>
      <c r="L29" s="169">
        <f t="shared" si="3"/>
        <v>100</v>
      </c>
      <c r="M29" s="170">
        <f t="shared" si="4"/>
        <v>10</v>
      </c>
      <c r="N29" s="168">
        <v>25</v>
      </c>
      <c r="O29" s="169">
        <f t="shared" si="5"/>
        <v>100</v>
      </c>
      <c r="P29" s="170">
        <f t="shared" si="6"/>
        <v>10</v>
      </c>
      <c r="Q29" s="168">
        <v>35</v>
      </c>
      <c r="R29" s="169">
        <f t="shared" si="7"/>
        <v>400</v>
      </c>
      <c r="S29" s="170">
        <f t="shared" si="8"/>
        <v>20</v>
      </c>
      <c r="T29" s="171">
        <v>25</v>
      </c>
      <c r="U29" s="169">
        <f t="shared" si="9"/>
        <v>100</v>
      </c>
      <c r="V29" s="170">
        <f t="shared" si="10"/>
        <v>10</v>
      </c>
      <c r="W29" s="2"/>
    </row>
    <row r="30" spans="1:23">
      <c r="A30" s="43">
        <v>22</v>
      </c>
      <c r="B30" s="49" t="s">
        <v>19</v>
      </c>
      <c r="C30" s="50" t="s">
        <v>82</v>
      </c>
      <c r="D30" s="49">
        <v>20</v>
      </c>
      <c r="E30" s="49">
        <v>20</v>
      </c>
      <c r="F30" s="50">
        <f t="shared" si="0"/>
        <v>20</v>
      </c>
      <c r="G30" s="45"/>
      <c r="H30" s="168">
        <v>30</v>
      </c>
      <c r="I30" s="169">
        <f t="shared" si="1"/>
        <v>100</v>
      </c>
      <c r="J30" s="170">
        <f t="shared" si="2"/>
        <v>10</v>
      </c>
      <c r="K30" s="168">
        <v>20</v>
      </c>
      <c r="L30" s="169">
        <f t="shared" si="3"/>
        <v>0</v>
      </c>
      <c r="M30" s="170">
        <f t="shared" si="4"/>
        <v>0</v>
      </c>
      <c r="N30" s="168">
        <v>30</v>
      </c>
      <c r="O30" s="169">
        <f t="shared" si="5"/>
        <v>100</v>
      </c>
      <c r="P30" s="170">
        <f t="shared" si="6"/>
        <v>10</v>
      </c>
      <c r="Q30" s="168">
        <v>30</v>
      </c>
      <c r="R30" s="169">
        <f t="shared" si="7"/>
        <v>100</v>
      </c>
      <c r="S30" s="170">
        <f t="shared" si="8"/>
        <v>10</v>
      </c>
      <c r="T30" s="171">
        <v>40</v>
      </c>
      <c r="U30" s="169">
        <f t="shared" si="9"/>
        <v>400</v>
      </c>
      <c r="V30" s="170">
        <f t="shared" si="10"/>
        <v>20</v>
      </c>
      <c r="W30" s="2"/>
    </row>
    <row r="31" spans="1:23">
      <c r="A31" s="49">
        <v>23</v>
      </c>
      <c r="B31" s="50" t="s">
        <v>19</v>
      </c>
      <c r="C31" s="50" t="s">
        <v>85</v>
      </c>
      <c r="D31" s="49">
        <v>40</v>
      </c>
      <c r="E31" s="49">
        <v>35</v>
      </c>
      <c r="F31" s="50">
        <f t="shared" si="0"/>
        <v>37.5</v>
      </c>
      <c r="G31" s="45"/>
      <c r="H31" s="168">
        <v>30</v>
      </c>
      <c r="I31" s="169">
        <f t="shared" si="1"/>
        <v>56.25</v>
      </c>
      <c r="J31" s="170">
        <f t="shared" si="2"/>
        <v>7.5</v>
      </c>
      <c r="K31" s="168">
        <v>25</v>
      </c>
      <c r="L31" s="169">
        <f t="shared" si="3"/>
        <v>156.25</v>
      </c>
      <c r="M31" s="170">
        <f t="shared" si="4"/>
        <v>12.5</v>
      </c>
      <c r="N31" s="168">
        <v>30</v>
      </c>
      <c r="O31" s="169">
        <f t="shared" si="5"/>
        <v>56.25</v>
      </c>
      <c r="P31" s="170">
        <f t="shared" si="6"/>
        <v>7.5</v>
      </c>
      <c r="Q31" s="168">
        <v>30</v>
      </c>
      <c r="R31" s="169">
        <f t="shared" si="7"/>
        <v>56.25</v>
      </c>
      <c r="S31" s="170">
        <f t="shared" si="8"/>
        <v>7.5</v>
      </c>
      <c r="T31" s="171">
        <v>40</v>
      </c>
      <c r="U31" s="169">
        <f t="shared" si="9"/>
        <v>6.25</v>
      </c>
      <c r="V31" s="170">
        <f t="shared" si="10"/>
        <v>2.5</v>
      </c>
      <c r="W31" s="2"/>
    </row>
    <row r="32" spans="1:23">
      <c r="A32" s="49">
        <v>24</v>
      </c>
      <c r="B32" s="50" t="s">
        <v>19</v>
      </c>
      <c r="C32" s="50" t="s">
        <v>88</v>
      </c>
      <c r="D32" s="49">
        <v>15</v>
      </c>
      <c r="E32" s="49">
        <v>20</v>
      </c>
      <c r="F32" s="50">
        <f t="shared" si="0"/>
        <v>17.5</v>
      </c>
      <c r="G32" s="45"/>
      <c r="H32" s="168">
        <v>30</v>
      </c>
      <c r="I32" s="169">
        <f t="shared" si="1"/>
        <v>156.25</v>
      </c>
      <c r="J32" s="170">
        <f t="shared" si="2"/>
        <v>12.5</v>
      </c>
      <c r="K32" s="168">
        <v>25</v>
      </c>
      <c r="L32" s="169">
        <f t="shared" si="3"/>
        <v>56.25</v>
      </c>
      <c r="M32" s="170">
        <f t="shared" si="4"/>
        <v>7.5</v>
      </c>
      <c r="N32" s="168">
        <v>35</v>
      </c>
      <c r="O32" s="169">
        <f t="shared" si="5"/>
        <v>306.25</v>
      </c>
      <c r="P32" s="170">
        <f t="shared" si="6"/>
        <v>17.5</v>
      </c>
      <c r="Q32" s="168">
        <v>35</v>
      </c>
      <c r="R32" s="169">
        <f t="shared" si="7"/>
        <v>306.25</v>
      </c>
      <c r="S32" s="170">
        <f t="shared" si="8"/>
        <v>17.5</v>
      </c>
      <c r="T32" s="171">
        <v>35</v>
      </c>
      <c r="U32" s="169">
        <f t="shared" si="9"/>
        <v>306.25</v>
      </c>
      <c r="V32" s="170">
        <f t="shared" si="10"/>
        <v>17.5</v>
      </c>
      <c r="W32" s="2"/>
    </row>
    <row r="33" spans="1:23">
      <c r="A33" s="51">
        <v>25</v>
      </c>
      <c r="B33" s="50" t="s">
        <v>19</v>
      </c>
      <c r="C33" s="49" t="s">
        <v>91</v>
      </c>
      <c r="D33" s="49">
        <v>40</v>
      </c>
      <c r="E33" s="49">
        <v>40</v>
      </c>
      <c r="F33" s="50">
        <f t="shared" si="0"/>
        <v>40</v>
      </c>
      <c r="G33" s="45"/>
      <c r="H33" s="168">
        <v>30</v>
      </c>
      <c r="I33" s="169">
        <f t="shared" si="1"/>
        <v>100</v>
      </c>
      <c r="J33" s="170">
        <f t="shared" si="2"/>
        <v>10</v>
      </c>
      <c r="K33" s="168">
        <v>40</v>
      </c>
      <c r="L33" s="169">
        <f t="shared" si="3"/>
        <v>0</v>
      </c>
      <c r="M33" s="170">
        <f t="shared" si="4"/>
        <v>0</v>
      </c>
      <c r="N33" s="168">
        <v>40</v>
      </c>
      <c r="O33" s="169">
        <f t="shared" si="5"/>
        <v>0</v>
      </c>
      <c r="P33" s="170">
        <f t="shared" si="6"/>
        <v>0</v>
      </c>
      <c r="Q33" s="168">
        <v>35</v>
      </c>
      <c r="R33" s="169">
        <f t="shared" si="7"/>
        <v>25</v>
      </c>
      <c r="S33" s="170">
        <f t="shared" si="8"/>
        <v>5</v>
      </c>
      <c r="T33" s="171">
        <v>40</v>
      </c>
      <c r="U33" s="169">
        <f t="shared" si="9"/>
        <v>0</v>
      </c>
      <c r="V33" s="170">
        <f t="shared" si="10"/>
        <v>0</v>
      </c>
      <c r="W33" s="2"/>
    </row>
    <row r="34" spans="1:23">
      <c r="A34" s="49">
        <v>26</v>
      </c>
      <c r="B34" s="50" t="s">
        <v>19</v>
      </c>
      <c r="C34" s="49" t="s">
        <v>94</v>
      </c>
      <c r="D34" s="49">
        <v>40</v>
      </c>
      <c r="E34" s="49">
        <v>40</v>
      </c>
      <c r="F34" s="50">
        <f t="shared" si="0"/>
        <v>40</v>
      </c>
      <c r="G34" s="45"/>
      <c r="H34" s="168">
        <v>30</v>
      </c>
      <c r="I34" s="169">
        <f t="shared" si="1"/>
        <v>100</v>
      </c>
      <c r="J34" s="170">
        <f t="shared" si="2"/>
        <v>10</v>
      </c>
      <c r="K34" s="168">
        <v>30</v>
      </c>
      <c r="L34" s="169">
        <f t="shared" si="3"/>
        <v>100</v>
      </c>
      <c r="M34" s="170">
        <f t="shared" si="4"/>
        <v>10</v>
      </c>
      <c r="N34" s="168">
        <v>30</v>
      </c>
      <c r="O34" s="169">
        <f t="shared" si="5"/>
        <v>100</v>
      </c>
      <c r="P34" s="170">
        <f t="shared" si="6"/>
        <v>10</v>
      </c>
      <c r="Q34" s="168">
        <v>35</v>
      </c>
      <c r="R34" s="169">
        <f t="shared" si="7"/>
        <v>25</v>
      </c>
      <c r="S34" s="170">
        <f t="shared" si="8"/>
        <v>5</v>
      </c>
      <c r="T34" s="171">
        <v>30</v>
      </c>
      <c r="U34" s="169">
        <f t="shared" si="9"/>
        <v>100</v>
      </c>
      <c r="V34" s="170">
        <f t="shared" si="10"/>
        <v>10</v>
      </c>
      <c r="W34" s="2"/>
    </row>
    <row r="35" spans="1:23">
      <c r="A35" s="51">
        <v>28</v>
      </c>
      <c r="B35" s="49" t="s">
        <v>19</v>
      </c>
      <c r="C35" s="50" t="s">
        <v>100</v>
      </c>
      <c r="D35" s="49">
        <v>20</v>
      </c>
      <c r="E35" s="49">
        <v>35</v>
      </c>
      <c r="F35" s="50">
        <f t="shared" si="0"/>
        <v>27.5</v>
      </c>
      <c r="G35" s="45"/>
      <c r="H35" s="168">
        <v>30</v>
      </c>
      <c r="I35" s="169">
        <f t="shared" si="1"/>
        <v>6.25</v>
      </c>
      <c r="J35" s="170">
        <f t="shared" si="2"/>
        <v>2.5</v>
      </c>
      <c r="K35" s="168">
        <v>40</v>
      </c>
      <c r="L35" s="169">
        <f t="shared" si="3"/>
        <v>156.25</v>
      </c>
      <c r="M35" s="170">
        <f t="shared" si="4"/>
        <v>12.5</v>
      </c>
      <c r="N35" s="168">
        <v>40</v>
      </c>
      <c r="O35" s="169">
        <f t="shared" si="5"/>
        <v>156.25</v>
      </c>
      <c r="P35" s="170">
        <f t="shared" si="6"/>
        <v>12.5</v>
      </c>
      <c r="Q35" s="168">
        <v>35</v>
      </c>
      <c r="R35" s="169">
        <f t="shared" si="7"/>
        <v>56.25</v>
      </c>
      <c r="S35" s="170">
        <f t="shared" si="8"/>
        <v>7.5</v>
      </c>
      <c r="T35" s="171">
        <v>35</v>
      </c>
      <c r="U35" s="169">
        <f t="shared" si="9"/>
        <v>56.25</v>
      </c>
      <c r="V35" s="170">
        <f t="shared" si="10"/>
        <v>7.5</v>
      </c>
      <c r="W35" s="2"/>
    </row>
    <row r="36" spans="1:23">
      <c r="A36" s="49">
        <v>29</v>
      </c>
      <c r="B36" s="50" t="s">
        <v>19</v>
      </c>
      <c r="C36" s="49" t="s">
        <v>103</v>
      </c>
      <c r="D36" s="49">
        <v>20</v>
      </c>
      <c r="E36" s="49">
        <v>25</v>
      </c>
      <c r="F36" s="50">
        <f t="shared" si="0"/>
        <v>22.5</v>
      </c>
      <c r="G36" s="45"/>
      <c r="H36" s="168">
        <v>20</v>
      </c>
      <c r="I36" s="169">
        <f t="shared" si="1"/>
        <v>6.25</v>
      </c>
      <c r="J36" s="170">
        <f t="shared" si="2"/>
        <v>2.5</v>
      </c>
      <c r="K36" s="168">
        <v>10</v>
      </c>
      <c r="L36" s="169">
        <f t="shared" si="3"/>
        <v>156.25</v>
      </c>
      <c r="M36" s="170">
        <f t="shared" si="4"/>
        <v>12.5</v>
      </c>
      <c r="N36" s="168">
        <v>10</v>
      </c>
      <c r="O36" s="169">
        <f t="shared" si="5"/>
        <v>156.25</v>
      </c>
      <c r="P36" s="170">
        <f t="shared" si="6"/>
        <v>12.5</v>
      </c>
      <c r="Q36" s="168">
        <v>25</v>
      </c>
      <c r="R36" s="169">
        <f t="shared" si="7"/>
        <v>6.25</v>
      </c>
      <c r="S36" s="170">
        <f t="shared" si="8"/>
        <v>2.5</v>
      </c>
      <c r="T36" s="171">
        <v>15</v>
      </c>
      <c r="U36" s="169">
        <f t="shared" si="9"/>
        <v>56.25</v>
      </c>
      <c r="V36" s="170">
        <f t="shared" si="10"/>
        <v>7.5</v>
      </c>
      <c r="W36" s="2"/>
    </row>
    <row r="37" spans="1:23">
      <c r="A37" s="49">
        <v>30</v>
      </c>
      <c r="B37" s="50" t="s">
        <v>19</v>
      </c>
      <c r="C37" s="49" t="s">
        <v>106</v>
      </c>
      <c r="D37" s="49">
        <v>35</v>
      </c>
      <c r="E37" s="49">
        <v>30</v>
      </c>
      <c r="F37" s="50">
        <f t="shared" si="0"/>
        <v>32.5</v>
      </c>
      <c r="G37" s="45"/>
      <c r="H37" s="168">
        <v>30</v>
      </c>
      <c r="I37" s="169">
        <f t="shared" si="1"/>
        <v>6.25</v>
      </c>
      <c r="J37" s="170">
        <f t="shared" si="2"/>
        <v>2.5</v>
      </c>
      <c r="K37" s="168">
        <v>10</v>
      </c>
      <c r="L37" s="169">
        <f t="shared" si="3"/>
        <v>506.25</v>
      </c>
      <c r="M37" s="170">
        <f t="shared" si="4"/>
        <v>22.5</v>
      </c>
      <c r="N37" s="168">
        <v>10</v>
      </c>
      <c r="O37" s="169">
        <f t="shared" si="5"/>
        <v>506.25</v>
      </c>
      <c r="P37" s="170">
        <f t="shared" si="6"/>
        <v>22.5</v>
      </c>
      <c r="Q37" s="168">
        <v>25</v>
      </c>
      <c r="R37" s="169">
        <f t="shared" si="7"/>
        <v>56.25</v>
      </c>
      <c r="S37" s="170">
        <f t="shared" si="8"/>
        <v>7.5</v>
      </c>
      <c r="T37" s="171">
        <v>15</v>
      </c>
      <c r="U37" s="169">
        <f t="shared" si="9"/>
        <v>306.25</v>
      </c>
      <c r="V37" s="170">
        <f t="shared" si="10"/>
        <v>17.5</v>
      </c>
      <c r="W37" s="2"/>
    </row>
    <row r="38" spans="1:23">
      <c r="A38" s="43">
        <v>31</v>
      </c>
      <c r="B38" s="50" t="s">
        <v>19</v>
      </c>
      <c r="C38" s="49" t="s">
        <v>109</v>
      </c>
      <c r="D38" s="49">
        <v>30</v>
      </c>
      <c r="E38" s="49">
        <v>35</v>
      </c>
      <c r="F38" s="50">
        <f t="shared" si="0"/>
        <v>32.5</v>
      </c>
      <c r="G38" s="45"/>
      <c r="H38" s="168">
        <v>10</v>
      </c>
      <c r="I38" s="169">
        <f t="shared" si="1"/>
        <v>506.25</v>
      </c>
      <c r="J38" s="170">
        <f t="shared" si="2"/>
        <v>22.5</v>
      </c>
      <c r="K38" s="168">
        <v>10</v>
      </c>
      <c r="L38" s="169">
        <f t="shared" si="3"/>
        <v>506.25</v>
      </c>
      <c r="M38" s="170">
        <f t="shared" si="4"/>
        <v>22.5</v>
      </c>
      <c r="N38" s="168">
        <v>10</v>
      </c>
      <c r="O38" s="169">
        <f t="shared" si="5"/>
        <v>506.25</v>
      </c>
      <c r="P38" s="170">
        <f t="shared" si="6"/>
        <v>22.5</v>
      </c>
      <c r="Q38" s="168">
        <v>20</v>
      </c>
      <c r="R38" s="169">
        <f t="shared" si="7"/>
        <v>156.25</v>
      </c>
      <c r="S38" s="170">
        <f t="shared" si="8"/>
        <v>12.5</v>
      </c>
      <c r="T38" s="171">
        <v>20</v>
      </c>
      <c r="U38" s="169">
        <f t="shared" si="9"/>
        <v>156.25</v>
      </c>
      <c r="V38" s="170">
        <f t="shared" si="10"/>
        <v>12.5</v>
      </c>
      <c r="W38" s="2"/>
    </row>
    <row r="39" spans="1:23">
      <c r="A39" s="49">
        <v>32</v>
      </c>
      <c r="B39" s="50" t="s">
        <v>19</v>
      </c>
      <c r="C39" s="49" t="s">
        <v>112</v>
      </c>
      <c r="D39" s="49">
        <v>20</v>
      </c>
      <c r="E39" s="49">
        <v>25</v>
      </c>
      <c r="F39" s="50">
        <f t="shared" si="0"/>
        <v>22.5</v>
      </c>
      <c r="G39" s="45"/>
      <c r="H39" s="168">
        <v>30</v>
      </c>
      <c r="I39" s="169">
        <f t="shared" si="1"/>
        <v>56.25</v>
      </c>
      <c r="J39" s="170">
        <f t="shared" si="2"/>
        <v>7.5</v>
      </c>
      <c r="K39" s="168">
        <v>25</v>
      </c>
      <c r="L39" s="169">
        <f t="shared" si="3"/>
        <v>6.25</v>
      </c>
      <c r="M39" s="170">
        <f t="shared" si="4"/>
        <v>2.5</v>
      </c>
      <c r="N39" s="168">
        <v>25</v>
      </c>
      <c r="O39" s="169">
        <f t="shared" si="5"/>
        <v>6.25</v>
      </c>
      <c r="P39" s="170">
        <f t="shared" si="6"/>
        <v>2.5</v>
      </c>
      <c r="Q39" s="168">
        <v>30</v>
      </c>
      <c r="R39" s="169">
        <f t="shared" si="7"/>
        <v>56.25</v>
      </c>
      <c r="S39" s="170">
        <f t="shared" si="8"/>
        <v>7.5</v>
      </c>
      <c r="T39" s="171">
        <v>35</v>
      </c>
      <c r="U39" s="169">
        <f t="shared" si="9"/>
        <v>156.25</v>
      </c>
      <c r="V39" s="170">
        <f t="shared" si="10"/>
        <v>12.5</v>
      </c>
      <c r="W39" s="2"/>
    </row>
    <row r="40" spans="1:23">
      <c r="A40" s="49">
        <v>33</v>
      </c>
      <c r="B40" s="50" t="s">
        <v>19</v>
      </c>
      <c r="C40" s="50" t="s">
        <v>115</v>
      </c>
      <c r="D40" s="49">
        <v>10</v>
      </c>
      <c r="E40" s="49">
        <v>10</v>
      </c>
      <c r="F40" s="50">
        <f t="shared" si="0"/>
        <v>10</v>
      </c>
      <c r="G40" s="45"/>
      <c r="H40" s="168">
        <v>30</v>
      </c>
      <c r="I40" s="169">
        <f t="shared" si="1"/>
        <v>400</v>
      </c>
      <c r="J40" s="170">
        <f t="shared" si="2"/>
        <v>20</v>
      </c>
      <c r="K40" s="168">
        <v>30</v>
      </c>
      <c r="L40" s="169">
        <f t="shared" si="3"/>
        <v>400</v>
      </c>
      <c r="M40" s="170">
        <f t="shared" si="4"/>
        <v>20</v>
      </c>
      <c r="N40" s="168">
        <v>35</v>
      </c>
      <c r="O40" s="169">
        <f t="shared" si="5"/>
        <v>625</v>
      </c>
      <c r="P40" s="170">
        <f t="shared" si="6"/>
        <v>25</v>
      </c>
      <c r="Q40" s="168">
        <v>35</v>
      </c>
      <c r="R40" s="169">
        <f t="shared" si="7"/>
        <v>625</v>
      </c>
      <c r="S40" s="170">
        <f t="shared" si="8"/>
        <v>25</v>
      </c>
      <c r="T40" s="171">
        <v>40</v>
      </c>
      <c r="U40" s="169">
        <f t="shared" si="9"/>
        <v>900</v>
      </c>
      <c r="V40" s="170">
        <f t="shared" si="10"/>
        <v>30</v>
      </c>
      <c r="W40" s="2"/>
    </row>
    <row r="41" spans="1:23">
      <c r="A41" s="51">
        <v>34</v>
      </c>
      <c r="B41" s="50" t="s">
        <v>19</v>
      </c>
      <c r="C41" s="49" t="s">
        <v>118</v>
      </c>
      <c r="D41" s="49">
        <v>0</v>
      </c>
      <c r="E41" s="49">
        <v>0</v>
      </c>
      <c r="F41" s="50">
        <f t="shared" si="0"/>
        <v>0</v>
      </c>
      <c r="G41" s="45"/>
      <c r="H41" s="168">
        <v>30</v>
      </c>
      <c r="I41" s="169">
        <f t="shared" si="1"/>
        <v>900</v>
      </c>
      <c r="J41" s="170">
        <f t="shared" si="2"/>
        <v>30</v>
      </c>
      <c r="K41" s="168">
        <v>30</v>
      </c>
      <c r="L41" s="169">
        <f t="shared" si="3"/>
        <v>900</v>
      </c>
      <c r="M41" s="170">
        <f t="shared" si="4"/>
        <v>30</v>
      </c>
      <c r="N41" s="168">
        <v>15</v>
      </c>
      <c r="O41" s="169">
        <f t="shared" si="5"/>
        <v>225</v>
      </c>
      <c r="P41" s="170">
        <f t="shared" si="6"/>
        <v>15</v>
      </c>
      <c r="Q41" s="168">
        <v>25</v>
      </c>
      <c r="R41" s="169">
        <f t="shared" si="7"/>
        <v>625</v>
      </c>
      <c r="S41" s="170">
        <f t="shared" si="8"/>
        <v>25</v>
      </c>
      <c r="T41" s="171">
        <v>40</v>
      </c>
      <c r="U41" s="169">
        <f t="shared" si="9"/>
        <v>1600</v>
      </c>
      <c r="V41" s="170">
        <f t="shared" si="10"/>
        <v>40</v>
      </c>
      <c r="W41" s="2"/>
    </row>
    <row r="42" spans="1:23">
      <c r="A42" s="49">
        <v>35</v>
      </c>
      <c r="B42" s="50" t="s">
        <v>19</v>
      </c>
      <c r="C42" s="50" t="s">
        <v>121</v>
      </c>
      <c r="D42" s="49">
        <v>40</v>
      </c>
      <c r="E42" s="49">
        <v>40</v>
      </c>
      <c r="F42" s="50">
        <f t="shared" si="0"/>
        <v>40</v>
      </c>
      <c r="G42" s="45"/>
      <c r="H42" s="168">
        <v>30</v>
      </c>
      <c r="I42" s="169">
        <f t="shared" si="1"/>
        <v>100</v>
      </c>
      <c r="J42" s="170">
        <f t="shared" si="2"/>
        <v>10</v>
      </c>
      <c r="K42" s="168">
        <v>30</v>
      </c>
      <c r="L42" s="169">
        <f t="shared" si="3"/>
        <v>100</v>
      </c>
      <c r="M42" s="170">
        <f t="shared" si="4"/>
        <v>10</v>
      </c>
      <c r="N42" s="168">
        <v>35</v>
      </c>
      <c r="O42" s="169">
        <f t="shared" si="5"/>
        <v>25</v>
      </c>
      <c r="P42" s="170">
        <f t="shared" si="6"/>
        <v>5</v>
      </c>
      <c r="Q42" s="168">
        <v>35</v>
      </c>
      <c r="R42" s="169">
        <f t="shared" si="7"/>
        <v>25</v>
      </c>
      <c r="S42" s="170">
        <f t="shared" si="8"/>
        <v>5</v>
      </c>
      <c r="T42" s="171">
        <v>40</v>
      </c>
      <c r="U42" s="169">
        <f t="shared" si="9"/>
        <v>0</v>
      </c>
      <c r="V42" s="170">
        <f t="shared" si="10"/>
        <v>0</v>
      </c>
      <c r="W42" s="2"/>
    </row>
    <row r="43" spans="1:23">
      <c r="A43" s="49">
        <v>36</v>
      </c>
      <c r="B43" s="50" t="s">
        <v>19</v>
      </c>
      <c r="C43" s="49" t="s">
        <v>124</v>
      </c>
      <c r="D43" s="49">
        <v>40</v>
      </c>
      <c r="E43" s="49">
        <v>40</v>
      </c>
      <c r="F43" s="50">
        <f t="shared" si="0"/>
        <v>40</v>
      </c>
      <c r="G43" s="45"/>
      <c r="H43" s="168">
        <v>30</v>
      </c>
      <c r="I43" s="169">
        <f t="shared" si="1"/>
        <v>100</v>
      </c>
      <c r="J43" s="170">
        <f t="shared" si="2"/>
        <v>10</v>
      </c>
      <c r="K43" s="168">
        <v>30</v>
      </c>
      <c r="L43" s="169">
        <f t="shared" si="3"/>
        <v>100</v>
      </c>
      <c r="M43" s="170">
        <f t="shared" si="4"/>
        <v>10</v>
      </c>
      <c r="N43" s="168">
        <v>35</v>
      </c>
      <c r="O43" s="169">
        <f t="shared" si="5"/>
        <v>25</v>
      </c>
      <c r="P43" s="170">
        <f t="shared" si="6"/>
        <v>5</v>
      </c>
      <c r="Q43" s="168">
        <v>35</v>
      </c>
      <c r="R43" s="169">
        <f t="shared" si="7"/>
        <v>25</v>
      </c>
      <c r="S43" s="170">
        <f t="shared" si="8"/>
        <v>5</v>
      </c>
      <c r="T43" s="171">
        <v>30</v>
      </c>
      <c r="U43" s="169">
        <f t="shared" si="9"/>
        <v>100</v>
      </c>
      <c r="V43" s="170">
        <f t="shared" si="10"/>
        <v>10</v>
      </c>
      <c r="W43" s="2"/>
    </row>
    <row r="44" spans="1:23">
      <c r="A44" s="49">
        <v>38</v>
      </c>
      <c r="B44" s="49" t="s">
        <v>19</v>
      </c>
      <c r="C44" s="50" t="s">
        <v>129</v>
      </c>
      <c r="D44" s="49">
        <v>40</v>
      </c>
      <c r="E44" s="49">
        <v>30</v>
      </c>
      <c r="F44" s="50">
        <f t="shared" si="0"/>
        <v>35</v>
      </c>
      <c r="G44" s="45"/>
      <c r="H44" s="168">
        <v>30</v>
      </c>
      <c r="I44" s="169">
        <f t="shared" si="1"/>
        <v>25</v>
      </c>
      <c r="J44" s="170">
        <f t="shared" si="2"/>
        <v>5</v>
      </c>
      <c r="K44" s="168">
        <v>30</v>
      </c>
      <c r="L44" s="169">
        <f t="shared" si="3"/>
        <v>25</v>
      </c>
      <c r="M44" s="170">
        <f t="shared" si="4"/>
        <v>5</v>
      </c>
      <c r="N44" s="168">
        <v>25</v>
      </c>
      <c r="O44" s="169">
        <f t="shared" si="5"/>
        <v>100</v>
      </c>
      <c r="P44" s="170">
        <f t="shared" si="6"/>
        <v>10</v>
      </c>
      <c r="Q44" s="168">
        <v>30</v>
      </c>
      <c r="R44" s="169">
        <f t="shared" si="7"/>
        <v>25</v>
      </c>
      <c r="S44" s="170">
        <f t="shared" si="8"/>
        <v>5</v>
      </c>
      <c r="T44" s="171">
        <v>20</v>
      </c>
      <c r="U44" s="169">
        <f t="shared" si="9"/>
        <v>225</v>
      </c>
      <c r="V44" s="170">
        <f t="shared" si="10"/>
        <v>15</v>
      </c>
      <c r="W44" s="2"/>
    </row>
    <row r="45" spans="1:23">
      <c r="A45" s="49">
        <v>39</v>
      </c>
      <c r="B45" s="49" t="s">
        <v>19</v>
      </c>
      <c r="C45" s="49" t="s">
        <v>132</v>
      </c>
      <c r="D45" s="49">
        <v>10</v>
      </c>
      <c r="E45" s="49">
        <v>10</v>
      </c>
      <c r="F45" s="50">
        <f t="shared" si="0"/>
        <v>10</v>
      </c>
      <c r="G45" s="45"/>
      <c r="H45" s="168">
        <v>20</v>
      </c>
      <c r="I45" s="169">
        <f t="shared" si="1"/>
        <v>100</v>
      </c>
      <c r="J45" s="170">
        <f t="shared" si="2"/>
        <v>10</v>
      </c>
      <c r="K45" s="168">
        <v>20</v>
      </c>
      <c r="L45" s="169">
        <f t="shared" si="3"/>
        <v>100</v>
      </c>
      <c r="M45" s="170">
        <f t="shared" si="4"/>
        <v>10</v>
      </c>
      <c r="N45" s="168">
        <v>20</v>
      </c>
      <c r="O45" s="169">
        <f t="shared" si="5"/>
        <v>100</v>
      </c>
      <c r="P45" s="170">
        <f t="shared" si="6"/>
        <v>10</v>
      </c>
      <c r="Q45" s="168">
        <v>20</v>
      </c>
      <c r="R45" s="169">
        <f t="shared" si="7"/>
        <v>100</v>
      </c>
      <c r="S45" s="170">
        <f t="shared" si="8"/>
        <v>10</v>
      </c>
      <c r="T45" s="171">
        <v>20</v>
      </c>
      <c r="U45" s="169">
        <f t="shared" si="9"/>
        <v>100</v>
      </c>
      <c r="V45" s="170">
        <f t="shared" si="10"/>
        <v>10</v>
      </c>
      <c r="W45" s="2"/>
    </row>
    <row r="46" spans="1:23">
      <c r="A46" s="43">
        <v>40</v>
      </c>
      <c r="B46" s="49" t="s">
        <v>19</v>
      </c>
      <c r="C46" s="49" t="s">
        <v>135</v>
      </c>
      <c r="D46" s="49">
        <v>0</v>
      </c>
      <c r="E46" s="49">
        <v>0</v>
      </c>
      <c r="F46" s="49">
        <v>0</v>
      </c>
      <c r="G46" s="45"/>
      <c r="H46" s="168">
        <v>20</v>
      </c>
      <c r="I46" s="169">
        <f t="shared" si="1"/>
        <v>400</v>
      </c>
      <c r="J46" s="170">
        <f t="shared" si="2"/>
        <v>20</v>
      </c>
      <c r="K46" s="168">
        <v>20</v>
      </c>
      <c r="L46" s="169">
        <f t="shared" si="3"/>
        <v>400</v>
      </c>
      <c r="M46" s="170">
        <f t="shared" si="4"/>
        <v>20</v>
      </c>
      <c r="N46" s="168">
        <v>20</v>
      </c>
      <c r="O46" s="169">
        <f t="shared" si="5"/>
        <v>400</v>
      </c>
      <c r="P46" s="170">
        <f t="shared" si="6"/>
        <v>20</v>
      </c>
      <c r="Q46" s="168">
        <v>25</v>
      </c>
      <c r="R46" s="169">
        <f t="shared" si="7"/>
        <v>625</v>
      </c>
      <c r="S46" s="170">
        <f t="shared" si="8"/>
        <v>25</v>
      </c>
      <c r="T46" s="171">
        <v>20</v>
      </c>
      <c r="U46" s="169">
        <f t="shared" si="9"/>
        <v>400</v>
      </c>
      <c r="V46" s="170">
        <f t="shared" si="10"/>
        <v>20</v>
      </c>
      <c r="W46" s="2"/>
    </row>
    <row r="47" spans="1:23">
      <c r="A47" s="49">
        <v>41</v>
      </c>
      <c r="B47" s="50" t="s">
        <v>19</v>
      </c>
      <c r="C47" s="50" t="s">
        <v>138</v>
      </c>
      <c r="D47" s="49">
        <v>0</v>
      </c>
      <c r="E47" s="49">
        <v>0</v>
      </c>
      <c r="F47" s="50">
        <f t="shared" ref="F47:F137" si="11">SUM(D47:E47)/2</f>
        <v>0</v>
      </c>
      <c r="G47" s="45"/>
      <c r="H47" s="168">
        <v>30</v>
      </c>
      <c r="I47" s="169">
        <f t="shared" si="1"/>
        <v>900</v>
      </c>
      <c r="J47" s="170">
        <f t="shared" si="2"/>
        <v>30</v>
      </c>
      <c r="K47" s="168">
        <v>20</v>
      </c>
      <c r="L47" s="169">
        <f t="shared" si="3"/>
        <v>400</v>
      </c>
      <c r="M47" s="170">
        <f t="shared" si="4"/>
        <v>20</v>
      </c>
      <c r="N47" s="168">
        <v>10</v>
      </c>
      <c r="O47" s="169">
        <f t="shared" si="5"/>
        <v>100</v>
      </c>
      <c r="P47" s="170">
        <f t="shared" si="6"/>
        <v>10</v>
      </c>
      <c r="Q47" s="168">
        <v>30</v>
      </c>
      <c r="R47" s="169">
        <f t="shared" si="7"/>
        <v>900</v>
      </c>
      <c r="S47" s="170">
        <f t="shared" si="8"/>
        <v>30</v>
      </c>
      <c r="T47" s="171">
        <v>20</v>
      </c>
      <c r="U47" s="169">
        <f t="shared" si="9"/>
        <v>400</v>
      </c>
      <c r="V47" s="170">
        <f t="shared" si="10"/>
        <v>20</v>
      </c>
      <c r="W47" s="2"/>
    </row>
    <row r="48" spans="1:23">
      <c r="A48" s="49">
        <v>42</v>
      </c>
      <c r="B48" s="50" t="s">
        <v>19</v>
      </c>
      <c r="C48" s="50" t="s">
        <v>141</v>
      </c>
      <c r="D48" s="49">
        <v>15</v>
      </c>
      <c r="E48" s="49">
        <v>15</v>
      </c>
      <c r="F48" s="50">
        <f t="shared" si="11"/>
        <v>15</v>
      </c>
      <c r="G48" s="45"/>
      <c r="H48" s="168">
        <v>30</v>
      </c>
      <c r="I48" s="169">
        <f t="shared" si="1"/>
        <v>225</v>
      </c>
      <c r="J48" s="170">
        <f t="shared" si="2"/>
        <v>15</v>
      </c>
      <c r="K48" s="168">
        <v>20</v>
      </c>
      <c r="L48" s="169">
        <f t="shared" si="3"/>
        <v>25</v>
      </c>
      <c r="M48" s="170">
        <f t="shared" si="4"/>
        <v>5</v>
      </c>
      <c r="N48" s="168">
        <v>15</v>
      </c>
      <c r="O48" s="169">
        <f t="shared" si="5"/>
        <v>0</v>
      </c>
      <c r="P48" s="170">
        <f t="shared" si="6"/>
        <v>0</v>
      </c>
      <c r="Q48" s="168">
        <v>25</v>
      </c>
      <c r="R48" s="169">
        <f t="shared" si="7"/>
        <v>100</v>
      </c>
      <c r="S48" s="170">
        <f t="shared" si="8"/>
        <v>10</v>
      </c>
      <c r="T48" s="171">
        <v>20</v>
      </c>
      <c r="U48" s="169">
        <f t="shared" si="9"/>
        <v>25</v>
      </c>
      <c r="V48" s="170">
        <f t="shared" si="10"/>
        <v>5</v>
      </c>
      <c r="W48" s="2"/>
    </row>
    <row r="49" spans="1:23">
      <c r="A49" s="51">
        <v>43</v>
      </c>
      <c r="B49" s="50" t="s">
        <v>19</v>
      </c>
      <c r="C49" s="50" t="s">
        <v>144</v>
      </c>
      <c r="D49" s="49">
        <v>40</v>
      </c>
      <c r="E49" s="49">
        <v>40</v>
      </c>
      <c r="F49" s="50">
        <f t="shared" si="11"/>
        <v>40</v>
      </c>
      <c r="G49" s="45"/>
      <c r="H49" s="168">
        <v>30</v>
      </c>
      <c r="I49" s="169">
        <f t="shared" si="1"/>
        <v>100</v>
      </c>
      <c r="J49" s="170">
        <f t="shared" si="2"/>
        <v>10</v>
      </c>
      <c r="K49" s="168">
        <v>40</v>
      </c>
      <c r="L49" s="169">
        <f t="shared" si="3"/>
        <v>0</v>
      </c>
      <c r="M49" s="170">
        <f t="shared" si="4"/>
        <v>0</v>
      </c>
      <c r="N49" s="168">
        <v>40</v>
      </c>
      <c r="O49" s="169">
        <f t="shared" si="5"/>
        <v>0</v>
      </c>
      <c r="P49" s="170">
        <f t="shared" si="6"/>
        <v>0</v>
      </c>
      <c r="Q49" s="168">
        <v>35</v>
      </c>
      <c r="R49" s="169">
        <f t="shared" si="7"/>
        <v>25</v>
      </c>
      <c r="S49" s="170">
        <f t="shared" si="8"/>
        <v>5</v>
      </c>
      <c r="T49" s="171">
        <v>35</v>
      </c>
      <c r="U49" s="169">
        <f t="shared" si="9"/>
        <v>25</v>
      </c>
      <c r="V49" s="170">
        <f t="shared" si="10"/>
        <v>5</v>
      </c>
      <c r="W49" s="2"/>
    </row>
    <row r="50" spans="1:23">
      <c r="A50" s="49">
        <v>44</v>
      </c>
      <c r="B50" s="50" t="s">
        <v>19</v>
      </c>
      <c r="C50" s="50" t="s">
        <v>147</v>
      </c>
      <c r="D50" s="49">
        <v>30</v>
      </c>
      <c r="E50" s="49">
        <v>20</v>
      </c>
      <c r="F50" s="50">
        <f t="shared" si="11"/>
        <v>25</v>
      </c>
      <c r="G50" s="45"/>
      <c r="H50" s="168">
        <v>20</v>
      </c>
      <c r="I50" s="169">
        <f t="shared" si="1"/>
        <v>25</v>
      </c>
      <c r="J50" s="170">
        <f t="shared" si="2"/>
        <v>5</v>
      </c>
      <c r="K50" s="168">
        <v>20</v>
      </c>
      <c r="L50" s="169">
        <f t="shared" si="3"/>
        <v>25</v>
      </c>
      <c r="M50" s="170">
        <f t="shared" si="4"/>
        <v>5</v>
      </c>
      <c r="N50" s="168">
        <v>15</v>
      </c>
      <c r="O50" s="169">
        <f t="shared" si="5"/>
        <v>100</v>
      </c>
      <c r="P50" s="170">
        <f t="shared" si="6"/>
        <v>10</v>
      </c>
      <c r="Q50" s="168">
        <v>25</v>
      </c>
      <c r="R50" s="169">
        <f t="shared" si="7"/>
        <v>0</v>
      </c>
      <c r="S50" s="170">
        <f t="shared" si="8"/>
        <v>0</v>
      </c>
      <c r="T50" s="171">
        <v>20</v>
      </c>
      <c r="U50" s="169">
        <f t="shared" si="9"/>
        <v>25</v>
      </c>
      <c r="V50" s="170">
        <f t="shared" si="10"/>
        <v>5</v>
      </c>
      <c r="W50" s="2"/>
    </row>
    <row r="51" spans="1:23" ht="14.25" customHeight="1">
      <c r="A51" s="49">
        <v>45</v>
      </c>
      <c r="B51" s="50" t="s">
        <v>19</v>
      </c>
      <c r="C51" s="49" t="s">
        <v>150</v>
      </c>
      <c r="D51" s="49">
        <v>25</v>
      </c>
      <c r="E51" s="49">
        <v>20</v>
      </c>
      <c r="F51" s="50">
        <f t="shared" si="11"/>
        <v>22.5</v>
      </c>
      <c r="G51" s="45"/>
      <c r="H51" s="168">
        <v>30</v>
      </c>
      <c r="I51" s="169">
        <f t="shared" si="1"/>
        <v>56.25</v>
      </c>
      <c r="J51" s="170">
        <f t="shared" si="2"/>
        <v>7.5</v>
      </c>
      <c r="K51" s="168">
        <v>25</v>
      </c>
      <c r="L51" s="169">
        <f t="shared" si="3"/>
        <v>6.25</v>
      </c>
      <c r="M51" s="170">
        <f t="shared" si="4"/>
        <v>2.5</v>
      </c>
      <c r="N51" s="168">
        <v>30</v>
      </c>
      <c r="O51" s="169">
        <f t="shared" si="5"/>
        <v>56.25</v>
      </c>
      <c r="P51" s="170">
        <f t="shared" si="6"/>
        <v>7.5</v>
      </c>
      <c r="Q51" s="168">
        <v>35</v>
      </c>
      <c r="R51" s="169">
        <f t="shared" si="7"/>
        <v>156.25</v>
      </c>
      <c r="S51" s="170">
        <f t="shared" si="8"/>
        <v>12.5</v>
      </c>
      <c r="T51" s="171">
        <v>40</v>
      </c>
      <c r="U51" s="169">
        <f t="shared" si="9"/>
        <v>306.25</v>
      </c>
      <c r="V51" s="170">
        <f t="shared" si="10"/>
        <v>17.5</v>
      </c>
      <c r="W51" s="2"/>
    </row>
    <row r="52" spans="1:23">
      <c r="A52" s="43">
        <v>46</v>
      </c>
      <c r="B52" s="49" t="s">
        <v>19</v>
      </c>
      <c r="C52" s="50" t="s">
        <v>153</v>
      </c>
      <c r="D52" s="49">
        <v>15</v>
      </c>
      <c r="E52" s="49">
        <v>30</v>
      </c>
      <c r="F52" s="50">
        <f t="shared" si="11"/>
        <v>22.5</v>
      </c>
      <c r="G52" s="45"/>
      <c r="H52" s="168">
        <v>30</v>
      </c>
      <c r="I52" s="169">
        <f t="shared" si="1"/>
        <v>56.25</v>
      </c>
      <c r="J52" s="170">
        <f t="shared" si="2"/>
        <v>7.5</v>
      </c>
      <c r="K52" s="168">
        <v>30</v>
      </c>
      <c r="L52" s="169">
        <f t="shared" si="3"/>
        <v>56.25</v>
      </c>
      <c r="M52" s="170">
        <f t="shared" si="4"/>
        <v>7.5</v>
      </c>
      <c r="N52" s="168">
        <v>30</v>
      </c>
      <c r="O52" s="169">
        <f t="shared" si="5"/>
        <v>56.25</v>
      </c>
      <c r="P52" s="170">
        <f t="shared" si="6"/>
        <v>7.5</v>
      </c>
      <c r="Q52" s="168">
        <v>30</v>
      </c>
      <c r="R52" s="169">
        <f t="shared" si="7"/>
        <v>56.25</v>
      </c>
      <c r="S52" s="170">
        <f t="shared" si="8"/>
        <v>7.5</v>
      </c>
      <c r="T52" s="171">
        <v>20</v>
      </c>
      <c r="U52" s="169">
        <f t="shared" si="9"/>
        <v>6.25</v>
      </c>
      <c r="V52" s="170">
        <f t="shared" si="10"/>
        <v>2.5</v>
      </c>
      <c r="W52" s="2"/>
    </row>
    <row r="53" spans="1:23">
      <c r="A53" s="49">
        <v>47</v>
      </c>
      <c r="B53" s="50" t="s">
        <v>19</v>
      </c>
      <c r="C53" s="49" t="s">
        <v>156</v>
      </c>
      <c r="D53" s="49">
        <v>30</v>
      </c>
      <c r="E53" s="49">
        <v>30</v>
      </c>
      <c r="F53" s="50">
        <f t="shared" si="11"/>
        <v>30</v>
      </c>
      <c r="G53" s="45"/>
      <c r="H53" s="168">
        <v>30</v>
      </c>
      <c r="I53" s="169">
        <f t="shared" si="1"/>
        <v>0</v>
      </c>
      <c r="J53" s="170">
        <f t="shared" si="2"/>
        <v>0</v>
      </c>
      <c r="K53" s="168">
        <v>35</v>
      </c>
      <c r="L53" s="169">
        <f t="shared" si="3"/>
        <v>25</v>
      </c>
      <c r="M53" s="170">
        <f t="shared" si="4"/>
        <v>5</v>
      </c>
      <c r="N53" s="168">
        <v>40</v>
      </c>
      <c r="O53" s="169">
        <f t="shared" si="5"/>
        <v>100</v>
      </c>
      <c r="P53" s="170">
        <f t="shared" si="6"/>
        <v>10</v>
      </c>
      <c r="Q53" s="168">
        <v>35</v>
      </c>
      <c r="R53" s="169">
        <f t="shared" si="7"/>
        <v>25</v>
      </c>
      <c r="S53" s="170">
        <f t="shared" si="8"/>
        <v>5</v>
      </c>
      <c r="T53" s="171">
        <v>40</v>
      </c>
      <c r="U53" s="169">
        <f t="shared" si="9"/>
        <v>100</v>
      </c>
      <c r="V53" s="170">
        <f t="shared" si="10"/>
        <v>10</v>
      </c>
      <c r="W53" s="2"/>
    </row>
    <row r="54" spans="1:23">
      <c r="A54" s="49">
        <v>48</v>
      </c>
      <c r="B54" s="50" t="s">
        <v>19</v>
      </c>
      <c r="C54" s="49" t="s">
        <v>159</v>
      </c>
      <c r="D54" s="49">
        <v>35</v>
      </c>
      <c r="E54" s="49">
        <v>35</v>
      </c>
      <c r="F54" s="50">
        <f t="shared" si="11"/>
        <v>35</v>
      </c>
      <c r="G54" s="45"/>
      <c r="H54" s="168">
        <v>30</v>
      </c>
      <c r="I54" s="169">
        <f t="shared" si="1"/>
        <v>25</v>
      </c>
      <c r="J54" s="170">
        <f t="shared" si="2"/>
        <v>5</v>
      </c>
      <c r="K54" s="168">
        <v>30</v>
      </c>
      <c r="L54" s="169">
        <f t="shared" si="3"/>
        <v>25</v>
      </c>
      <c r="M54" s="170">
        <f t="shared" si="4"/>
        <v>5</v>
      </c>
      <c r="N54" s="168">
        <v>30</v>
      </c>
      <c r="O54" s="169">
        <f t="shared" si="5"/>
        <v>25</v>
      </c>
      <c r="P54" s="170">
        <f t="shared" si="6"/>
        <v>5</v>
      </c>
      <c r="Q54" s="168">
        <v>25</v>
      </c>
      <c r="R54" s="169">
        <f t="shared" si="7"/>
        <v>100</v>
      </c>
      <c r="S54" s="170">
        <f t="shared" si="8"/>
        <v>10</v>
      </c>
      <c r="T54" s="171">
        <v>35</v>
      </c>
      <c r="U54" s="169">
        <f t="shared" si="9"/>
        <v>0</v>
      </c>
      <c r="V54" s="170">
        <f t="shared" si="10"/>
        <v>0</v>
      </c>
      <c r="W54" s="2"/>
    </row>
    <row r="55" spans="1:23" ht="16.5" customHeight="1">
      <c r="A55" s="51">
        <v>49</v>
      </c>
      <c r="B55" s="50" t="s">
        <v>19</v>
      </c>
      <c r="C55" s="49" t="s">
        <v>162</v>
      </c>
      <c r="D55" s="49">
        <v>10</v>
      </c>
      <c r="E55" s="49">
        <v>10</v>
      </c>
      <c r="F55" s="50">
        <f t="shared" si="11"/>
        <v>10</v>
      </c>
      <c r="G55" s="45"/>
      <c r="H55" s="168">
        <v>20</v>
      </c>
      <c r="I55" s="169">
        <f t="shared" si="1"/>
        <v>100</v>
      </c>
      <c r="J55" s="170">
        <f t="shared" si="2"/>
        <v>10</v>
      </c>
      <c r="K55" s="168">
        <v>25</v>
      </c>
      <c r="L55" s="169">
        <f t="shared" si="3"/>
        <v>225</v>
      </c>
      <c r="M55" s="170">
        <f t="shared" si="4"/>
        <v>15</v>
      </c>
      <c r="N55" s="168">
        <v>15</v>
      </c>
      <c r="O55" s="169">
        <f t="shared" si="5"/>
        <v>25</v>
      </c>
      <c r="P55" s="170">
        <f t="shared" si="6"/>
        <v>5</v>
      </c>
      <c r="Q55" s="168">
        <v>35</v>
      </c>
      <c r="R55" s="169">
        <f t="shared" si="7"/>
        <v>625</v>
      </c>
      <c r="S55" s="170">
        <f t="shared" si="8"/>
        <v>25</v>
      </c>
      <c r="T55" s="171">
        <v>35</v>
      </c>
      <c r="U55" s="169">
        <f t="shared" si="9"/>
        <v>625</v>
      </c>
      <c r="V55" s="170">
        <f t="shared" si="10"/>
        <v>25</v>
      </c>
      <c r="W55" s="2"/>
    </row>
    <row r="56" spans="1:23">
      <c r="A56" s="49">
        <v>50</v>
      </c>
      <c r="B56" s="50" t="s">
        <v>19</v>
      </c>
      <c r="C56" s="50" t="s">
        <v>165</v>
      </c>
      <c r="D56" s="49">
        <v>10</v>
      </c>
      <c r="E56" s="49">
        <v>15</v>
      </c>
      <c r="F56" s="50">
        <f t="shared" si="11"/>
        <v>12.5</v>
      </c>
      <c r="G56" s="45"/>
      <c r="H56" s="168">
        <v>30</v>
      </c>
      <c r="I56" s="169">
        <f t="shared" si="1"/>
        <v>306.25</v>
      </c>
      <c r="J56" s="170">
        <f t="shared" si="2"/>
        <v>17.5</v>
      </c>
      <c r="K56" s="168">
        <v>20</v>
      </c>
      <c r="L56" s="169">
        <f t="shared" si="3"/>
        <v>56.25</v>
      </c>
      <c r="M56" s="170">
        <f t="shared" si="4"/>
        <v>7.5</v>
      </c>
      <c r="N56" s="168">
        <v>20</v>
      </c>
      <c r="O56" s="169">
        <f t="shared" si="5"/>
        <v>56.25</v>
      </c>
      <c r="P56" s="170">
        <f t="shared" si="6"/>
        <v>7.5</v>
      </c>
      <c r="Q56" s="168">
        <v>25</v>
      </c>
      <c r="R56" s="169">
        <f t="shared" si="7"/>
        <v>156.25</v>
      </c>
      <c r="S56" s="170">
        <f t="shared" si="8"/>
        <v>12.5</v>
      </c>
      <c r="T56" s="171">
        <v>20</v>
      </c>
      <c r="U56" s="169">
        <f t="shared" si="9"/>
        <v>56.25</v>
      </c>
      <c r="V56" s="170">
        <f t="shared" si="10"/>
        <v>7.5</v>
      </c>
      <c r="W56" s="2"/>
    </row>
    <row r="57" spans="1:23">
      <c r="A57" s="49">
        <v>51</v>
      </c>
      <c r="B57" s="50" t="s">
        <v>19</v>
      </c>
      <c r="C57" s="50" t="s">
        <v>168</v>
      </c>
      <c r="D57" s="49">
        <v>30</v>
      </c>
      <c r="E57" s="49">
        <v>35</v>
      </c>
      <c r="F57" s="50">
        <f t="shared" si="11"/>
        <v>32.5</v>
      </c>
      <c r="G57" s="45"/>
      <c r="H57" s="168">
        <v>30</v>
      </c>
      <c r="I57" s="169">
        <f t="shared" si="1"/>
        <v>6.25</v>
      </c>
      <c r="J57" s="170">
        <f t="shared" si="2"/>
        <v>2.5</v>
      </c>
      <c r="K57" s="168">
        <v>40</v>
      </c>
      <c r="L57" s="169">
        <f t="shared" si="3"/>
        <v>56.25</v>
      </c>
      <c r="M57" s="170">
        <f t="shared" si="4"/>
        <v>7.5</v>
      </c>
      <c r="N57" s="168">
        <v>40</v>
      </c>
      <c r="O57" s="169">
        <f t="shared" si="5"/>
        <v>56.25</v>
      </c>
      <c r="P57" s="170">
        <f t="shared" si="6"/>
        <v>7.5</v>
      </c>
      <c r="Q57" s="168">
        <v>35</v>
      </c>
      <c r="R57" s="169">
        <f t="shared" si="7"/>
        <v>6.25</v>
      </c>
      <c r="S57" s="170">
        <f t="shared" si="8"/>
        <v>2.5</v>
      </c>
      <c r="T57" s="171">
        <v>40</v>
      </c>
      <c r="U57" s="169">
        <f t="shared" si="9"/>
        <v>56.25</v>
      </c>
      <c r="V57" s="170">
        <f t="shared" si="10"/>
        <v>7.5</v>
      </c>
      <c r="W57" s="2"/>
    </row>
    <row r="58" spans="1:23">
      <c r="A58" s="43">
        <v>52</v>
      </c>
      <c r="B58" s="50" t="s">
        <v>19</v>
      </c>
      <c r="C58" s="49" t="s">
        <v>171</v>
      </c>
      <c r="D58" s="49">
        <v>40</v>
      </c>
      <c r="E58" s="49">
        <v>35</v>
      </c>
      <c r="F58" s="50">
        <f t="shared" si="11"/>
        <v>37.5</v>
      </c>
      <c r="G58" s="45"/>
      <c r="H58" s="168">
        <v>30</v>
      </c>
      <c r="I58" s="169">
        <f t="shared" si="1"/>
        <v>56.25</v>
      </c>
      <c r="J58" s="170">
        <f t="shared" si="2"/>
        <v>7.5</v>
      </c>
      <c r="K58" s="168">
        <v>35</v>
      </c>
      <c r="L58" s="169">
        <f t="shared" si="3"/>
        <v>6.25</v>
      </c>
      <c r="M58" s="170">
        <f t="shared" si="4"/>
        <v>2.5</v>
      </c>
      <c r="N58" s="168">
        <v>35</v>
      </c>
      <c r="O58" s="169">
        <f t="shared" si="5"/>
        <v>6.25</v>
      </c>
      <c r="P58" s="170">
        <f t="shared" si="6"/>
        <v>2.5</v>
      </c>
      <c r="Q58" s="168">
        <v>35</v>
      </c>
      <c r="R58" s="169">
        <f t="shared" si="7"/>
        <v>6.25</v>
      </c>
      <c r="S58" s="170">
        <f t="shared" si="8"/>
        <v>2.5</v>
      </c>
      <c r="T58" s="171">
        <v>35</v>
      </c>
      <c r="U58" s="169">
        <f t="shared" si="9"/>
        <v>6.25</v>
      </c>
      <c r="V58" s="170">
        <f t="shared" si="10"/>
        <v>2.5</v>
      </c>
      <c r="W58" s="2"/>
    </row>
    <row r="59" spans="1:23">
      <c r="A59" s="49">
        <v>53</v>
      </c>
      <c r="B59" s="50" t="s">
        <v>19</v>
      </c>
      <c r="C59" s="49" t="s">
        <v>174</v>
      </c>
      <c r="D59" s="49">
        <v>20</v>
      </c>
      <c r="E59" s="49">
        <v>25</v>
      </c>
      <c r="F59" s="50">
        <f t="shared" si="11"/>
        <v>22.5</v>
      </c>
      <c r="G59" s="45"/>
      <c r="H59" s="168">
        <v>30</v>
      </c>
      <c r="I59" s="169">
        <f t="shared" si="1"/>
        <v>56.25</v>
      </c>
      <c r="J59" s="170">
        <f t="shared" si="2"/>
        <v>7.5</v>
      </c>
      <c r="K59" s="168">
        <v>20</v>
      </c>
      <c r="L59" s="169">
        <f t="shared" si="3"/>
        <v>6.25</v>
      </c>
      <c r="M59" s="170">
        <f t="shared" si="4"/>
        <v>2.5</v>
      </c>
      <c r="N59" s="168">
        <v>25</v>
      </c>
      <c r="O59" s="169">
        <f t="shared" si="5"/>
        <v>6.25</v>
      </c>
      <c r="P59" s="170">
        <f t="shared" si="6"/>
        <v>2.5</v>
      </c>
      <c r="Q59" s="168">
        <v>35</v>
      </c>
      <c r="R59" s="169">
        <f t="shared" si="7"/>
        <v>156.25</v>
      </c>
      <c r="S59" s="170">
        <f t="shared" si="8"/>
        <v>12.5</v>
      </c>
      <c r="T59" s="171">
        <v>20</v>
      </c>
      <c r="U59" s="169">
        <f t="shared" si="9"/>
        <v>6.25</v>
      </c>
      <c r="V59" s="170">
        <f t="shared" si="10"/>
        <v>2.5</v>
      </c>
      <c r="W59" s="2"/>
    </row>
    <row r="60" spans="1:23">
      <c r="A60" s="49">
        <v>54</v>
      </c>
      <c r="B60" s="50" t="s">
        <v>19</v>
      </c>
      <c r="C60" s="49" t="s">
        <v>177</v>
      </c>
      <c r="D60" s="49">
        <v>27</v>
      </c>
      <c r="E60" s="49">
        <v>28</v>
      </c>
      <c r="F60" s="50">
        <f t="shared" si="11"/>
        <v>27.5</v>
      </c>
      <c r="G60" s="45"/>
      <c r="H60" s="168">
        <v>30</v>
      </c>
      <c r="I60" s="169">
        <f t="shared" si="1"/>
        <v>6.25</v>
      </c>
      <c r="J60" s="170">
        <f t="shared" si="2"/>
        <v>2.5</v>
      </c>
      <c r="K60" s="168">
        <v>35</v>
      </c>
      <c r="L60" s="169">
        <f t="shared" si="3"/>
        <v>56.25</v>
      </c>
      <c r="M60" s="170">
        <f t="shared" si="4"/>
        <v>7.5</v>
      </c>
      <c r="N60" s="168">
        <v>40</v>
      </c>
      <c r="O60" s="169">
        <f t="shared" si="5"/>
        <v>156.25</v>
      </c>
      <c r="P60" s="170">
        <f t="shared" si="6"/>
        <v>12.5</v>
      </c>
      <c r="Q60" s="168">
        <v>30</v>
      </c>
      <c r="R60" s="169">
        <f t="shared" si="7"/>
        <v>6.25</v>
      </c>
      <c r="S60" s="170">
        <f t="shared" si="8"/>
        <v>2.5</v>
      </c>
      <c r="T60" s="171">
        <v>40</v>
      </c>
      <c r="U60" s="169">
        <f t="shared" si="9"/>
        <v>156.25</v>
      </c>
      <c r="V60" s="170">
        <f t="shared" si="10"/>
        <v>12.5</v>
      </c>
      <c r="W60" s="2"/>
    </row>
    <row r="61" spans="1:23">
      <c r="A61" s="51">
        <v>55</v>
      </c>
      <c r="B61" s="50" t="s">
        <v>19</v>
      </c>
      <c r="C61" s="49" t="s">
        <v>180</v>
      </c>
      <c r="D61" s="49">
        <v>40</v>
      </c>
      <c r="E61" s="49">
        <v>40</v>
      </c>
      <c r="F61" s="50">
        <f t="shared" si="11"/>
        <v>40</v>
      </c>
      <c r="G61" s="45"/>
      <c r="H61" s="168">
        <v>30</v>
      </c>
      <c r="I61" s="169">
        <f t="shared" si="1"/>
        <v>100</v>
      </c>
      <c r="J61" s="170">
        <f t="shared" si="2"/>
        <v>10</v>
      </c>
      <c r="K61" s="168">
        <v>40</v>
      </c>
      <c r="L61" s="169">
        <f t="shared" si="3"/>
        <v>0</v>
      </c>
      <c r="M61" s="170">
        <f t="shared" si="4"/>
        <v>0</v>
      </c>
      <c r="N61" s="168">
        <v>35</v>
      </c>
      <c r="O61" s="169">
        <f t="shared" si="5"/>
        <v>25</v>
      </c>
      <c r="P61" s="170">
        <f t="shared" si="6"/>
        <v>5</v>
      </c>
      <c r="Q61" s="168">
        <v>35</v>
      </c>
      <c r="R61" s="169">
        <f t="shared" si="7"/>
        <v>25</v>
      </c>
      <c r="S61" s="170">
        <f t="shared" si="8"/>
        <v>5</v>
      </c>
      <c r="T61" s="171">
        <v>40</v>
      </c>
      <c r="U61" s="169">
        <f t="shared" si="9"/>
        <v>0</v>
      </c>
      <c r="V61" s="170">
        <f t="shared" si="10"/>
        <v>0</v>
      </c>
      <c r="W61" s="2"/>
    </row>
    <row r="62" spans="1:23">
      <c r="A62" s="49">
        <v>56</v>
      </c>
      <c r="B62" s="50" t="s">
        <v>19</v>
      </c>
      <c r="C62" s="50" t="s">
        <v>183</v>
      </c>
      <c r="D62" s="49">
        <v>25</v>
      </c>
      <c r="E62" s="49">
        <v>20</v>
      </c>
      <c r="F62" s="50">
        <f t="shared" si="11"/>
        <v>22.5</v>
      </c>
      <c r="G62" s="45"/>
      <c r="H62" s="168">
        <v>25</v>
      </c>
      <c r="I62" s="169">
        <f t="shared" si="1"/>
        <v>6.25</v>
      </c>
      <c r="J62" s="170">
        <f t="shared" si="2"/>
        <v>2.5</v>
      </c>
      <c r="K62" s="168">
        <v>25</v>
      </c>
      <c r="L62" s="169">
        <f t="shared" si="3"/>
        <v>6.25</v>
      </c>
      <c r="M62" s="170">
        <f t="shared" si="4"/>
        <v>2.5</v>
      </c>
      <c r="N62" s="168">
        <v>20</v>
      </c>
      <c r="O62" s="169">
        <f t="shared" si="5"/>
        <v>6.25</v>
      </c>
      <c r="P62" s="170">
        <f t="shared" si="6"/>
        <v>2.5</v>
      </c>
      <c r="Q62" s="168">
        <v>25</v>
      </c>
      <c r="R62" s="169">
        <f t="shared" si="7"/>
        <v>6.25</v>
      </c>
      <c r="S62" s="170">
        <f t="shared" si="8"/>
        <v>2.5</v>
      </c>
      <c r="T62" s="171">
        <v>20</v>
      </c>
      <c r="U62" s="169">
        <f t="shared" si="9"/>
        <v>6.25</v>
      </c>
      <c r="V62" s="170">
        <f t="shared" si="10"/>
        <v>2.5</v>
      </c>
      <c r="W62" s="2"/>
    </row>
    <row r="63" spans="1:23">
      <c r="A63" s="49">
        <v>57</v>
      </c>
      <c r="B63" s="49" t="s">
        <v>19</v>
      </c>
      <c r="C63" s="49" t="s">
        <v>186</v>
      </c>
      <c r="D63" s="49">
        <v>30</v>
      </c>
      <c r="E63" s="49">
        <v>30</v>
      </c>
      <c r="F63" s="50">
        <f t="shared" si="11"/>
        <v>30</v>
      </c>
      <c r="G63" s="45"/>
      <c r="H63" s="168">
        <v>30</v>
      </c>
      <c r="I63" s="169">
        <f t="shared" si="1"/>
        <v>0</v>
      </c>
      <c r="J63" s="170">
        <f t="shared" si="2"/>
        <v>0</v>
      </c>
      <c r="K63" s="168">
        <v>25</v>
      </c>
      <c r="L63" s="169">
        <f t="shared" si="3"/>
        <v>25</v>
      </c>
      <c r="M63" s="170">
        <f t="shared" si="4"/>
        <v>5</v>
      </c>
      <c r="N63" s="168">
        <v>30</v>
      </c>
      <c r="O63" s="169">
        <f t="shared" si="5"/>
        <v>0</v>
      </c>
      <c r="P63" s="170">
        <f t="shared" si="6"/>
        <v>0</v>
      </c>
      <c r="Q63" s="168">
        <v>35</v>
      </c>
      <c r="R63" s="169">
        <f t="shared" si="7"/>
        <v>25</v>
      </c>
      <c r="S63" s="170">
        <f t="shared" si="8"/>
        <v>5</v>
      </c>
      <c r="T63" s="171">
        <v>30</v>
      </c>
      <c r="U63" s="169">
        <f t="shared" si="9"/>
        <v>0</v>
      </c>
      <c r="V63" s="170">
        <f t="shared" si="10"/>
        <v>0</v>
      </c>
      <c r="W63" s="2"/>
    </row>
    <row r="64" spans="1:23">
      <c r="A64" s="43">
        <v>58</v>
      </c>
      <c r="B64" s="50" t="s">
        <v>19</v>
      </c>
      <c r="C64" s="50" t="s">
        <v>189</v>
      </c>
      <c r="D64" s="49">
        <v>0</v>
      </c>
      <c r="E64" s="49">
        <v>0</v>
      </c>
      <c r="F64" s="50">
        <f t="shared" si="11"/>
        <v>0</v>
      </c>
      <c r="G64" s="45"/>
      <c r="H64" s="168">
        <v>20</v>
      </c>
      <c r="I64" s="169">
        <f t="shared" si="1"/>
        <v>400</v>
      </c>
      <c r="J64" s="170">
        <f t="shared" si="2"/>
        <v>20</v>
      </c>
      <c r="K64" s="168">
        <v>20</v>
      </c>
      <c r="L64" s="169">
        <f t="shared" si="3"/>
        <v>400</v>
      </c>
      <c r="M64" s="170">
        <f t="shared" si="4"/>
        <v>20</v>
      </c>
      <c r="N64" s="168">
        <v>20</v>
      </c>
      <c r="O64" s="169">
        <f t="shared" si="5"/>
        <v>400</v>
      </c>
      <c r="P64" s="170">
        <f t="shared" si="6"/>
        <v>20</v>
      </c>
      <c r="Q64" s="168">
        <v>20</v>
      </c>
      <c r="R64" s="169">
        <f t="shared" si="7"/>
        <v>400</v>
      </c>
      <c r="S64" s="170">
        <f t="shared" si="8"/>
        <v>20</v>
      </c>
      <c r="T64" s="171">
        <v>20</v>
      </c>
      <c r="U64" s="169">
        <f t="shared" si="9"/>
        <v>400</v>
      </c>
      <c r="V64" s="170">
        <f t="shared" si="10"/>
        <v>20</v>
      </c>
      <c r="W64" s="2"/>
    </row>
    <row r="65" spans="1:23">
      <c r="A65" s="49">
        <v>59</v>
      </c>
      <c r="B65" s="50" t="s">
        <v>19</v>
      </c>
      <c r="C65" s="50" t="s">
        <v>192</v>
      </c>
      <c r="D65" s="49">
        <v>30</v>
      </c>
      <c r="E65" s="49">
        <v>30</v>
      </c>
      <c r="F65" s="50">
        <f t="shared" si="11"/>
        <v>30</v>
      </c>
      <c r="G65" s="45"/>
      <c r="H65" s="168">
        <v>20</v>
      </c>
      <c r="I65" s="169">
        <f t="shared" si="1"/>
        <v>100</v>
      </c>
      <c r="J65" s="170">
        <f t="shared" si="2"/>
        <v>10</v>
      </c>
      <c r="K65" s="168">
        <v>25</v>
      </c>
      <c r="L65" s="169">
        <f t="shared" si="3"/>
        <v>25</v>
      </c>
      <c r="M65" s="170">
        <f t="shared" si="4"/>
        <v>5</v>
      </c>
      <c r="N65" s="168">
        <v>35</v>
      </c>
      <c r="O65" s="169">
        <f t="shared" si="5"/>
        <v>25</v>
      </c>
      <c r="P65" s="170">
        <f t="shared" si="6"/>
        <v>5</v>
      </c>
      <c r="Q65" s="168">
        <v>25</v>
      </c>
      <c r="R65" s="169">
        <f t="shared" si="7"/>
        <v>25</v>
      </c>
      <c r="S65" s="170">
        <f t="shared" si="8"/>
        <v>5</v>
      </c>
      <c r="T65" s="171">
        <v>20</v>
      </c>
      <c r="U65" s="169">
        <f t="shared" si="9"/>
        <v>100</v>
      </c>
      <c r="V65" s="170">
        <f t="shared" si="10"/>
        <v>10</v>
      </c>
      <c r="W65" s="2"/>
    </row>
    <row r="66" spans="1:23">
      <c r="A66" s="49">
        <v>60</v>
      </c>
      <c r="B66" s="50" t="s">
        <v>19</v>
      </c>
      <c r="C66" s="50" t="s">
        <v>195</v>
      </c>
      <c r="D66" s="49">
        <v>40</v>
      </c>
      <c r="E66" s="49">
        <v>40</v>
      </c>
      <c r="F66" s="50">
        <f t="shared" si="11"/>
        <v>40</v>
      </c>
      <c r="G66" s="45"/>
      <c r="H66" s="168">
        <v>30</v>
      </c>
      <c r="I66" s="169">
        <f t="shared" si="1"/>
        <v>100</v>
      </c>
      <c r="J66" s="170">
        <f t="shared" si="2"/>
        <v>10</v>
      </c>
      <c r="K66" s="168">
        <v>40</v>
      </c>
      <c r="L66" s="169">
        <f t="shared" si="3"/>
        <v>0</v>
      </c>
      <c r="M66" s="170">
        <f t="shared" si="4"/>
        <v>0</v>
      </c>
      <c r="N66" s="168">
        <v>35</v>
      </c>
      <c r="O66" s="169">
        <f t="shared" si="5"/>
        <v>25</v>
      </c>
      <c r="P66" s="170">
        <f t="shared" si="6"/>
        <v>5</v>
      </c>
      <c r="Q66" s="168">
        <v>35</v>
      </c>
      <c r="R66" s="169">
        <f t="shared" si="7"/>
        <v>25</v>
      </c>
      <c r="S66" s="170">
        <f t="shared" si="8"/>
        <v>5</v>
      </c>
      <c r="T66" s="171">
        <v>40</v>
      </c>
      <c r="U66" s="169">
        <f t="shared" si="9"/>
        <v>0</v>
      </c>
      <c r="V66" s="170">
        <f t="shared" si="10"/>
        <v>0</v>
      </c>
      <c r="W66" s="2"/>
    </row>
    <row r="67" spans="1:23">
      <c r="A67" s="51">
        <v>61</v>
      </c>
      <c r="B67" s="50" t="s">
        <v>19</v>
      </c>
      <c r="C67" s="49" t="s">
        <v>198</v>
      </c>
      <c r="D67" s="49">
        <v>10</v>
      </c>
      <c r="E67" s="49">
        <v>10</v>
      </c>
      <c r="F67" s="50">
        <f t="shared" si="11"/>
        <v>10</v>
      </c>
      <c r="G67" s="45"/>
      <c r="H67" s="168">
        <v>20</v>
      </c>
      <c r="I67" s="169">
        <f t="shared" si="1"/>
        <v>100</v>
      </c>
      <c r="J67" s="170">
        <f t="shared" si="2"/>
        <v>10</v>
      </c>
      <c r="K67" s="168">
        <v>20</v>
      </c>
      <c r="L67" s="169">
        <f t="shared" si="3"/>
        <v>100</v>
      </c>
      <c r="M67" s="170">
        <f t="shared" si="4"/>
        <v>10</v>
      </c>
      <c r="N67" s="168">
        <v>20</v>
      </c>
      <c r="O67" s="169">
        <f t="shared" si="5"/>
        <v>100</v>
      </c>
      <c r="P67" s="170">
        <f t="shared" si="6"/>
        <v>10</v>
      </c>
      <c r="Q67" s="168">
        <v>35</v>
      </c>
      <c r="R67" s="169">
        <f t="shared" si="7"/>
        <v>625</v>
      </c>
      <c r="S67" s="170">
        <f t="shared" si="8"/>
        <v>25</v>
      </c>
      <c r="T67" s="171">
        <v>30</v>
      </c>
      <c r="U67" s="169">
        <f t="shared" si="9"/>
        <v>400</v>
      </c>
      <c r="V67" s="170">
        <f t="shared" si="10"/>
        <v>20</v>
      </c>
      <c r="W67" s="2"/>
    </row>
    <row r="68" spans="1:23">
      <c r="A68" s="49">
        <v>62</v>
      </c>
      <c r="B68" s="50" t="s">
        <v>19</v>
      </c>
      <c r="C68" s="49" t="s">
        <v>201</v>
      </c>
      <c r="D68" s="49">
        <v>10</v>
      </c>
      <c r="E68" s="49">
        <v>0</v>
      </c>
      <c r="F68" s="50">
        <f t="shared" si="11"/>
        <v>5</v>
      </c>
      <c r="G68" s="45"/>
      <c r="H68" s="168">
        <v>20</v>
      </c>
      <c r="I68" s="169">
        <f t="shared" si="1"/>
        <v>225</v>
      </c>
      <c r="J68" s="170">
        <f t="shared" si="2"/>
        <v>15</v>
      </c>
      <c r="K68" s="168">
        <v>20</v>
      </c>
      <c r="L68" s="169">
        <f t="shared" si="3"/>
        <v>225</v>
      </c>
      <c r="M68" s="170">
        <f t="shared" si="4"/>
        <v>15</v>
      </c>
      <c r="N68" s="168">
        <v>20</v>
      </c>
      <c r="O68" s="169">
        <f t="shared" si="5"/>
        <v>225</v>
      </c>
      <c r="P68" s="170">
        <f t="shared" si="6"/>
        <v>15</v>
      </c>
      <c r="Q68" s="168">
        <v>25</v>
      </c>
      <c r="R68" s="169">
        <f t="shared" si="7"/>
        <v>400</v>
      </c>
      <c r="S68" s="170">
        <f t="shared" si="8"/>
        <v>20</v>
      </c>
      <c r="T68" s="171">
        <v>20</v>
      </c>
      <c r="U68" s="169">
        <f t="shared" si="9"/>
        <v>225</v>
      </c>
      <c r="V68" s="170">
        <f t="shared" si="10"/>
        <v>15</v>
      </c>
      <c r="W68" s="2"/>
    </row>
    <row r="69" spans="1:23">
      <c r="A69" s="49">
        <v>63</v>
      </c>
      <c r="B69" s="50" t="s">
        <v>19</v>
      </c>
      <c r="C69" s="50" t="s">
        <v>204</v>
      </c>
      <c r="D69" s="49">
        <v>30</v>
      </c>
      <c r="E69" s="49">
        <v>30</v>
      </c>
      <c r="F69" s="50">
        <f t="shared" si="11"/>
        <v>30</v>
      </c>
      <c r="G69" s="45"/>
      <c r="H69" s="168">
        <v>30</v>
      </c>
      <c r="I69" s="169">
        <f t="shared" si="1"/>
        <v>0</v>
      </c>
      <c r="J69" s="170">
        <f t="shared" si="2"/>
        <v>0</v>
      </c>
      <c r="K69" s="168">
        <v>30</v>
      </c>
      <c r="L69" s="169">
        <f t="shared" si="3"/>
        <v>0</v>
      </c>
      <c r="M69" s="170">
        <f t="shared" si="4"/>
        <v>0</v>
      </c>
      <c r="N69" s="168">
        <v>25</v>
      </c>
      <c r="O69" s="169">
        <f t="shared" si="5"/>
        <v>25</v>
      </c>
      <c r="P69" s="170">
        <f t="shared" si="6"/>
        <v>5</v>
      </c>
      <c r="Q69" s="168">
        <v>35</v>
      </c>
      <c r="R69" s="169">
        <f t="shared" si="7"/>
        <v>25</v>
      </c>
      <c r="S69" s="170">
        <f t="shared" si="8"/>
        <v>5</v>
      </c>
      <c r="T69" s="171">
        <v>20</v>
      </c>
      <c r="U69" s="169">
        <f t="shared" si="9"/>
        <v>100</v>
      </c>
      <c r="V69" s="170">
        <f t="shared" si="10"/>
        <v>10</v>
      </c>
      <c r="W69" s="2"/>
    </row>
    <row r="70" spans="1:23">
      <c r="A70" s="43">
        <v>64</v>
      </c>
      <c r="B70" s="49" t="s">
        <v>19</v>
      </c>
      <c r="C70" s="49" t="s">
        <v>207</v>
      </c>
      <c r="D70" s="49">
        <v>25</v>
      </c>
      <c r="E70" s="49">
        <v>20</v>
      </c>
      <c r="F70" s="50">
        <f t="shared" si="11"/>
        <v>22.5</v>
      </c>
      <c r="G70" s="45"/>
      <c r="H70" s="168">
        <v>35</v>
      </c>
      <c r="I70" s="169">
        <f t="shared" si="1"/>
        <v>156.25</v>
      </c>
      <c r="J70" s="170">
        <f t="shared" si="2"/>
        <v>12.5</v>
      </c>
      <c r="K70" s="168">
        <v>25</v>
      </c>
      <c r="L70" s="169">
        <f t="shared" si="3"/>
        <v>6.25</v>
      </c>
      <c r="M70" s="170">
        <f t="shared" si="4"/>
        <v>2.5</v>
      </c>
      <c r="N70" s="168">
        <v>30</v>
      </c>
      <c r="O70" s="169">
        <f t="shared" si="5"/>
        <v>56.25</v>
      </c>
      <c r="P70" s="170">
        <f t="shared" si="6"/>
        <v>7.5</v>
      </c>
      <c r="Q70" s="168">
        <v>25</v>
      </c>
      <c r="R70" s="169">
        <f t="shared" si="7"/>
        <v>6.25</v>
      </c>
      <c r="S70" s="170">
        <f t="shared" si="8"/>
        <v>2.5</v>
      </c>
      <c r="T70" s="171">
        <v>30</v>
      </c>
      <c r="U70" s="169">
        <f t="shared" si="9"/>
        <v>56.25</v>
      </c>
      <c r="V70" s="170">
        <f t="shared" si="10"/>
        <v>7.5</v>
      </c>
      <c r="W70" s="2"/>
    </row>
    <row r="71" spans="1:23">
      <c r="A71" s="49">
        <v>65</v>
      </c>
      <c r="B71" s="49" t="s">
        <v>19</v>
      </c>
      <c r="C71" s="49" t="s">
        <v>124</v>
      </c>
      <c r="D71" s="49">
        <v>40</v>
      </c>
      <c r="E71" s="49">
        <v>40</v>
      </c>
      <c r="F71" s="50">
        <f t="shared" si="11"/>
        <v>40</v>
      </c>
      <c r="G71" s="45"/>
      <c r="H71" s="168">
        <v>30</v>
      </c>
      <c r="I71" s="169">
        <f t="shared" si="1"/>
        <v>100</v>
      </c>
      <c r="J71" s="170">
        <f t="shared" si="2"/>
        <v>10</v>
      </c>
      <c r="K71" s="168">
        <v>30</v>
      </c>
      <c r="L71" s="169">
        <f t="shared" si="3"/>
        <v>100</v>
      </c>
      <c r="M71" s="170">
        <f t="shared" si="4"/>
        <v>10</v>
      </c>
      <c r="N71" s="168">
        <v>40</v>
      </c>
      <c r="O71" s="169">
        <f t="shared" si="5"/>
        <v>0</v>
      </c>
      <c r="P71" s="170">
        <f t="shared" si="6"/>
        <v>0</v>
      </c>
      <c r="Q71" s="168">
        <v>30</v>
      </c>
      <c r="R71" s="169">
        <f t="shared" si="7"/>
        <v>100</v>
      </c>
      <c r="S71" s="170">
        <f t="shared" si="8"/>
        <v>10</v>
      </c>
      <c r="T71" s="171">
        <v>30</v>
      </c>
      <c r="U71" s="169">
        <f t="shared" si="9"/>
        <v>100</v>
      </c>
      <c r="V71" s="170">
        <f t="shared" si="10"/>
        <v>10</v>
      </c>
      <c r="W71" s="2"/>
    </row>
    <row r="72" spans="1:23">
      <c r="A72" s="49">
        <v>66</v>
      </c>
      <c r="B72" s="49" t="s">
        <v>19</v>
      </c>
      <c r="C72" s="50" t="s">
        <v>212</v>
      </c>
      <c r="D72" s="49">
        <v>10</v>
      </c>
      <c r="E72" s="49">
        <v>25</v>
      </c>
      <c r="F72" s="50">
        <f t="shared" si="11"/>
        <v>17.5</v>
      </c>
      <c r="G72" s="45"/>
      <c r="H72" s="168">
        <v>20</v>
      </c>
      <c r="I72" s="169">
        <f t="shared" si="1"/>
        <v>6.25</v>
      </c>
      <c r="J72" s="170">
        <f t="shared" si="2"/>
        <v>2.5</v>
      </c>
      <c r="K72" s="168">
        <v>25</v>
      </c>
      <c r="L72" s="169">
        <f t="shared" si="3"/>
        <v>56.25</v>
      </c>
      <c r="M72" s="170">
        <f t="shared" si="4"/>
        <v>7.5</v>
      </c>
      <c r="N72" s="168">
        <v>30</v>
      </c>
      <c r="O72" s="169">
        <f t="shared" si="5"/>
        <v>156.25</v>
      </c>
      <c r="P72" s="170">
        <f t="shared" si="6"/>
        <v>12.5</v>
      </c>
      <c r="Q72" s="168">
        <v>30</v>
      </c>
      <c r="R72" s="169">
        <f t="shared" si="7"/>
        <v>156.25</v>
      </c>
      <c r="S72" s="170">
        <f t="shared" si="8"/>
        <v>12.5</v>
      </c>
      <c r="T72" s="171">
        <v>40</v>
      </c>
      <c r="U72" s="169">
        <f t="shared" si="9"/>
        <v>506.25</v>
      </c>
      <c r="V72" s="170">
        <f t="shared" si="10"/>
        <v>22.5</v>
      </c>
      <c r="W72" s="2"/>
    </row>
    <row r="73" spans="1:23">
      <c r="A73" s="51">
        <v>67</v>
      </c>
      <c r="B73" s="50" t="s">
        <v>19</v>
      </c>
      <c r="C73" s="50" t="s">
        <v>215</v>
      </c>
      <c r="D73" s="49">
        <v>0</v>
      </c>
      <c r="E73" s="49">
        <v>0</v>
      </c>
      <c r="F73" s="50">
        <f t="shared" si="11"/>
        <v>0</v>
      </c>
      <c r="G73" s="45"/>
      <c r="H73" s="168">
        <v>20</v>
      </c>
      <c r="I73" s="169">
        <f t="shared" si="1"/>
        <v>400</v>
      </c>
      <c r="J73" s="170">
        <f t="shared" si="2"/>
        <v>20</v>
      </c>
      <c r="K73" s="168">
        <v>20</v>
      </c>
      <c r="L73" s="169">
        <f t="shared" si="3"/>
        <v>400</v>
      </c>
      <c r="M73" s="170">
        <f t="shared" si="4"/>
        <v>20</v>
      </c>
      <c r="N73" s="168">
        <v>20</v>
      </c>
      <c r="O73" s="169">
        <f t="shared" si="5"/>
        <v>400</v>
      </c>
      <c r="P73" s="170">
        <f t="shared" si="6"/>
        <v>20</v>
      </c>
      <c r="Q73" s="168">
        <v>35</v>
      </c>
      <c r="R73" s="169">
        <f t="shared" si="7"/>
        <v>1225</v>
      </c>
      <c r="S73" s="170">
        <f t="shared" si="8"/>
        <v>35</v>
      </c>
      <c r="T73" s="171">
        <v>30</v>
      </c>
      <c r="U73" s="169">
        <f t="shared" si="9"/>
        <v>900</v>
      </c>
      <c r="V73" s="170">
        <f t="shared" si="10"/>
        <v>30</v>
      </c>
      <c r="W73" s="2"/>
    </row>
    <row r="74" spans="1:23">
      <c r="A74" s="49">
        <v>68</v>
      </c>
      <c r="B74" s="50" t="s">
        <v>19</v>
      </c>
      <c r="C74" s="50" t="s">
        <v>218</v>
      </c>
      <c r="D74" s="49">
        <v>10</v>
      </c>
      <c r="E74" s="49">
        <v>10</v>
      </c>
      <c r="F74" s="50">
        <f t="shared" si="11"/>
        <v>10</v>
      </c>
      <c r="G74" s="45"/>
      <c r="H74" s="168">
        <v>30</v>
      </c>
      <c r="I74" s="169">
        <f t="shared" si="1"/>
        <v>400</v>
      </c>
      <c r="J74" s="170">
        <f t="shared" si="2"/>
        <v>20</v>
      </c>
      <c r="K74" s="168">
        <v>25</v>
      </c>
      <c r="L74" s="169">
        <f t="shared" si="3"/>
        <v>225</v>
      </c>
      <c r="M74" s="170">
        <f t="shared" si="4"/>
        <v>15</v>
      </c>
      <c r="N74" s="168">
        <v>20</v>
      </c>
      <c r="O74" s="169">
        <f t="shared" si="5"/>
        <v>100</v>
      </c>
      <c r="P74" s="170">
        <f t="shared" si="6"/>
        <v>10</v>
      </c>
      <c r="Q74" s="168">
        <v>35</v>
      </c>
      <c r="R74" s="169">
        <f t="shared" si="7"/>
        <v>625</v>
      </c>
      <c r="S74" s="170">
        <f t="shared" si="8"/>
        <v>25</v>
      </c>
      <c r="T74" s="171">
        <v>40</v>
      </c>
      <c r="U74" s="169">
        <f t="shared" si="9"/>
        <v>900</v>
      </c>
      <c r="V74" s="170">
        <f t="shared" si="10"/>
        <v>30</v>
      </c>
      <c r="W74" s="2"/>
    </row>
    <row r="75" spans="1:23">
      <c r="A75" s="51">
        <v>70</v>
      </c>
      <c r="B75" s="50" t="s">
        <v>19</v>
      </c>
      <c r="C75" s="49" t="s">
        <v>223</v>
      </c>
      <c r="D75" s="49">
        <v>20</v>
      </c>
      <c r="E75" s="49">
        <v>20</v>
      </c>
      <c r="F75" s="50">
        <f t="shared" si="11"/>
        <v>20</v>
      </c>
      <c r="G75" s="45"/>
      <c r="H75" s="168">
        <v>20</v>
      </c>
      <c r="I75" s="169">
        <f t="shared" si="1"/>
        <v>0</v>
      </c>
      <c r="J75" s="170">
        <f t="shared" si="2"/>
        <v>0</v>
      </c>
      <c r="K75" s="168">
        <v>25</v>
      </c>
      <c r="L75" s="169">
        <f t="shared" si="3"/>
        <v>25</v>
      </c>
      <c r="M75" s="170">
        <f t="shared" si="4"/>
        <v>5</v>
      </c>
      <c r="N75" s="168">
        <v>10</v>
      </c>
      <c r="O75" s="169">
        <f t="shared" si="5"/>
        <v>100</v>
      </c>
      <c r="P75" s="170">
        <f t="shared" si="6"/>
        <v>10</v>
      </c>
      <c r="Q75" s="168">
        <v>25</v>
      </c>
      <c r="R75" s="169">
        <f t="shared" si="7"/>
        <v>25</v>
      </c>
      <c r="S75" s="170">
        <f t="shared" si="8"/>
        <v>5</v>
      </c>
      <c r="T75" s="171">
        <v>40</v>
      </c>
      <c r="U75" s="169">
        <f t="shared" si="9"/>
        <v>400</v>
      </c>
      <c r="V75" s="170">
        <f t="shared" si="10"/>
        <v>20</v>
      </c>
      <c r="W75" s="2"/>
    </row>
    <row r="76" spans="1:23">
      <c r="A76" s="49">
        <v>71</v>
      </c>
      <c r="B76" s="50" t="s">
        <v>19</v>
      </c>
      <c r="C76" s="50" t="s">
        <v>226</v>
      </c>
      <c r="D76" s="49">
        <v>20</v>
      </c>
      <c r="E76" s="49">
        <v>30</v>
      </c>
      <c r="F76" s="50">
        <f t="shared" si="11"/>
        <v>25</v>
      </c>
      <c r="G76" s="45"/>
      <c r="H76" s="168">
        <v>30</v>
      </c>
      <c r="I76" s="169">
        <f t="shared" si="1"/>
        <v>25</v>
      </c>
      <c r="J76" s="170">
        <f t="shared" si="2"/>
        <v>5</v>
      </c>
      <c r="K76" s="168">
        <v>10</v>
      </c>
      <c r="L76" s="169">
        <f t="shared" si="3"/>
        <v>225</v>
      </c>
      <c r="M76" s="170">
        <f t="shared" si="4"/>
        <v>15</v>
      </c>
      <c r="N76" s="168">
        <v>25</v>
      </c>
      <c r="O76" s="169">
        <f t="shared" si="5"/>
        <v>0</v>
      </c>
      <c r="P76" s="170">
        <f t="shared" si="6"/>
        <v>0</v>
      </c>
      <c r="Q76" s="168">
        <v>25</v>
      </c>
      <c r="R76" s="169">
        <f t="shared" si="7"/>
        <v>0</v>
      </c>
      <c r="S76" s="170">
        <f t="shared" si="8"/>
        <v>0</v>
      </c>
      <c r="T76" s="171">
        <v>40</v>
      </c>
      <c r="U76" s="169">
        <f t="shared" si="9"/>
        <v>225</v>
      </c>
      <c r="V76" s="170">
        <f t="shared" si="10"/>
        <v>15</v>
      </c>
      <c r="W76" s="2"/>
    </row>
    <row r="77" spans="1:23">
      <c r="A77" s="49">
        <v>72</v>
      </c>
      <c r="B77" s="50" t="s">
        <v>19</v>
      </c>
      <c r="C77" s="50" t="s">
        <v>229</v>
      </c>
      <c r="D77" s="49">
        <v>5</v>
      </c>
      <c r="E77" s="49">
        <v>10</v>
      </c>
      <c r="F77" s="50">
        <f t="shared" si="11"/>
        <v>7.5</v>
      </c>
      <c r="G77" s="45"/>
      <c r="H77" s="168">
        <v>30</v>
      </c>
      <c r="I77" s="169">
        <f t="shared" si="1"/>
        <v>506.25</v>
      </c>
      <c r="J77" s="170">
        <f t="shared" si="2"/>
        <v>22.5</v>
      </c>
      <c r="K77" s="168">
        <v>25</v>
      </c>
      <c r="L77" s="169">
        <f t="shared" si="3"/>
        <v>306.25</v>
      </c>
      <c r="M77" s="170">
        <f t="shared" si="4"/>
        <v>17.5</v>
      </c>
      <c r="N77" s="168">
        <v>35</v>
      </c>
      <c r="O77" s="169">
        <f t="shared" si="5"/>
        <v>756.25</v>
      </c>
      <c r="P77" s="170">
        <f t="shared" si="6"/>
        <v>27.5</v>
      </c>
      <c r="Q77" s="168">
        <v>35</v>
      </c>
      <c r="R77" s="169">
        <f t="shared" si="7"/>
        <v>756.25</v>
      </c>
      <c r="S77" s="170">
        <f t="shared" si="8"/>
        <v>27.5</v>
      </c>
      <c r="T77" s="171">
        <v>40</v>
      </c>
      <c r="U77" s="169">
        <f t="shared" si="9"/>
        <v>1056.25</v>
      </c>
      <c r="V77" s="170">
        <f t="shared" si="10"/>
        <v>32.5</v>
      </c>
      <c r="W77" s="2"/>
    </row>
    <row r="78" spans="1:23">
      <c r="A78" s="43">
        <v>73</v>
      </c>
      <c r="B78" s="50" t="s">
        <v>19</v>
      </c>
      <c r="C78" s="50" t="s">
        <v>232</v>
      </c>
      <c r="D78" s="49">
        <v>10</v>
      </c>
      <c r="E78" s="49">
        <v>20</v>
      </c>
      <c r="F78" s="50">
        <f t="shared" si="11"/>
        <v>15</v>
      </c>
      <c r="G78" s="45"/>
      <c r="H78" s="168">
        <v>10</v>
      </c>
      <c r="I78" s="169">
        <f t="shared" si="1"/>
        <v>25</v>
      </c>
      <c r="J78" s="170">
        <f t="shared" si="2"/>
        <v>5</v>
      </c>
      <c r="K78" s="168">
        <v>10</v>
      </c>
      <c r="L78" s="169">
        <f t="shared" si="3"/>
        <v>25</v>
      </c>
      <c r="M78" s="170">
        <f t="shared" si="4"/>
        <v>5</v>
      </c>
      <c r="N78" s="168">
        <v>10</v>
      </c>
      <c r="O78" s="169">
        <f t="shared" si="5"/>
        <v>25</v>
      </c>
      <c r="P78" s="170">
        <f t="shared" si="6"/>
        <v>5</v>
      </c>
      <c r="Q78" s="168">
        <v>15</v>
      </c>
      <c r="R78" s="169">
        <f t="shared" si="7"/>
        <v>0</v>
      </c>
      <c r="S78" s="170">
        <f t="shared" si="8"/>
        <v>0</v>
      </c>
      <c r="T78" s="171">
        <v>20</v>
      </c>
      <c r="U78" s="169">
        <f t="shared" si="9"/>
        <v>25</v>
      </c>
      <c r="V78" s="170">
        <f t="shared" si="10"/>
        <v>5</v>
      </c>
      <c r="W78" s="2"/>
    </row>
    <row r="79" spans="1:23">
      <c r="A79" s="49">
        <v>74</v>
      </c>
      <c r="B79" s="50" t="s">
        <v>19</v>
      </c>
      <c r="C79" s="50" t="s">
        <v>235</v>
      </c>
      <c r="D79" s="49">
        <v>20</v>
      </c>
      <c r="E79" s="49">
        <v>20</v>
      </c>
      <c r="F79" s="50">
        <f t="shared" si="11"/>
        <v>20</v>
      </c>
      <c r="G79" s="45"/>
      <c r="H79" s="168">
        <v>30</v>
      </c>
      <c r="I79" s="169">
        <f t="shared" si="1"/>
        <v>100</v>
      </c>
      <c r="J79" s="170">
        <f t="shared" si="2"/>
        <v>10</v>
      </c>
      <c r="K79" s="168">
        <v>40</v>
      </c>
      <c r="L79" s="169">
        <f t="shared" si="3"/>
        <v>400</v>
      </c>
      <c r="M79" s="170">
        <f t="shared" si="4"/>
        <v>20</v>
      </c>
      <c r="N79" s="168">
        <v>35</v>
      </c>
      <c r="O79" s="169">
        <f t="shared" si="5"/>
        <v>225</v>
      </c>
      <c r="P79" s="170">
        <f t="shared" si="6"/>
        <v>15</v>
      </c>
      <c r="Q79" s="168">
        <v>35</v>
      </c>
      <c r="R79" s="169">
        <f t="shared" si="7"/>
        <v>225</v>
      </c>
      <c r="S79" s="170">
        <f t="shared" si="8"/>
        <v>15</v>
      </c>
      <c r="T79" s="171">
        <v>35</v>
      </c>
      <c r="U79" s="169">
        <f t="shared" si="9"/>
        <v>225</v>
      </c>
      <c r="V79" s="170">
        <f t="shared" si="10"/>
        <v>15</v>
      </c>
      <c r="W79" s="2"/>
    </row>
    <row r="80" spans="1:23">
      <c r="A80" s="49">
        <v>75</v>
      </c>
      <c r="B80" s="50" t="s">
        <v>19</v>
      </c>
      <c r="C80" s="50" t="s">
        <v>238</v>
      </c>
      <c r="D80" s="49">
        <v>0</v>
      </c>
      <c r="E80" s="49">
        <v>0</v>
      </c>
      <c r="F80" s="50">
        <f t="shared" si="11"/>
        <v>0</v>
      </c>
      <c r="G80" s="45"/>
      <c r="H80" s="168">
        <v>20</v>
      </c>
      <c r="I80" s="169">
        <f t="shared" si="1"/>
        <v>400</v>
      </c>
      <c r="J80" s="170">
        <f t="shared" si="2"/>
        <v>20</v>
      </c>
      <c r="K80" s="168">
        <v>20</v>
      </c>
      <c r="L80" s="169">
        <f t="shared" si="3"/>
        <v>400</v>
      </c>
      <c r="M80" s="170">
        <f t="shared" si="4"/>
        <v>20</v>
      </c>
      <c r="N80" s="168">
        <v>20</v>
      </c>
      <c r="O80" s="169">
        <f t="shared" si="5"/>
        <v>400</v>
      </c>
      <c r="P80" s="170">
        <f t="shared" si="6"/>
        <v>20</v>
      </c>
      <c r="Q80" s="168">
        <v>20</v>
      </c>
      <c r="R80" s="169">
        <f t="shared" si="7"/>
        <v>400</v>
      </c>
      <c r="S80" s="170">
        <f t="shared" si="8"/>
        <v>20</v>
      </c>
      <c r="T80" s="171">
        <v>20</v>
      </c>
      <c r="U80" s="169">
        <f t="shared" si="9"/>
        <v>400</v>
      </c>
      <c r="V80" s="170">
        <f t="shared" si="10"/>
        <v>20</v>
      </c>
      <c r="W80" s="2"/>
    </row>
    <row r="81" spans="1:23">
      <c r="A81" s="51">
        <v>76</v>
      </c>
      <c r="B81" s="50" t="s">
        <v>19</v>
      </c>
      <c r="C81" s="50" t="s">
        <v>241</v>
      </c>
      <c r="D81" s="49">
        <v>40</v>
      </c>
      <c r="E81" s="49">
        <v>40</v>
      </c>
      <c r="F81" s="50">
        <f t="shared" si="11"/>
        <v>40</v>
      </c>
      <c r="G81" s="45"/>
      <c r="H81" s="168">
        <v>30</v>
      </c>
      <c r="I81" s="169">
        <f t="shared" si="1"/>
        <v>100</v>
      </c>
      <c r="J81" s="170">
        <f t="shared" si="2"/>
        <v>10</v>
      </c>
      <c r="K81" s="168">
        <v>25</v>
      </c>
      <c r="L81" s="169">
        <f t="shared" si="3"/>
        <v>225</v>
      </c>
      <c r="M81" s="170">
        <f t="shared" si="4"/>
        <v>15</v>
      </c>
      <c r="N81" s="168">
        <v>25</v>
      </c>
      <c r="O81" s="169">
        <f t="shared" si="5"/>
        <v>225</v>
      </c>
      <c r="P81" s="170">
        <f t="shared" si="6"/>
        <v>15</v>
      </c>
      <c r="Q81" s="168">
        <v>30</v>
      </c>
      <c r="R81" s="169">
        <f t="shared" si="7"/>
        <v>100</v>
      </c>
      <c r="S81" s="170">
        <f t="shared" si="8"/>
        <v>10</v>
      </c>
      <c r="T81" s="171">
        <v>25</v>
      </c>
      <c r="U81" s="169">
        <f t="shared" si="9"/>
        <v>225</v>
      </c>
      <c r="V81" s="170">
        <f t="shared" si="10"/>
        <v>15</v>
      </c>
      <c r="W81" s="2"/>
    </row>
    <row r="82" spans="1:23">
      <c r="A82" s="49">
        <v>77</v>
      </c>
      <c r="B82" s="50" t="s">
        <v>19</v>
      </c>
      <c r="C82" s="50" t="s">
        <v>244</v>
      </c>
      <c r="D82" s="49">
        <v>40</v>
      </c>
      <c r="E82" s="49">
        <v>40</v>
      </c>
      <c r="F82" s="50">
        <f t="shared" si="11"/>
        <v>40</v>
      </c>
      <c r="G82" s="45"/>
      <c r="H82" s="168">
        <v>30</v>
      </c>
      <c r="I82" s="169">
        <f t="shared" si="1"/>
        <v>100</v>
      </c>
      <c r="J82" s="170">
        <f t="shared" si="2"/>
        <v>10</v>
      </c>
      <c r="K82" s="168">
        <v>40</v>
      </c>
      <c r="L82" s="169">
        <f t="shared" si="3"/>
        <v>0</v>
      </c>
      <c r="M82" s="170">
        <f t="shared" si="4"/>
        <v>0</v>
      </c>
      <c r="N82" s="168">
        <v>35</v>
      </c>
      <c r="O82" s="169">
        <f t="shared" si="5"/>
        <v>25</v>
      </c>
      <c r="P82" s="170">
        <f t="shared" si="6"/>
        <v>5</v>
      </c>
      <c r="Q82" s="168">
        <v>35</v>
      </c>
      <c r="R82" s="169">
        <f t="shared" si="7"/>
        <v>25</v>
      </c>
      <c r="S82" s="170">
        <f t="shared" si="8"/>
        <v>5</v>
      </c>
      <c r="T82" s="171">
        <v>40</v>
      </c>
      <c r="U82" s="169">
        <f t="shared" si="9"/>
        <v>0</v>
      </c>
      <c r="V82" s="170">
        <f t="shared" si="10"/>
        <v>0</v>
      </c>
      <c r="W82" s="2"/>
    </row>
    <row r="83" spans="1:23">
      <c r="A83" s="49">
        <v>78</v>
      </c>
      <c r="B83" s="50" t="s">
        <v>19</v>
      </c>
      <c r="C83" s="50" t="s">
        <v>247</v>
      </c>
      <c r="D83" s="49">
        <v>40</v>
      </c>
      <c r="E83" s="49">
        <v>40</v>
      </c>
      <c r="F83" s="50">
        <f t="shared" si="11"/>
        <v>40</v>
      </c>
      <c r="G83" s="45"/>
      <c r="H83" s="168">
        <v>30</v>
      </c>
      <c r="I83" s="169">
        <f t="shared" si="1"/>
        <v>100</v>
      </c>
      <c r="J83" s="170">
        <f t="shared" si="2"/>
        <v>10</v>
      </c>
      <c r="K83" s="168">
        <v>30</v>
      </c>
      <c r="L83" s="169">
        <f t="shared" si="3"/>
        <v>100</v>
      </c>
      <c r="M83" s="170">
        <f t="shared" si="4"/>
        <v>10</v>
      </c>
      <c r="N83" s="168">
        <v>35</v>
      </c>
      <c r="O83" s="169">
        <f t="shared" si="5"/>
        <v>25</v>
      </c>
      <c r="P83" s="170">
        <f t="shared" si="6"/>
        <v>5</v>
      </c>
      <c r="Q83" s="168">
        <v>35</v>
      </c>
      <c r="R83" s="169">
        <f t="shared" si="7"/>
        <v>25</v>
      </c>
      <c r="S83" s="170">
        <f t="shared" si="8"/>
        <v>5</v>
      </c>
      <c r="T83" s="171">
        <v>40</v>
      </c>
      <c r="U83" s="169">
        <f t="shared" si="9"/>
        <v>0</v>
      </c>
      <c r="V83" s="170">
        <f t="shared" si="10"/>
        <v>0</v>
      </c>
      <c r="W83" s="2"/>
    </row>
    <row r="84" spans="1:23">
      <c r="A84" s="49">
        <v>80</v>
      </c>
      <c r="B84" s="50" t="s">
        <v>19</v>
      </c>
      <c r="C84" s="49" t="s">
        <v>252</v>
      </c>
      <c r="D84" s="49">
        <v>0</v>
      </c>
      <c r="E84" s="49">
        <v>5</v>
      </c>
      <c r="F84" s="50">
        <f t="shared" si="11"/>
        <v>2.5</v>
      </c>
      <c r="G84" s="45"/>
      <c r="H84" s="168">
        <v>30</v>
      </c>
      <c r="I84" s="169">
        <f t="shared" si="1"/>
        <v>756.25</v>
      </c>
      <c r="J84" s="170">
        <f t="shared" si="2"/>
        <v>27.5</v>
      </c>
      <c r="K84" s="168">
        <v>30</v>
      </c>
      <c r="L84" s="169">
        <f t="shared" si="3"/>
        <v>756.25</v>
      </c>
      <c r="M84" s="170">
        <f t="shared" si="4"/>
        <v>27.5</v>
      </c>
      <c r="N84" s="168">
        <v>35</v>
      </c>
      <c r="O84" s="169">
        <f t="shared" si="5"/>
        <v>1056.25</v>
      </c>
      <c r="P84" s="170">
        <f t="shared" si="6"/>
        <v>32.5</v>
      </c>
      <c r="Q84" s="168">
        <v>35</v>
      </c>
      <c r="R84" s="169">
        <f t="shared" si="7"/>
        <v>1056.25</v>
      </c>
      <c r="S84" s="170">
        <f t="shared" si="8"/>
        <v>32.5</v>
      </c>
      <c r="T84" s="171">
        <v>20</v>
      </c>
      <c r="U84" s="169">
        <f t="shared" si="9"/>
        <v>306.25</v>
      </c>
      <c r="V84" s="170">
        <f t="shared" si="10"/>
        <v>17.5</v>
      </c>
      <c r="W84" s="2"/>
    </row>
    <row r="85" spans="1:23">
      <c r="A85" s="49">
        <v>81</v>
      </c>
      <c r="B85" s="50" t="s">
        <v>19</v>
      </c>
      <c r="C85" s="49" t="s">
        <v>255</v>
      </c>
      <c r="D85" s="49">
        <v>10</v>
      </c>
      <c r="E85" s="49">
        <v>10</v>
      </c>
      <c r="F85" s="50">
        <f t="shared" si="11"/>
        <v>10</v>
      </c>
      <c r="G85" s="45"/>
      <c r="H85" s="168">
        <v>20</v>
      </c>
      <c r="I85" s="169">
        <f t="shared" si="1"/>
        <v>100</v>
      </c>
      <c r="J85" s="170">
        <f t="shared" si="2"/>
        <v>10</v>
      </c>
      <c r="K85" s="168">
        <v>20</v>
      </c>
      <c r="L85" s="169">
        <f t="shared" si="3"/>
        <v>100</v>
      </c>
      <c r="M85" s="170">
        <f t="shared" si="4"/>
        <v>10</v>
      </c>
      <c r="N85" s="168">
        <v>15</v>
      </c>
      <c r="O85" s="169">
        <f t="shared" si="5"/>
        <v>25</v>
      </c>
      <c r="P85" s="170">
        <f t="shared" si="6"/>
        <v>5</v>
      </c>
      <c r="Q85" s="168">
        <v>25</v>
      </c>
      <c r="R85" s="169">
        <f t="shared" si="7"/>
        <v>225</v>
      </c>
      <c r="S85" s="170">
        <f t="shared" si="8"/>
        <v>15</v>
      </c>
      <c r="T85" s="171">
        <v>20</v>
      </c>
      <c r="U85" s="169">
        <f t="shared" si="9"/>
        <v>100</v>
      </c>
      <c r="V85" s="170">
        <f t="shared" si="10"/>
        <v>10</v>
      </c>
      <c r="W85" s="2"/>
    </row>
    <row r="86" spans="1:23">
      <c r="A86" s="43">
        <v>82</v>
      </c>
      <c r="B86" s="50" t="s">
        <v>19</v>
      </c>
      <c r="C86" s="49" t="s">
        <v>258</v>
      </c>
      <c r="D86" s="49">
        <v>30</v>
      </c>
      <c r="E86" s="49">
        <v>32</v>
      </c>
      <c r="F86" s="50">
        <f t="shared" si="11"/>
        <v>31</v>
      </c>
      <c r="G86" s="45"/>
      <c r="H86" s="168">
        <v>30</v>
      </c>
      <c r="I86" s="169">
        <f t="shared" si="1"/>
        <v>1</v>
      </c>
      <c r="J86" s="170">
        <f t="shared" si="2"/>
        <v>1</v>
      </c>
      <c r="K86" s="168">
        <v>30</v>
      </c>
      <c r="L86" s="169">
        <f t="shared" si="3"/>
        <v>1</v>
      </c>
      <c r="M86" s="170">
        <f t="shared" si="4"/>
        <v>1</v>
      </c>
      <c r="N86" s="168">
        <v>40</v>
      </c>
      <c r="O86" s="169">
        <f t="shared" si="5"/>
        <v>81</v>
      </c>
      <c r="P86" s="170">
        <f t="shared" si="6"/>
        <v>9</v>
      </c>
      <c r="Q86" s="168">
        <v>35</v>
      </c>
      <c r="R86" s="169">
        <f t="shared" si="7"/>
        <v>16</v>
      </c>
      <c r="S86" s="170">
        <f t="shared" si="8"/>
        <v>4</v>
      </c>
      <c r="T86" s="171">
        <v>35</v>
      </c>
      <c r="U86" s="169">
        <f t="shared" si="9"/>
        <v>16</v>
      </c>
      <c r="V86" s="170">
        <f t="shared" si="10"/>
        <v>4</v>
      </c>
      <c r="W86" s="2"/>
    </row>
    <row r="87" spans="1:23">
      <c r="A87" s="49">
        <v>83</v>
      </c>
      <c r="B87" s="50" t="s">
        <v>19</v>
      </c>
      <c r="C87" s="50" t="s">
        <v>261</v>
      </c>
      <c r="D87" s="49">
        <v>0</v>
      </c>
      <c r="E87" s="49">
        <v>0</v>
      </c>
      <c r="F87" s="50">
        <f t="shared" si="11"/>
        <v>0</v>
      </c>
      <c r="G87" s="45"/>
      <c r="H87" s="168">
        <v>20</v>
      </c>
      <c r="I87" s="169">
        <f t="shared" si="1"/>
        <v>400</v>
      </c>
      <c r="J87" s="170">
        <f t="shared" si="2"/>
        <v>20</v>
      </c>
      <c r="K87" s="168">
        <v>20</v>
      </c>
      <c r="L87" s="169">
        <f t="shared" si="3"/>
        <v>400</v>
      </c>
      <c r="M87" s="170">
        <f t="shared" si="4"/>
        <v>20</v>
      </c>
      <c r="N87" s="168">
        <v>15</v>
      </c>
      <c r="O87" s="169">
        <f t="shared" si="5"/>
        <v>225</v>
      </c>
      <c r="P87" s="170">
        <f t="shared" si="6"/>
        <v>15</v>
      </c>
      <c r="Q87" s="168">
        <v>25</v>
      </c>
      <c r="R87" s="169">
        <f t="shared" si="7"/>
        <v>625</v>
      </c>
      <c r="S87" s="170">
        <f t="shared" si="8"/>
        <v>25</v>
      </c>
      <c r="T87" s="171">
        <v>20</v>
      </c>
      <c r="U87" s="169">
        <f t="shared" si="9"/>
        <v>400</v>
      </c>
      <c r="V87" s="170">
        <f t="shared" si="10"/>
        <v>20</v>
      </c>
      <c r="W87" s="2"/>
    </row>
    <row r="88" spans="1:23">
      <c r="A88" s="49">
        <v>84</v>
      </c>
      <c r="B88" s="50" t="s">
        <v>19</v>
      </c>
      <c r="C88" s="50" t="s">
        <v>264</v>
      </c>
      <c r="D88" s="49">
        <v>30</v>
      </c>
      <c r="E88" s="49">
        <v>35</v>
      </c>
      <c r="F88" s="50">
        <f t="shared" si="11"/>
        <v>32.5</v>
      </c>
      <c r="G88" s="45"/>
      <c r="H88" s="168">
        <v>30</v>
      </c>
      <c r="I88" s="169">
        <f t="shared" si="1"/>
        <v>6.25</v>
      </c>
      <c r="J88" s="170">
        <f t="shared" si="2"/>
        <v>2.5</v>
      </c>
      <c r="K88" s="168">
        <v>35</v>
      </c>
      <c r="L88" s="169">
        <f t="shared" si="3"/>
        <v>6.25</v>
      </c>
      <c r="M88" s="170">
        <f t="shared" si="4"/>
        <v>2.5</v>
      </c>
      <c r="N88" s="168">
        <v>40</v>
      </c>
      <c r="O88" s="169">
        <f t="shared" si="5"/>
        <v>56.25</v>
      </c>
      <c r="P88" s="170">
        <f t="shared" si="6"/>
        <v>7.5</v>
      </c>
      <c r="Q88" s="168">
        <v>35</v>
      </c>
      <c r="R88" s="169">
        <f t="shared" si="7"/>
        <v>6.25</v>
      </c>
      <c r="S88" s="170">
        <f t="shared" si="8"/>
        <v>2.5</v>
      </c>
      <c r="T88" s="171">
        <v>35</v>
      </c>
      <c r="U88" s="169">
        <f t="shared" si="9"/>
        <v>6.25</v>
      </c>
      <c r="V88" s="170">
        <f t="shared" si="10"/>
        <v>2.5</v>
      </c>
      <c r="W88" s="2"/>
    </row>
    <row r="89" spans="1:23">
      <c r="A89" s="51">
        <v>85</v>
      </c>
      <c r="B89" s="50" t="s">
        <v>19</v>
      </c>
      <c r="C89" s="50" t="s">
        <v>267</v>
      </c>
      <c r="D89" s="49">
        <v>40</v>
      </c>
      <c r="E89" s="49">
        <v>40</v>
      </c>
      <c r="F89" s="50">
        <f t="shared" si="11"/>
        <v>40</v>
      </c>
      <c r="G89" s="45"/>
      <c r="H89" s="168">
        <v>30</v>
      </c>
      <c r="I89" s="169">
        <f t="shared" si="1"/>
        <v>100</v>
      </c>
      <c r="J89" s="170">
        <f t="shared" si="2"/>
        <v>10</v>
      </c>
      <c r="K89" s="168">
        <v>30</v>
      </c>
      <c r="L89" s="169">
        <f t="shared" si="3"/>
        <v>100</v>
      </c>
      <c r="M89" s="170">
        <f t="shared" si="4"/>
        <v>10</v>
      </c>
      <c r="N89" s="168">
        <v>40</v>
      </c>
      <c r="O89" s="169">
        <f t="shared" si="5"/>
        <v>0</v>
      </c>
      <c r="P89" s="170">
        <f t="shared" si="6"/>
        <v>0</v>
      </c>
      <c r="Q89" s="168">
        <v>35</v>
      </c>
      <c r="R89" s="169">
        <f t="shared" si="7"/>
        <v>25</v>
      </c>
      <c r="S89" s="170">
        <f t="shared" si="8"/>
        <v>5</v>
      </c>
      <c r="T89" s="171">
        <v>40</v>
      </c>
      <c r="U89" s="169">
        <f t="shared" si="9"/>
        <v>0</v>
      </c>
      <c r="V89" s="170">
        <f t="shared" si="10"/>
        <v>0</v>
      </c>
      <c r="W89" s="2"/>
    </row>
    <row r="90" spans="1:23">
      <c r="A90" s="49">
        <v>86</v>
      </c>
      <c r="B90" s="49" t="s">
        <v>19</v>
      </c>
      <c r="C90" s="50" t="s">
        <v>270</v>
      </c>
      <c r="D90" s="49">
        <v>0.5</v>
      </c>
      <c r="E90" s="49">
        <v>0</v>
      </c>
      <c r="F90" s="50">
        <f t="shared" si="11"/>
        <v>0.25</v>
      </c>
      <c r="G90" s="45"/>
      <c r="H90" s="168">
        <v>20</v>
      </c>
      <c r="I90" s="169">
        <f t="shared" si="1"/>
        <v>390.0625</v>
      </c>
      <c r="J90" s="170">
        <f t="shared" si="2"/>
        <v>19.75</v>
      </c>
      <c r="K90" s="168">
        <v>20</v>
      </c>
      <c r="L90" s="169">
        <f t="shared" si="3"/>
        <v>390.0625</v>
      </c>
      <c r="M90" s="170">
        <f t="shared" si="4"/>
        <v>19.75</v>
      </c>
      <c r="N90" s="168">
        <v>10</v>
      </c>
      <c r="O90" s="169">
        <f t="shared" si="5"/>
        <v>95.0625</v>
      </c>
      <c r="P90" s="170">
        <f t="shared" si="6"/>
        <v>9.75</v>
      </c>
      <c r="Q90" s="168">
        <v>15</v>
      </c>
      <c r="R90" s="169">
        <f t="shared" si="7"/>
        <v>217.5625</v>
      </c>
      <c r="S90" s="170">
        <f t="shared" si="8"/>
        <v>14.75</v>
      </c>
      <c r="T90" s="171">
        <v>20</v>
      </c>
      <c r="U90" s="169">
        <f t="shared" si="9"/>
        <v>390.0625</v>
      </c>
      <c r="V90" s="170">
        <f t="shared" si="10"/>
        <v>19.75</v>
      </c>
      <c r="W90" s="2"/>
    </row>
    <row r="91" spans="1:23">
      <c r="A91" s="49">
        <v>87</v>
      </c>
      <c r="B91" s="50" t="s">
        <v>19</v>
      </c>
      <c r="C91" s="50" t="s">
        <v>273</v>
      </c>
      <c r="D91" s="49">
        <v>40</v>
      </c>
      <c r="E91" s="49">
        <v>40</v>
      </c>
      <c r="F91" s="50">
        <f t="shared" si="11"/>
        <v>40</v>
      </c>
      <c r="G91" s="45"/>
      <c r="H91" s="168">
        <v>30</v>
      </c>
      <c r="I91" s="169">
        <f t="shared" si="1"/>
        <v>100</v>
      </c>
      <c r="J91" s="170">
        <f t="shared" si="2"/>
        <v>10</v>
      </c>
      <c r="K91" s="168">
        <v>30</v>
      </c>
      <c r="L91" s="169">
        <f t="shared" si="3"/>
        <v>100</v>
      </c>
      <c r="M91" s="170">
        <f t="shared" si="4"/>
        <v>10</v>
      </c>
      <c r="N91" s="168">
        <v>40</v>
      </c>
      <c r="O91" s="169">
        <f t="shared" si="5"/>
        <v>0</v>
      </c>
      <c r="P91" s="170">
        <f t="shared" si="6"/>
        <v>0</v>
      </c>
      <c r="Q91" s="168">
        <v>35</v>
      </c>
      <c r="R91" s="169">
        <f t="shared" si="7"/>
        <v>25</v>
      </c>
      <c r="S91" s="170">
        <f t="shared" si="8"/>
        <v>5</v>
      </c>
      <c r="T91" s="171">
        <v>30</v>
      </c>
      <c r="U91" s="169">
        <f t="shared" si="9"/>
        <v>100</v>
      </c>
      <c r="V91" s="170">
        <f t="shared" si="10"/>
        <v>10</v>
      </c>
      <c r="W91" s="2"/>
    </row>
    <row r="92" spans="1:23">
      <c r="A92" s="43">
        <v>88</v>
      </c>
      <c r="B92" s="49" t="s">
        <v>19</v>
      </c>
      <c r="C92" s="50" t="s">
        <v>276</v>
      </c>
      <c r="D92" s="49">
        <v>20</v>
      </c>
      <c r="E92" s="49">
        <v>30</v>
      </c>
      <c r="F92" s="50">
        <f t="shared" si="11"/>
        <v>25</v>
      </c>
      <c r="G92" s="45"/>
      <c r="H92" s="168">
        <v>30</v>
      </c>
      <c r="I92" s="169">
        <f t="shared" si="1"/>
        <v>25</v>
      </c>
      <c r="J92" s="170">
        <f t="shared" si="2"/>
        <v>5</v>
      </c>
      <c r="K92" s="168">
        <v>25</v>
      </c>
      <c r="L92" s="169">
        <f t="shared" si="3"/>
        <v>0</v>
      </c>
      <c r="M92" s="170">
        <f t="shared" si="4"/>
        <v>0</v>
      </c>
      <c r="N92" s="168">
        <v>35</v>
      </c>
      <c r="O92" s="169">
        <f t="shared" si="5"/>
        <v>100</v>
      </c>
      <c r="P92" s="170">
        <f t="shared" si="6"/>
        <v>10</v>
      </c>
      <c r="Q92" s="168">
        <v>30</v>
      </c>
      <c r="R92" s="169">
        <f t="shared" si="7"/>
        <v>25</v>
      </c>
      <c r="S92" s="170">
        <f t="shared" si="8"/>
        <v>5</v>
      </c>
      <c r="T92" s="171">
        <v>30</v>
      </c>
      <c r="U92" s="169">
        <f t="shared" si="9"/>
        <v>25</v>
      </c>
      <c r="V92" s="170">
        <f t="shared" si="10"/>
        <v>5</v>
      </c>
      <c r="W92" s="2"/>
    </row>
    <row r="93" spans="1:23">
      <c r="A93" s="49">
        <v>89</v>
      </c>
      <c r="B93" s="50" t="s">
        <v>19</v>
      </c>
      <c r="C93" s="50" t="s">
        <v>279</v>
      </c>
      <c r="D93" s="49">
        <v>0</v>
      </c>
      <c r="E93" s="49">
        <v>0</v>
      </c>
      <c r="F93" s="50">
        <f t="shared" si="11"/>
        <v>0</v>
      </c>
      <c r="G93" s="45"/>
      <c r="H93" s="168">
        <v>25</v>
      </c>
      <c r="I93" s="169">
        <f t="shared" si="1"/>
        <v>625</v>
      </c>
      <c r="J93" s="170">
        <f t="shared" si="2"/>
        <v>25</v>
      </c>
      <c r="K93" s="168">
        <v>30</v>
      </c>
      <c r="L93" s="169">
        <f t="shared" si="3"/>
        <v>900</v>
      </c>
      <c r="M93" s="170">
        <f t="shared" si="4"/>
        <v>30</v>
      </c>
      <c r="N93" s="168">
        <v>30</v>
      </c>
      <c r="O93" s="169">
        <f t="shared" si="5"/>
        <v>900</v>
      </c>
      <c r="P93" s="170">
        <f t="shared" si="6"/>
        <v>30</v>
      </c>
      <c r="Q93" s="168">
        <v>35</v>
      </c>
      <c r="R93" s="169">
        <f t="shared" si="7"/>
        <v>1225</v>
      </c>
      <c r="S93" s="170">
        <f t="shared" si="8"/>
        <v>35</v>
      </c>
      <c r="T93" s="171">
        <v>30</v>
      </c>
      <c r="U93" s="169">
        <f t="shared" si="9"/>
        <v>900</v>
      </c>
      <c r="V93" s="170">
        <f t="shared" si="10"/>
        <v>30</v>
      </c>
      <c r="W93" s="2"/>
    </row>
    <row r="94" spans="1:23">
      <c r="A94" s="49">
        <v>90</v>
      </c>
      <c r="B94" s="50" t="s">
        <v>19</v>
      </c>
      <c r="C94" s="50" t="s">
        <v>282</v>
      </c>
      <c r="D94" s="49">
        <v>30</v>
      </c>
      <c r="E94" s="49">
        <v>30</v>
      </c>
      <c r="F94" s="50">
        <f t="shared" si="11"/>
        <v>30</v>
      </c>
      <c r="G94" s="45"/>
      <c r="H94" s="168">
        <v>30</v>
      </c>
      <c r="I94" s="169">
        <f t="shared" si="1"/>
        <v>0</v>
      </c>
      <c r="J94" s="170">
        <f t="shared" si="2"/>
        <v>0</v>
      </c>
      <c r="K94" s="168">
        <v>30</v>
      </c>
      <c r="L94" s="169">
        <f t="shared" si="3"/>
        <v>0</v>
      </c>
      <c r="M94" s="170">
        <f t="shared" si="4"/>
        <v>0</v>
      </c>
      <c r="N94" s="168">
        <v>30</v>
      </c>
      <c r="O94" s="169">
        <f t="shared" si="5"/>
        <v>0</v>
      </c>
      <c r="P94" s="170">
        <f t="shared" si="6"/>
        <v>0</v>
      </c>
      <c r="Q94" s="168">
        <v>30</v>
      </c>
      <c r="R94" s="169">
        <f t="shared" si="7"/>
        <v>0</v>
      </c>
      <c r="S94" s="170">
        <f t="shared" si="8"/>
        <v>0</v>
      </c>
      <c r="T94" s="171">
        <v>35</v>
      </c>
      <c r="U94" s="169">
        <f t="shared" si="9"/>
        <v>25</v>
      </c>
      <c r="V94" s="170">
        <f t="shared" si="10"/>
        <v>5</v>
      </c>
      <c r="W94" s="2"/>
    </row>
    <row r="95" spans="1:23">
      <c r="A95" s="51">
        <v>91</v>
      </c>
      <c r="B95" s="50" t="s">
        <v>19</v>
      </c>
      <c r="C95" s="50" t="s">
        <v>285</v>
      </c>
      <c r="D95" s="49">
        <v>40</v>
      </c>
      <c r="E95" s="49">
        <v>40</v>
      </c>
      <c r="F95" s="50">
        <f t="shared" si="11"/>
        <v>40</v>
      </c>
      <c r="G95" s="45"/>
      <c r="H95" s="168">
        <v>30</v>
      </c>
      <c r="I95" s="169">
        <f t="shared" si="1"/>
        <v>100</v>
      </c>
      <c r="J95" s="170">
        <f t="shared" si="2"/>
        <v>10</v>
      </c>
      <c r="K95" s="168">
        <v>30</v>
      </c>
      <c r="L95" s="169">
        <f t="shared" si="3"/>
        <v>100</v>
      </c>
      <c r="M95" s="170">
        <f t="shared" si="4"/>
        <v>10</v>
      </c>
      <c r="N95" s="168">
        <v>35</v>
      </c>
      <c r="O95" s="169">
        <f t="shared" si="5"/>
        <v>25</v>
      </c>
      <c r="P95" s="170">
        <f t="shared" si="6"/>
        <v>5</v>
      </c>
      <c r="Q95" s="168">
        <v>35</v>
      </c>
      <c r="R95" s="169">
        <f t="shared" si="7"/>
        <v>25</v>
      </c>
      <c r="S95" s="170">
        <f t="shared" si="8"/>
        <v>5</v>
      </c>
      <c r="T95" s="171">
        <v>35</v>
      </c>
      <c r="U95" s="169">
        <f t="shared" si="9"/>
        <v>25</v>
      </c>
      <c r="V95" s="170">
        <f t="shared" si="10"/>
        <v>5</v>
      </c>
      <c r="W95" s="2"/>
    </row>
    <row r="96" spans="1:23">
      <c r="A96" s="49">
        <v>92</v>
      </c>
      <c r="B96" s="50" t="s">
        <v>19</v>
      </c>
      <c r="C96" s="50" t="s">
        <v>288</v>
      </c>
      <c r="D96" s="49">
        <v>30</v>
      </c>
      <c r="E96" s="49">
        <v>30</v>
      </c>
      <c r="F96" s="50">
        <f t="shared" si="11"/>
        <v>30</v>
      </c>
      <c r="G96" s="45"/>
      <c r="H96" s="168">
        <v>30</v>
      </c>
      <c r="I96" s="169">
        <f t="shared" si="1"/>
        <v>0</v>
      </c>
      <c r="J96" s="170">
        <f t="shared" si="2"/>
        <v>0</v>
      </c>
      <c r="K96" s="168">
        <v>30</v>
      </c>
      <c r="L96" s="169">
        <f t="shared" si="3"/>
        <v>0</v>
      </c>
      <c r="M96" s="170">
        <f t="shared" si="4"/>
        <v>0</v>
      </c>
      <c r="N96" s="168">
        <v>35</v>
      </c>
      <c r="O96" s="169">
        <f t="shared" si="5"/>
        <v>25</v>
      </c>
      <c r="P96" s="170">
        <f t="shared" si="6"/>
        <v>5</v>
      </c>
      <c r="Q96" s="168">
        <v>35</v>
      </c>
      <c r="R96" s="169">
        <f t="shared" si="7"/>
        <v>25</v>
      </c>
      <c r="S96" s="170">
        <f t="shared" si="8"/>
        <v>5</v>
      </c>
      <c r="T96" s="171">
        <v>35</v>
      </c>
      <c r="U96" s="169">
        <f t="shared" si="9"/>
        <v>25</v>
      </c>
      <c r="V96" s="170">
        <f t="shared" si="10"/>
        <v>5</v>
      </c>
      <c r="W96" s="2"/>
    </row>
    <row r="97" spans="1:23">
      <c r="A97" s="49">
        <v>93</v>
      </c>
      <c r="B97" s="50" t="s">
        <v>19</v>
      </c>
      <c r="C97" s="50" t="s">
        <v>291</v>
      </c>
      <c r="D97" s="49">
        <v>10</v>
      </c>
      <c r="E97" s="49">
        <v>0</v>
      </c>
      <c r="F97" s="50">
        <f t="shared" si="11"/>
        <v>5</v>
      </c>
      <c r="G97" s="45"/>
      <c r="H97" s="168">
        <v>30</v>
      </c>
      <c r="I97" s="169">
        <f t="shared" si="1"/>
        <v>625</v>
      </c>
      <c r="J97" s="170">
        <f t="shared" si="2"/>
        <v>25</v>
      </c>
      <c r="K97" s="168">
        <v>20</v>
      </c>
      <c r="L97" s="169">
        <f t="shared" si="3"/>
        <v>225</v>
      </c>
      <c r="M97" s="170">
        <f t="shared" si="4"/>
        <v>15</v>
      </c>
      <c r="N97" s="168">
        <v>20</v>
      </c>
      <c r="O97" s="169">
        <f t="shared" si="5"/>
        <v>225</v>
      </c>
      <c r="P97" s="170">
        <f t="shared" si="6"/>
        <v>15</v>
      </c>
      <c r="Q97" s="168">
        <v>25</v>
      </c>
      <c r="R97" s="169">
        <f t="shared" si="7"/>
        <v>400</v>
      </c>
      <c r="S97" s="170">
        <f t="shared" si="8"/>
        <v>20</v>
      </c>
      <c r="T97" s="171">
        <v>20</v>
      </c>
      <c r="U97" s="169">
        <f t="shared" si="9"/>
        <v>225</v>
      </c>
      <c r="V97" s="170">
        <f t="shared" si="10"/>
        <v>15</v>
      </c>
      <c r="W97" s="2"/>
    </row>
    <row r="98" spans="1:23">
      <c r="A98" s="43">
        <v>94</v>
      </c>
      <c r="B98" s="50" t="s">
        <v>19</v>
      </c>
      <c r="C98" s="50" t="s">
        <v>294</v>
      </c>
      <c r="D98" s="49">
        <v>30</v>
      </c>
      <c r="E98" s="49">
        <v>30</v>
      </c>
      <c r="F98" s="50">
        <f t="shared" si="11"/>
        <v>30</v>
      </c>
      <c r="G98" s="45"/>
      <c r="H98" s="168">
        <v>30</v>
      </c>
      <c r="I98" s="169">
        <f t="shared" si="1"/>
        <v>0</v>
      </c>
      <c r="J98" s="170">
        <f t="shared" si="2"/>
        <v>0</v>
      </c>
      <c r="K98" s="168">
        <v>25</v>
      </c>
      <c r="L98" s="169">
        <f t="shared" si="3"/>
        <v>25</v>
      </c>
      <c r="M98" s="170">
        <f t="shared" si="4"/>
        <v>5</v>
      </c>
      <c r="N98" s="168">
        <v>35</v>
      </c>
      <c r="O98" s="169">
        <f t="shared" si="5"/>
        <v>25</v>
      </c>
      <c r="P98" s="170">
        <f t="shared" si="6"/>
        <v>5</v>
      </c>
      <c r="Q98" s="168">
        <v>35</v>
      </c>
      <c r="R98" s="169">
        <f t="shared" si="7"/>
        <v>25</v>
      </c>
      <c r="S98" s="170">
        <f t="shared" si="8"/>
        <v>5</v>
      </c>
      <c r="T98" s="171">
        <v>30</v>
      </c>
      <c r="U98" s="169">
        <f t="shared" si="9"/>
        <v>0</v>
      </c>
      <c r="V98" s="170">
        <f t="shared" si="10"/>
        <v>0</v>
      </c>
      <c r="W98" s="2"/>
    </row>
    <row r="99" spans="1:23">
      <c r="A99" s="49">
        <v>95</v>
      </c>
      <c r="B99" s="50" t="s">
        <v>19</v>
      </c>
      <c r="C99" s="49" t="s">
        <v>297</v>
      </c>
      <c r="D99" s="49">
        <v>12</v>
      </c>
      <c r="E99" s="49">
        <v>10</v>
      </c>
      <c r="F99" s="50">
        <f t="shared" si="11"/>
        <v>11</v>
      </c>
      <c r="G99" s="45"/>
      <c r="H99" s="168">
        <v>20</v>
      </c>
      <c r="I99" s="169">
        <f t="shared" si="1"/>
        <v>81</v>
      </c>
      <c r="J99" s="170">
        <f t="shared" si="2"/>
        <v>9</v>
      </c>
      <c r="K99" s="168">
        <v>20</v>
      </c>
      <c r="L99" s="169">
        <f t="shared" si="3"/>
        <v>81</v>
      </c>
      <c r="M99" s="170">
        <f t="shared" si="4"/>
        <v>9</v>
      </c>
      <c r="N99" s="168">
        <v>20</v>
      </c>
      <c r="O99" s="169">
        <f t="shared" si="5"/>
        <v>81</v>
      </c>
      <c r="P99" s="170">
        <f t="shared" si="6"/>
        <v>9</v>
      </c>
      <c r="Q99" s="168">
        <v>20</v>
      </c>
      <c r="R99" s="169">
        <f t="shared" si="7"/>
        <v>81</v>
      </c>
      <c r="S99" s="170">
        <f t="shared" si="8"/>
        <v>9</v>
      </c>
      <c r="T99" s="171">
        <v>20</v>
      </c>
      <c r="U99" s="169">
        <f t="shared" si="9"/>
        <v>81</v>
      </c>
      <c r="V99" s="170">
        <f t="shared" si="10"/>
        <v>9</v>
      </c>
      <c r="W99" s="2"/>
    </row>
    <row r="100" spans="1:23">
      <c r="A100" s="49">
        <v>96</v>
      </c>
      <c r="B100" s="50" t="s">
        <v>19</v>
      </c>
      <c r="C100" s="49" t="s">
        <v>300</v>
      </c>
      <c r="D100" s="49">
        <v>20</v>
      </c>
      <c r="E100" s="49">
        <v>20</v>
      </c>
      <c r="F100" s="50">
        <f t="shared" si="11"/>
        <v>20</v>
      </c>
      <c r="G100" s="45"/>
      <c r="H100" s="168">
        <v>30</v>
      </c>
      <c r="I100" s="169">
        <f t="shared" si="1"/>
        <v>100</v>
      </c>
      <c r="J100" s="170">
        <f t="shared" si="2"/>
        <v>10</v>
      </c>
      <c r="K100" s="168">
        <v>30</v>
      </c>
      <c r="L100" s="169">
        <f t="shared" si="3"/>
        <v>100</v>
      </c>
      <c r="M100" s="170">
        <f t="shared" si="4"/>
        <v>10</v>
      </c>
      <c r="N100" s="168">
        <v>30</v>
      </c>
      <c r="O100" s="169">
        <f t="shared" si="5"/>
        <v>100</v>
      </c>
      <c r="P100" s="170">
        <f t="shared" si="6"/>
        <v>10</v>
      </c>
      <c r="Q100" s="168">
        <v>25</v>
      </c>
      <c r="R100" s="169">
        <f t="shared" si="7"/>
        <v>25</v>
      </c>
      <c r="S100" s="170">
        <f t="shared" si="8"/>
        <v>5</v>
      </c>
      <c r="T100" s="171">
        <v>20</v>
      </c>
      <c r="U100" s="169">
        <f t="shared" si="9"/>
        <v>0</v>
      </c>
      <c r="V100" s="170">
        <f t="shared" si="10"/>
        <v>0</v>
      </c>
      <c r="W100" s="2"/>
    </row>
    <row r="101" spans="1:23">
      <c r="A101" s="51">
        <v>97</v>
      </c>
      <c r="B101" s="50" t="s">
        <v>19</v>
      </c>
      <c r="C101" s="50" t="s">
        <v>303</v>
      </c>
      <c r="D101" s="49">
        <v>10</v>
      </c>
      <c r="E101" s="49">
        <v>10</v>
      </c>
      <c r="F101" s="50">
        <f t="shared" si="11"/>
        <v>10</v>
      </c>
      <c r="G101" s="45"/>
      <c r="H101" s="168">
        <v>20</v>
      </c>
      <c r="I101" s="169">
        <f t="shared" si="1"/>
        <v>100</v>
      </c>
      <c r="J101" s="170">
        <f t="shared" si="2"/>
        <v>10</v>
      </c>
      <c r="K101" s="168">
        <v>25</v>
      </c>
      <c r="L101" s="169">
        <f t="shared" si="3"/>
        <v>225</v>
      </c>
      <c r="M101" s="170">
        <f t="shared" si="4"/>
        <v>15</v>
      </c>
      <c r="N101" s="168">
        <v>20</v>
      </c>
      <c r="O101" s="169">
        <f t="shared" si="5"/>
        <v>100</v>
      </c>
      <c r="P101" s="170">
        <f t="shared" si="6"/>
        <v>10</v>
      </c>
      <c r="Q101" s="168">
        <v>25</v>
      </c>
      <c r="R101" s="169">
        <f t="shared" si="7"/>
        <v>225</v>
      </c>
      <c r="S101" s="170">
        <f t="shared" si="8"/>
        <v>15</v>
      </c>
      <c r="T101" s="171">
        <v>20</v>
      </c>
      <c r="U101" s="169">
        <f t="shared" si="9"/>
        <v>100</v>
      </c>
      <c r="V101" s="170">
        <f t="shared" si="10"/>
        <v>10</v>
      </c>
      <c r="W101" s="2"/>
    </row>
    <row r="102" spans="1:23">
      <c r="A102" s="49">
        <v>98</v>
      </c>
      <c r="B102" s="50" t="s">
        <v>19</v>
      </c>
      <c r="C102" s="50" t="s">
        <v>306</v>
      </c>
      <c r="D102" s="49">
        <v>35</v>
      </c>
      <c r="E102" s="49">
        <v>40</v>
      </c>
      <c r="F102" s="50">
        <f t="shared" si="11"/>
        <v>37.5</v>
      </c>
      <c r="G102" s="45"/>
      <c r="H102" s="168">
        <v>30</v>
      </c>
      <c r="I102" s="169">
        <f t="shared" si="1"/>
        <v>56.25</v>
      </c>
      <c r="J102" s="170">
        <f t="shared" si="2"/>
        <v>7.5</v>
      </c>
      <c r="K102" s="168">
        <v>40</v>
      </c>
      <c r="L102" s="169">
        <f t="shared" si="3"/>
        <v>6.25</v>
      </c>
      <c r="M102" s="170">
        <f t="shared" si="4"/>
        <v>2.5</v>
      </c>
      <c r="N102" s="168">
        <v>40</v>
      </c>
      <c r="O102" s="169">
        <f t="shared" si="5"/>
        <v>6.25</v>
      </c>
      <c r="P102" s="170">
        <f t="shared" si="6"/>
        <v>2.5</v>
      </c>
      <c r="Q102" s="168">
        <v>35</v>
      </c>
      <c r="R102" s="169">
        <f t="shared" si="7"/>
        <v>6.25</v>
      </c>
      <c r="S102" s="170">
        <f t="shared" si="8"/>
        <v>2.5</v>
      </c>
      <c r="T102" s="171">
        <v>40</v>
      </c>
      <c r="U102" s="169">
        <f t="shared" si="9"/>
        <v>6.25</v>
      </c>
      <c r="V102" s="170">
        <f t="shared" si="10"/>
        <v>2.5</v>
      </c>
      <c r="W102" s="2"/>
    </row>
    <row r="103" spans="1:23">
      <c r="A103" s="49">
        <v>99</v>
      </c>
      <c r="B103" s="50" t="s">
        <v>19</v>
      </c>
      <c r="C103" s="50" t="s">
        <v>309</v>
      </c>
      <c r="D103" s="49">
        <v>30</v>
      </c>
      <c r="E103" s="49">
        <v>30</v>
      </c>
      <c r="F103" s="50">
        <f t="shared" si="11"/>
        <v>30</v>
      </c>
      <c r="G103" s="45"/>
      <c r="H103" s="168">
        <v>30</v>
      </c>
      <c r="I103" s="169">
        <f t="shared" si="1"/>
        <v>0</v>
      </c>
      <c r="J103" s="170">
        <f t="shared" si="2"/>
        <v>0</v>
      </c>
      <c r="K103" s="168">
        <v>30</v>
      </c>
      <c r="L103" s="169">
        <f t="shared" si="3"/>
        <v>0</v>
      </c>
      <c r="M103" s="170">
        <f t="shared" si="4"/>
        <v>0</v>
      </c>
      <c r="N103" s="168">
        <v>30</v>
      </c>
      <c r="O103" s="169">
        <f t="shared" si="5"/>
        <v>0</v>
      </c>
      <c r="P103" s="170">
        <f t="shared" si="6"/>
        <v>0</v>
      </c>
      <c r="Q103" s="168">
        <v>25</v>
      </c>
      <c r="R103" s="169">
        <f t="shared" si="7"/>
        <v>25</v>
      </c>
      <c r="S103" s="170">
        <f t="shared" si="8"/>
        <v>5</v>
      </c>
      <c r="T103" s="171">
        <v>25</v>
      </c>
      <c r="U103" s="169">
        <f t="shared" si="9"/>
        <v>25</v>
      </c>
      <c r="V103" s="170">
        <f t="shared" si="10"/>
        <v>5</v>
      </c>
      <c r="W103" s="2"/>
    </row>
    <row r="104" spans="1:23">
      <c r="A104" s="43">
        <v>100</v>
      </c>
      <c r="B104" s="49" t="s">
        <v>19</v>
      </c>
      <c r="C104" s="50" t="s">
        <v>312</v>
      </c>
      <c r="D104" s="49">
        <v>20</v>
      </c>
      <c r="E104" s="49">
        <v>20</v>
      </c>
      <c r="F104" s="50">
        <f t="shared" si="11"/>
        <v>20</v>
      </c>
      <c r="G104" s="45"/>
      <c r="H104" s="168">
        <v>30</v>
      </c>
      <c r="I104" s="169">
        <f t="shared" si="1"/>
        <v>100</v>
      </c>
      <c r="J104" s="170">
        <f t="shared" si="2"/>
        <v>10</v>
      </c>
      <c r="K104" s="168">
        <v>25</v>
      </c>
      <c r="L104" s="169">
        <f t="shared" si="3"/>
        <v>25</v>
      </c>
      <c r="M104" s="170">
        <f t="shared" si="4"/>
        <v>5</v>
      </c>
      <c r="N104" s="168">
        <v>15</v>
      </c>
      <c r="O104" s="169">
        <f t="shared" si="5"/>
        <v>25</v>
      </c>
      <c r="P104" s="170">
        <f t="shared" si="6"/>
        <v>5</v>
      </c>
      <c r="Q104" s="168">
        <v>30</v>
      </c>
      <c r="R104" s="169">
        <f t="shared" si="7"/>
        <v>100</v>
      </c>
      <c r="S104" s="170">
        <f t="shared" si="8"/>
        <v>10</v>
      </c>
      <c r="T104" s="171">
        <v>30</v>
      </c>
      <c r="U104" s="169">
        <f t="shared" si="9"/>
        <v>100</v>
      </c>
      <c r="V104" s="170">
        <f t="shared" si="10"/>
        <v>10</v>
      </c>
      <c r="W104" s="2"/>
    </row>
    <row r="105" spans="1:23">
      <c r="A105" s="49">
        <v>101</v>
      </c>
      <c r="B105" s="50" t="s">
        <v>19</v>
      </c>
      <c r="C105" s="50" t="s">
        <v>315</v>
      </c>
      <c r="D105" s="49">
        <v>10</v>
      </c>
      <c r="E105" s="49">
        <v>7</v>
      </c>
      <c r="F105" s="50">
        <f t="shared" si="11"/>
        <v>8.5</v>
      </c>
      <c r="G105" s="45"/>
      <c r="H105" s="168">
        <v>20</v>
      </c>
      <c r="I105" s="169">
        <f t="shared" si="1"/>
        <v>132.25</v>
      </c>
      <c r="J105" s="170">
        <f t="shared" si="2"/>
        <v>11.5</v>
      </c>
      <c r="K105" s="168">
        <v>15</v>
      </c>
      <c r="L105" s="169">
        <f t="shared" si="3"/>
        <v>42.25</v>
      </c>
      <c r="M105" s="170">
        <f t="shared" si="4"/>
        <v>6.5</v>
      </c>
      <c r="N105" s="168">
        <v>10</v>
      </c>
      <c r="O105" s="169">
        <f t="shared" si="5"/>
        <v>2.25</v>
      </c>
      <c r="P105" s="170">
        <f t="shared" si="6"/>
        <v>1.5</v>
      </c>
      <c r="Q105" s="168">
        <v>25</v>
      </c>
      <c r="R105" s="169">
        <f t="shared" si="7"/>
        <v>272.25</v>
      </c>
      <c r="S105" s="170">
        <f t="shared" si="8"/>
        <v>16.5</v>
      </c>
      <c r="T105" s="171">
        <v>35</v>
      </c>
      <c r="U105" s="169">
        <f t="shared" si="9"/>
        <v>702.25</v>
      </c>
      <c r="V105" s="170">
        <f t="shared" si="10"/>
        <v>26.5</v>
      </c>
      <c r="W105" s="2"/>
    </row>
    <row r="106" spans="1:23">
      <c r="A106" s="49">
        <v>102</v>
      </c>
      <c r="B106" s="50" t="s">
        <v>19</v>
      </c>
      <c r="C106" s="49" t="s">
        <v>318</v>
      </c>
      <c r="D106" s="49">
        <v>20</v>
      </c>
      <c r="E106" s="49">
        <v>20</v>
      </c>
      <c r="F106" s="50">
        <f t="shared" si="11"/>
        <v>20</v>
      </c>
      <c r="G106" s="45"/>
      <c r="H106" s="168">
        <v>30</v>
      </c>
      <c r="I106" s="169">
        <f t="shared" si="1"/>
        <v>100</v>
      </c>
      <c r="J106" s="170">
        <f t="shared" si="2"/>
        <v>10</v>
      </c>
      <c r="K106" s="168">
        <v>25</v>
      </c>
      <c r="L106" s="169">
        <f t="shared" si="3"/>
        <v>25</v>
      </c>
      <c r="M106" s="170">
        <f t="shared" si="4"/>
        <v>5</v>
      </c>
      <c r="N106" s="168">
        <v>30</v>
      </c>
      <c r="O106" s="169">
        <f t="shared" si="5"/>
        <v>100</v>
      </c>
      <c r="P106" s="170">
        <f t="shared" si="6"/>
        <v>10</v>
      </c>
      <c r="Q106" s="168">
        <v>30</v>
      </c>
      <c r="R106" s="169">
        <f t="shared" si="7"/>
        <v>100</v>
      </c>
      <c r="S106" s="170">
        <f t="shared" si="8"/>
        <v>10</v>
      </c>
      <c r="T106" s="171">
        <v>30</v>
      </c>
      <c r="U106" s="169">
        <f t="shared" si="9"/>
        <v>100</v>
      </c>
      <c r="V106" s="170">
        <f t="shared" si="10"/>
        <v>10</v>
      </c>
      <c r="W106" s="2"/>
    </row>
    <row r="107" spans="1:23">
      <c r="A107" s="51">
        <v>103</v>
      </c>
      <c r="B107" s="50" t="s">
        <v>19</v>
      </c>
      <c r="C107" s="50" t="s">
        <v>321</v>
      </c>
      <c r="D107" s="49">
        <v>30</v>
      </c>
      <c r="E107" s="49">
        <v>40</v>
      </c>
      <c r="F107" s="50">
        <f t="shared" si="11"/>
        <v>35</v>
      </c>
      <c r="G107" s="45"/>
      <c r="H107" s="168">
        <v>30</v>
      </c>
      <c r="I107" s="169">
        <f t="shared" si="1"/>
        <v>25</v>
      </c>
      <c r="J107" s="170">
        <f t="shared" si="2"/>
        <v>5</v>
      </c>
      <c r="K107" s="168">
        <v>30</v>
      </c>
      <c r="L107" s="169">
        <f t="shared" si="3"/>
        <v>25</v>
      </c>
      <c r="M107" s="170">
        <f t="shared" si="4"/>
        <v>5</v>
      </c>
      <c r="N107" s="168">
        <v>25</v>
      </c>
      <c r="O107" s="169">
        <f t="shared" si="5"/>
        <v>100</v>
      </c>
      <c r="P107" s="170">
        <f t="shared" si="6"/>
        <v>10</v>
      </c>
      <c r="Q107" s="168">
        <v>25</v>
      </c>
      <c r="R107" s="169">
        <f t="shared" si="7"/>
        <v>100</v>
      </c>
      <c r="S107" s="170">
        <f t="shared" si="8"/>
        <v>10</v>
      </c>
      <c r="T107" s="171">
        <v>40</v>
      </c>
      <c r="U107" s="169">
        <f t="shared" si="9"/>
        <v>25</v>
      </c>
      <c r="V107" s="170">
        <f t="shared" si="10"/>
        <v>5</v>
      </c>
      <c r="W107" s="2"/>
    </row>
    <row r="108" spans="1:23">
      <c r="A108" s="49">
        <v>104</v>
      </c>
      <c r="B108" s="50" t="s">
        <v>19</v>
      </c>
      <c r="C108" s="50" t="s">
        <v>324</v>
      </c>
      <c r="D108" s="49">
        <v>40</v>
      </c>
      <c r="E108" s="49">
        <v>40</v>
      </c>
      <c r="F108" s="50">
        <f t="shared" si="11"/>
        <v>40</v>
      </c>
      <c r="G108" s="45"/>
      <c r="H108" s="168">
        <v>30</v>
      </c>
      <c r="I108" s="169">
        <f t="shared" si="1"/>
        <v>100</v>
      </c>
      <c r="J108" s="170">
        <f t="shared" si="2"/>
        <v>10</v>
      </c>
      <c r="K108" s="168">
        <v>30</v>
      </c>
      <c r="L108" s="169">
        <f t="shared" si="3"/>
        <v>100</v>
      </c>
      <c r="M108" s="170">
        <f t="shared" si="4"/>
        <v>10</v>
      </c>
      <c r="N108" s="168">
        <v>35</v>
      </c>
      <c r="O108" s="169">
        <f t="shared" si="5"/>
        <v>25</v>
      </c>
      <c r="P108" s="170">
        <f t="shared" si="6"/>
        <v>5</v>
      </c>
      <c r="Q108" s="168">
        <v>25</v>
      </c>
      <c r="R108" s="169">
        <f t="shared" si="7"/>
        <v>225</v>
      </c>
      <c r="S108" s="170">
        <f t="shared" si="8"/>
        <v>15</v>
      </c>
      <c r="T108" s="171">
        <v>20</v>
      </c>
      <c r="U108" s="169">
        <f t="shared" si="9"/>
        <v>400</v>
      </c>
      <c r="V108" s="170">
        <f t="shared" si="10"/>
        <v>20</v>
      </c>
      <c r="W108" s="2"/>
    </row>
    <row r="109" spans="1:23">
      <c r="A109" s="49">
        <v>105</v>
      </c>
      <c r="B109" s="50" t="s">
        <v>19</v>
      </c>
      <c r="C109" s="49" t="s">
        <v>327</v>
      </c>
      <c r="D109" s="49">
        <v>25</v>
      </c>
      <c r="E109" s="49">
        <v>27</v>
      </c>
      <c r="F109" s="50">
        <f t="shared" si="11"/>
        <v>26</v>
      </c>
      <c r="G109" s="45"/>
      <c r="H109" s="168">
        <v>20</v>
      </c>
      <c r="I109" s="169">
        <f t="shared" si="1"/>
        <v>36</v>
      </c>
      <c r="J109" s="170">
        <f t="shared" si="2"/>
        <v>6</v>
      </c>
      <c r="K109" s="168">
        <v>30</v>
      </c>
      <c r="L109" s="169">
        <f t="shared" si="3"/>
        <v>16</v>
      </c>
      <c r="M109" s="170">
        <f t="shared" si="4"/>
        <v>4</v>
      </c>
      <c r="N109" s="168">
        <v>30</v>
      </c>
      <c r="O109" s="169">
        <f t="shared" si="5"/>
        <v>16</v>
      </c>
      <c r="P109" s="170">
        <f t="shared" si="6"/>
        <v>4</v>
      </c>
      <c r="Q109" s="168">
        <v>30</v>
      </c>
      <c r="R109" s="169">
        <f t="shared" si="7"/>
        <v>16</v>
      </c>
      <c r="S109" s="170">
        <f t="shared" si="8"/>
        <v>4</v>
      </c>
      <c r="T109" s="171">
        <v>30</v>
      </c>
      <c r="U109" s="169">
        <f t="shared" si="9"/>
        <v>16</v>
      </c>
      <c r="V109" s="170">
        <f t="shared" si="10"/>
        <v>4</v>
      </c>
      <c r="W109" s="2"/>
    </row>
    <row r="110" spans="1:23">
      <c r="A110" s="43">
        <v>106</v>
      </c>
      <c r="B110" s="50" t="s">
        <v>19</v>
      </c>
      <c r="C110" s="50" t="s">
        <v>330</v>
      </c>
      <c r="D110" s="49">
        <v>40</v>
      </c>
      <c r="E110" s="49">
        <v>35</v>
      </c>
      <c r="F110" s="50">
        <f t="shared" si="11"/>
        <v>37.5</v>
      </c>
      <c r="G110" s="45"/>
      <c r="H110" s="168">
        <v>30</v>
      </c>
      <c r="I110" s="169">
        <f t="shared" si="1"/>
        <v>56.25</v>
      </c>
      <c r="J110" s="170">
        <f t="shared" si="2"/>
        <v>7.5</v>
      </c>
      <c r="K110" s="168">
        <v>25</v>
      </c>
      <c r="L110" s="169">
        <f t="shared" si="3"/>
        <v>156.25</v>
      </c>
      <c r="M110" s="170">
        <f t="shared" si="4"/>
        <v>12.5</v>
      </c>
      <c r="N110" s="168">
        <v>35</v>
      </c>
      <c r="O110" s="169">
        <f t="shared" si="5"/>
        <v>6.25</v>
      </c>
      <c r="P110" s="170">
        <f t="shared" si="6"/>
        <v>2.5</v>
      </c>
      <c r="Q110" s="168">
        <v>25</v>
      </c>
      <c r="R110" s="169">
        <f t="shared" si="7"/>
        <v>156.25</v>
      </c>
      <c r="S110" s="170">
        <f t="shared" si="8"/>
        <v>12.5</v>
      </c>
      <c r="T110" s="171">
        <v>30</v>
      </c>
      <c r="U110" s="169">
        <f t="shared" si="9"/>
        <v>56.25</v>
      </c>
      <c r="V110" s="170">
        <f t="shared" si="10"/>
        <v>7.5</v>
      </c>
      <c r="W110" s="2"/>
    </row>
    <row r="111" spans="1:23">
      <c r="A111" s="49">
        <v>107</v>
      </c>
      <c r="B111" s="50" t="s">
        <v>19</v>
      </c>
      <c r="C111" s="50" t="s">
        <v>333</v>
      </c>
      <c r="D111" s="49">
        <v>10</v>
      </c>
      <c r="E111" s="49">
        <v>25</v>
      </c>
      <c r="F111" s="50">
        <f t="shared" si="11"/>
        <v>17.5</v>
      </c>
      <c r="G111" s="45"/>
      <c r="H111" s="168">
        <v>30</v>
      </c>
      <c r="I111" s="169">
        <f t="shared" si="1"/>
        <v>156.25</v>
      </c>
      <c r="J111" s="170">
        <f t="shared" si="2"/>
        <v>12.5</v>
      </c>
      <c r="K111" s="168">
        <v>35</v>
      </c>
      <c r="L111" s="169">
        <f t="shared" si="3"/>
        <v>306.25</v>
      </c>
      <c r="M111" s="170">
        <f t="shared" si="4"/>
        <v>17.5</v>
      </c>
      <c r="N111" s="168">
        <v>35</v>
      </c>
      <c r="O111" s="169">
        <f t="shared" si="5"/>
        <v>306.25</v>
      </c>
      <c r="P111" s="170">
        <f t="shared" si="6"/>
        <v>17.5</v>
      </c>
      <c r="Q111" s="168">
        <v>35</v>
      </c>
      <c r="R111" s="169">
        <f t="shared" si="7"/>
        <v>306.25</v>
      </c>
      <c r="S111" s="170">
        <f t="shared" si="8"/>
        <v>17.5</v>
      </c>
      <c r="T111" s="171">
        <v>40</v>
      </c>
      <c r="U111" s="169">
        <f t="shared" si="9"/>
        <v>506.25</v>
      </c>
      <c r="V111" s="170">
        <f t="shared" si="10"/>
        <v>22.5</v>
      </c>
      <c r="W111" s="2"/>
    </row>
    <row r="112" spans="1:23">
      <c r="A112" s="49">
        <v>108</v>
      </c>
      <c r="B112" s="50" t="s">
        <v>19</v>
      </c>
      <c r="C112" s="49" t="s">
        <v>336</v>
      </c>
      <c r="D112" s="49">
        <v>25</v>
      </c>
      <c r="E112" s="49">
        <v>25</v>
      </c>
      <c r="F112" s="50">
        <f t="shared" si="11"/>
        <v>25</v>
      </c>
      <c r="G112" s="45"/>
      <c r="H112" s="168">
        <v>30</v>
      </c>
      <c r="I112" s="169">
        <f t="shared" si="1"/>
        <v>25</v>
      </c>
      <c r="J112" s="170">
        <f t="shared" si="2"/>
        <v>5</v>
      </c>
      <c r="K112" s="168">
        <v>30</v>
      </c>
      <c r="L112" s="169">
        <f t="shared" si="3"/>
        <v>25</v>
      </c>
      <c r="M112" s="170">
        <f t="shared" si="4"/>
        <v>5</v>
      </c>
      <c r="N112" s="168">
        <v>30</v>
      </c>
      <c r="O112" s="169">
        <f t="shared" si="5"/>
        <v>25</v>
      </c>
      <c r="P112" s="170">
        <f t="shared" si="6"/>
        <v>5</v>
      </c>
      <c r="Q112" s="168">
        <v>25</v>
      </c>
      <c r="R112" s="169">
        <f t="shared" si="7"/>
        <v>0</v>
      </c>
      <c r="S112" s="170">
        <f t="shared" si="8"/>
        <v>0</v>
      </c>
      <c r="T112" s="171">
        <v>35</v>
      </c>
      <c r="U112" s="169">
        <f t="shared" si="9"/>
        <v>100</v>
      </c>
      <c r="V112" s="170">
        <f t="shared" si="10"/>
        <v>10</v>
      </c>
      <c r="W112" s="2"/>
    </row>
    <row r="113" spans="1:23">
      <c r="A113" s="51">
        <v>109</v>
      </c>
      <c r="B113" s="50" t="s">
        <v>19</v>
      </c>
      <c r="C113" s="50" t="s">
        <v>339</v>
      </c>
      <c r="D113" s="49">
        <v>35</v>
      </c>
      <c r="E113" s="49">
        <v>35</v>
      </c>
      <c r="F113" s="50">
        <f t="shared" si="11"/>
        <v>35</v>
      </c>
      <c r="G113" s="45"/>
      <c r="H113" s="168">
        <v>30</v>
      </c>
      <c r="I113" s="169">
        <f t="shared" si="1"/>
        <v>25</v>
      </c>
      <c r="J113" s="170">
        <f t="shared" si="2"/>
        <v>5</v>
      </c>
      <c r="K113" s="168">
        <v>30</v>
      </c>
      <c r="L113" s="169">
        <f t="shared" si="3"/>
        <v>25</v>
      </c>
      <c r="M113" s="170">
        <f t="shared" si="4"/>
        <v>5</v>
      </c>
      <c r="N113" s="168">
        <v>30</v>
      </c>
      <c r="O113" s="169">
        <f t="shared" si="5"/>
        <v>25</v>
      </c>
      <c r="P113" s="170">
        <f t="shared" si="6"/>
        <v>5</v>
      </c>
      <c r="Q113" s="168">
        <v>25</v>
      </c>
      <c r="R113" s="169">
        <f t="shared" si="7"/>
        <v>100</v>
      </c>
      <c r="S113" s="170">
        <f t="shared" si="8"/>
        <v>10</v>
      </c>
      <c r="T113" s="171">
        <v>30</v>
      </c>
      <c r="U113" s="169">
        <f t="shared" si="9"/>
        <v>25</v>
      </c>
      <c r="V113" s="170">
        <f t="shared" si="10"/>
        <v>5</v>
      </c>
      <c r="W113" s="2"/>
    </row>
    <row r="114" spans="1:23">
      <c r="A114" s="49">
        <v>110</v>
      </c>
      <c r="B114" s="50" t="s">
        <v>19</v>
      </c>
      <c r="C114" s="50" t="s">
        <v>342</v>
      </c>
      <c r="D114" s="49">
        <v>30</v>
      </c>
      <c r="E114" s="49">
        <v>35</v>
      </c>
      <c r="F114" s="50">
        <f t="shared" si="11"/>
        <v>32.5</v>
      </c>
      <c r="G114" s="45"/>
      <c r="H114" s="168">
        <v>30</v>
      </c>
      <c r="I114" s="169">
        <f t="shared" si="1"/>
        <v>6.25</v>
      </c>
      <c r="J114" s="170">
        <f t="shared" si="2"/>
        <v>2.5</v>
      </c>
      <c r="K114" s="168">
        <v>40</v>
      </c>
      <c r="L114" s="169">
        <f t="shared" si="3"/>
        <v>56.25</v>
      </c>
      <c r="M114" s="170">
        <f t="shared" si="4"/>
        <v>7.5</v>
      </c>
      <c r="N114" s="168">
        <v>35</v>
      </c>
      <c r="O114" s="169">
        <f t="shared" si="5"/>
        <v>6.25</v>
      </c>
      <c r="P114" s="170">
        <f t="shared" si="6"/>
        <v>2.5</v>
      </c>
      <c r="Q114" s="168">
        <v>40</v>
      </c>
      <c r="R114" s="169">
        <f t="shared" si="7"/>
        <v>56.25</v>
      </c>
      <c r="S114" s="170">
        <f t="shared" si="8"/>
        <v>7.5</v>
      </c>
      <c r="T114" s="171">
        <v>30</v>
      </c>
      <c r="U114" s="169">
        <f t="shared" si="9"/>
        <v>6.25</v>
      </c>
      <c r="V114" s="170">
        <f t="shared" si="10"/>
        <v>2.5</v>
      </c>
      <c r="W114" s="2"/>
    </row>
    <row r="115" spans="1:23">
      <c r="A115" s="49">
        <v>111</v>
      </c>
      <c r="B115" s="50" t="s">
        <v>19</v>
      </c>
      <c r="C115" s="50" t="s">
        <v>345</v>
      </c>
      <c r="D115" s="49">
        <v>10</v>
      </c>
      <c r="E115" s="49">
        <v>5</v>
      </c>
      <c r="F115" s="50">
        <f t="shared" si="11"/>
        <v>7.5</v>
      </c>
      <c r="G115" s="45"/>
      <c r="H115" s="168">
        <v>10</v>
      </c>
      <c r="I115" s="169">
        <f t="shared" si="1"/>
        <v>6.25</v>
      </c>
      <c r="J115" s="170">
        <f t="shared" si="2"/>
        <v>2.5</v>
      </c>
      <c r="K115" s="168">
        <v>10</v>
      </c>
      <c r="L115" s="169">
        <f t="shared" si="3"/>
        <v>6.25</v>
      </c>
      <c r="M115" s="170">
        <f t="shared" si="4"/>
        <v>2.5</v>
      </c>
      <c r="N115" s="168">
        <v>15</v>
      </c>
      <c r="O115" s="169">
        <f t="shared" si="5"/>
        <v>56.25</v>
      </c>
      <c r="P115" s="170">
        <f t="shared" si="6"/>
        <v>7.5</v>
      </c>
      <c r="Q115" s="168">
        <v>15</v>
      </c>
      <c r="R115" s="169">
        <f t="shared" si="7"/>
        <v>56.25</v>
      </c>
      <c r="S115" s="170">
        <f t="shared" si="8"/>
        <v>7.5</v>
      </c>
      <c r="T115" s="171">
        <v>15</v>
      </c>
      <c r="U115" s="169">
        <f t="shared" si="9"/>
        <v>56.25</v>
      </c>
      <c r="V115" s="170">
        <f t="shared" si="10"/>
        <v>7.5</v>
      </c>
      <c r="W115" s="2"/>
    </row>
    <row r="116" spans="1:23">
      <c r="A116" s="43">
        <v>112</v>
      </c>
      <c r="B116" s="50" t="s">
        <v>19</v>
      </c>
      <c r="C116" s="49" t="s">
        <v>348</v>
      </c>
      <c r="D116" s="49">
        <v>12</v>
      </c>
      <c r="E116" s="49">
        <v>10</v>
      </c>
      <c r="F116" s="50">
        <f t="shared" si="11"/>
        <v>11</v>
      </c>
      <c r="G116" s="45"/>
      <c r="H116" s="168">
        <v>30</v>
      </c>
      <c r="I116" s="169">
        <f t="shared" si="1"/>
        <v>361</v>
      </c>
      <c r="J116" s="170">
        <f t="shared" si="2"/>
        <v>19</v>
      </c>
      <c r="K116" s="168">
        <v>20</v>
      </c>
      <c r="L116" s="169">
        <f t="shared" si="3"/>
        <v>81</v>
      </c>
      <c r="M116" s="170">
        <f t="shared" si="4"/>
        <v>9</v>
      </c>
      <c r="N116" s="168">
        <v>20</v>
      </c>
      <c r="O116" s="169">
        <f t="shared" si="5"/>
        <v>81</v>
      </c>
      <c r="P116" s="170">
        <f t="shared" si="6"/>
        <v>9</v>
      </c>
      <c r="Q116" s="168">
        <v>25</v>
      </c>
      <c r="R116" s="169">
        <f t="shared" si="7"/>
        <v>196</v>
      </c>
      <c r="S116" s="170">
        <f t="shared" si="8"/>
        <v>14</v>
      </c>
      <c r="T116" s="171">
        <v>20</v>
      </c>
      <c r="U116" s="169">
        <f t="shared" si="9"/>
        <v>81</v>
      </c>
      <c r="V116" s="170">
        <f t="shared" si="10"/>
        <v>9</v>
      </c>
      <c r="W116" s="2"/>
    </row>
    <row r="117" spans="1:23">
      <c r="A117" s="49">
        <v>113</v>
      </c>
      <c r="B117" s="50" t="s">
        <v>19</v>
      </c>
      <c r="C117" s="49" t="s">
        <v>351</v>
      </c>
      <c r="D117" s="49">
        <v>25</v>
      </c>
      <c r="E117" s="49">
        <v>20</v>
      </c>
      <c r="F117" s="50">
        <f t="shared" si="11"/>
        <v>22.5</v>
      </c>
      <c r="G117" s="45"/>
      <c r="H117" s="168">
        <v>20</v>
      </c>
      <c r="I117" s="169">
        <f t="shared" si="1"/>
        <v>6.25</v>
      </c>
      <c r="J117" s="170">
        <f t="shared" si="2"/>
        <v>2.5</v>
      </c>
      <c r="K117" s="168">
        <v>30</v>
      </c>
      <c r="L117" s="169">
        <f t="shared" si="3"/>
        <v>56.25</v>
      </c>
      <c r="M117" s="170">
        <f t="shared" si="4"/>
        <v>7.5</v>
      </c>
      <c r="N117" s="168">
        <v>10</v>
      </c>
      <c r="O117" s="169">
        <f t="shared" si="5"/>
        <v>156.25</v>
      </c>
      <c r="P117" s="170">
        <f t="shared" si="6"/>
        <v>12.5</v>
      </c>
      <c r="Q117" s="168">
        <v>30</v>
      </c>
      <c r="R117" s="169">
        <f t="shared" si="7"/>
        <v>56.25</v>
      </c>
      <c r="S117" s="170">
        <f t="shared" si="8"/>
        <v>7.5</v>
      </c>
      <c r="T117" s="171">
        <v>40</v>
      </c>
      <c r="U117" s="169">
        <f t="shared" si="9"/>
        <v>306.25</v>
      </c>
      <c r="V117" s="170">
        <f t="shared" si="10"/>
        <v>17.5</v>
      </c>
      <c r="W117" s="2"/>
    </row>
    <row r="118" spans="1:23">
      <c r="A118" s="49">
        <v>114</v>
      </c>
      <c r="B118" s="50" t="s">
        <v>19</v>
      </c>
      <c r="C118" s="50" t="s">
        <v>354</v>
      </c>
      <c r="D118" s="49">
        <v>10</v>
      </c>
      <c r="E118" s="49">
        <v>20</v>
      </c>
      <c r="F118" s="50">
        <f t="shared" si="11"/>
        <v>15</v>
      </c>
      <c r="G118" s="45"/>
      <c r="H118" s="168">
        <v>30</v>
      </c>
      <c r="I118" s="169">
        <f t="shared" si="1"/>
        <v>225</v>
      </c>
      <c r="J118" s="170">
        <f t="shared" si="2"/>
        <v>15</v>
      </c>
      <c r="K118" s="168">
        <v>25</v>
      </c>
      <c r="L118" s="169">
        <f t="shared" si="3"/>
        <v>100</v>
      </c>
      <c r="M118" s="170">
        <f t="shared" si="4"/>
        <v>10</v>
      </c>
      <c r="N118" s="168">
        <v>30</v>
      </c>
      <c r="O118" s="169">
        <f t="shared" si="5"/>
        <v>225</v>
      </c>
      <c r="P118" s="170">
        <f t="shared" si="6"/>
        <v>15</v>
      </c>
      <c r="Q118" s="168">
        <v>35</v>
      </c>
      <c r="R118" s="169">
        <f t="shared" si="7"/>
        <v>400</v>
      </c>
      <c r="S118" s="170">
        <f t="shared" si="8"/>
        <v>20</v>
      </c>
      <c r="T118" s="171">
        <v>40</v>
      </c>
      <c r="U118" s="169">
        <f t="shared" si="9"/>
        <v>625</v>
      </c>
      <c r="V118" s="170">
        <f t="shared" si="10"/>
        <v>25</v>
      </c>
      <c r="W118" s="2"/>
    </row>
    <row r="119" spans="1:23">
      <c r="A119" s="51">
        <v>115</v>
      </c>
      <c r="B119" s="50" t="s">
        <v>19</v>
      </c>
      <c r="C119" s="50" t="s">
        <v>357</v>
      </c>
      <c r="D119" s="49">
        <v>30</v>
      </c>
      <c r="E119" s="49">
        <v>35</v>
      </c>
      <c r="F119" s="50">
        <f t="shared" si="11"/>
        <v>32.5</v>
      </c>
      <c r="G119" s="45"/>
      <c r="H119" s="168">
        <v>30</v>
      </c>
      <c r="I119" s="169">
        <f t="shared" si="1"/>
        <v>6.25</v>
      </c>
      <c r="J119" s="170">
        <f t="shared" si="2"/>
        <v>2.5</v>
      </c>
      <c r="K119" s="168">
        <v>30</v>
      </c>
      <c r="L119" s="169">
        <f t="shared" si="3"/>
        <v>6.25</v>
      </c>
      <c r="M119" s="170">
        <f t="shared" si="4"/>
        <v>2.5</v>
      </c>
      <c r="N119" s="168">
        <v>30</v>
      </c>
      <c r="O119" s="169">
        <f t="shared" si="5"/>
        <v>6.25</v>
      </c>
      <c r="P119" s="170">
        <f t="shared" si="6"/>
        <v>2.5</v>
      </c>
      <c r="Q119" s="168">
        <v>30</v>
      </c>
      <c r="R119" s="169">
        <f t="shared" si="7"/>
        <v>6.25</v>
      </c>
      <c r="S119" s="170">
        <f t="shared" si="8"/>
        <v>2.5</v>
      </c>
      <c r="T119" s="171">
        <v>35</v>
      </c>
      <c r="U119" s="169">
        <f t="shared" si="9"/>
        <v>6.25</v>
      </c>
      <c r="V119" s="170">
        <f t="shared" si="10"/>
        <v>2.5</v>
      </c>
      <c r="W119" s="2"/>
    </row>
    <row r="120" spans="1:23">
      <c r="A120" s="49">
        <v>116</v>
      </c>
      <c r="B120" s="50" t="s">
        <v>19</v>
      </c>
      <c r="C120" s="50" t="s">
        <v>360</v>
      </c>
      <c r="D120" s="49">
        <v>20</v>
      </c>
      <c r="E120" s="49">
        <v>20</v>
      </c>
      <c r="F120" s="50">
        <f t="shared" si="11"/>
        <v>20</v>
      </c>
      <c r="G120" s="45"/>
      <c r="H120" s="168">
        <v>30</v>
      </c>
      <c r="I120" s="169">
        <f t="shared" si="1"/>
        <v>100</v>
      </c>
      <c r="J120" s="170">
        <f t="shared" si="2"/>
        <v>10</v>
      </c>
      <c r="K120" s="168">
        <v>25</v>
      </c>
      <c r="L120" s="169">
        <f t="shared" si="3"/>
        <v>25</v>
      </c>
      <c r="M120" s="170">
        <f t="shared" si="4"/>
        <v>5</v>
      </c>
      <c r="N120" s="168">
        <v>15</v>
      </c>
      <c r="O120" s="169">
        <f t="shared" si="5"/>
        <v>25</v>
      </c>
      <c r="P120" s="170">
        <f t="shared" si="6"/>
        <v>5</v>
      </c>
      <c r="Q120" s="168">
        <v>30</v>
      </c>
      <c r="R120" s="169">
        <f t="shared" si="7"/>
        <v>100</v>
      </c>
      <c r="S120" s="170">
        <f t="shared" si="8"/>
        <v>10</v>
      </c>
      <c r="T120" s="171">
        <v>20</v>
      </c>
      <c r="U120" s="169">
        <f t="shared" si="9"/>
        <v>0</v>
      </c>
      <c r="V120" s="170">
        <f t="shared" si="10"/>
        <v>0</v>
      </c>
      <c r="W120" s="2"/>
    </row>
    <row r="121" spans="1:23">
      <c r="A121" s="49">
        <v>117</v>
      </c>
      <c r="B121" s="50" t="s">
        <v>19</v>
      </c>
      <c r="C121" s="50" t="s">
        <v>363</v>
      </c>
      <c r="D121" s="49">
        <v>10</v>
      </c>
      <c r="E121" s="49">
        <v>10</v>
      </c>
      <c r="F121" s="50">
        <f t="shared" si="11"/>
        <v>10</v>
      </c>
      <c r="G121" s="45"/>
      <c r="H121" s="168">
        <v>30</v>
      </c>
      <c r="I121" s="169">
        <f t="shared" si="1"/>
        <v>400</v>
      </c>
      <c r="J121" s="170">
        <f t="shared" si="2"/>
        <v>20</v>
      </c>
      <c r="K121" s="168">
        <v>30</v>
      </c>
      <c r="L121" s="169">
        <f t="shared" si="3"/>
        <v>400</v>
      </c>
      <c r="M121" s="170">
        <f t="shared" si="4"/>
        <v>20</v>
      </c>
      <c r="N121" s="168">
        <v>25</v>
      </c>
      <c r="O121" s="169">
        <f t="shared" si="5"/>
        <v>225</v>
      </c>
      <c r="P121" s="170">
        <f t="shared" si="6"/>
        <v>15</v>
      </c>
      <c r="Q121" s="168">
        <v>25</v>
      </c>
      <c r="R121" s="169">
        <f t="shared" si="7"/>
        <v>225</v>
      </c>
      <c r="S121" s="170">
        <f t="shared" si="8"/>
        <v>15</v>
      </c>
      <c r="T121" s="171">
        <v>40</v>
      </c>
      <c r="U121" s="169">
        <f t="shared" si="9"/>
        <v>900</v>
      </c>
      <c r="V121" s="170">
        <f t="shared" si="10"/>
        <v>30</v>
      </c>
      <c r="W121" s="2"/>
    </row>
    <row r="122" spans="1:23">
      <c r="A122" s="43">
        <v>118</v>
      </c>
      <c r="B122" s="50" t="s">
        <v>19</v>
      </c>
      <c r="C122" s="50" t="s">
        <v>366</v>
      </c>
      <c r="D122" s="49">
        <v>40</v>
      </c>
      <c r="E122" s="49">
        <v>40</v>
      </c>
      <c r="F122" s="50">
        <f t="shared" si="11"/>
        <v>40</v>
      </c>
      <c r="G122" s="45"/>
      <c r="H122" s="168">
        <v>30</v>
      </c>
      <c r="I122" s="169">
        <f t="shared" si="1"/>
        <v>100</v>
      </c>
      <c r="J122" s="170">
        <f t="shared" si="2"/>
        <v>10</v>
      </c>
      <c r="K122" s="168">
        <v>40</v>
      </c>
      <c r="L122" s="169">
        <f t="shared" si="3"/>
        <v>0</v>
      </c>
      <c r="M122" s="170">
        <f t="shared" si="4"/>
        <v>0</v>
      </c>
      <c r="N122" s="168">
        <v>30</v>
      </c>
      <c r="O122" s="169">
        <f t="shared" si="5"/>
        <v>100</v>
      </c>
      <c r="P122" s="170">
        <f t="shared" si="6"/>
        <v>10</v>
      </c>
      <c r="Q122" s="168">
        <v>35</v>
      </c>
      <c r="R122" s="169">
        <f t="shared" si="7"/>
        <v>25</v>
      </c>
      <c r="S122" s="170">
        <f t="shared" si="8"/>
        <v>5</v>
      </c>
      <c r="T122" s="171">
        <v>35</v>
      </c>
      <c r="U122" s="169">
        <f t="shared" si="9"/>
        <v>25</v>
      </c>
      <c r="V122" s="170">
        <f t="shared" si="10"/>
        <v>5</v>
      </c>
      <c r="W122" s="2"/>
    </row>
    <row r="123" spans="1:23">
      <c r="A123" s="49">
        <v>119</v>
      </c>
      <c r="B123" s="49" t="s">
        <v>19</v>
      </c>
      <c r="C123" s="49" t="s">
        <v>369</v>
      </c>
      <c r="D123" s="49">
        <v>20</v>
      </c>
      <c r="E123" s="49">
        <v>20</v>
      </c>
      <c r="F123" s="50">
        <f t="shared" si="11"/>
        <v>20</v>
      </c>
      <c r="G123" s="45"/>
      <c r="H123" s="168">
        <v>20</v>
      </c>
      <c r="I123" s="169">
        <f t="shared" si="1"/>
        <v>0</v>
      </c>
      <c r="J123" s="170">
        <f t="shared" si="2"/>
        <v>0</v>
      </c>
      <c r="K123" s="168">
        <v>25</v>
      </c>
      <c r="L123" s="169">
        <f t="shared" si="3"/>
        <v>25</v>
      </c>
      <c r="M123" s="170">
        <f t="shared" si="4"/>
        <v>5</v>
      </c>
      <c r="N123" s="168">
        <v>25</v>
      </c>
      <c r="O123" s="169">
        <f t="shared" si="5"/>
        <v>25</v>
      </c>
      <c r="P123" s="170">
        <f t="shared" si="6"/>
        <v>5</v>
      </c>
      <c r="Q123" s="168">
        <v>30</v>
      </c>
      <c r="R123" s="169">
        <f t="shared" si="7"/>
        <v>100</v>
      </c>
      <c r="S123" s="170">
        <f t="shared" si="8"/>
        <v>10</v>
      </c>
      <c r="T123" s="171">
        <v>30</v>
      </c>
      <c r="U123" s="169">
        <f t="shared" si="9"/>
        <v>100</v>
      </c>
      <c r="V123" s="170">
        <f t="shared" si="10"/>
        <v>10</v>
      </c>
      <c r="W123" s="2"/>
    </row>
    <row r="124" spans="1:23" ht="14.25" customHeight="1">
      <c r="A124" s="49">
        <v>120</v>
      </c>
      <c r="B124" s="50" t="s">
        <v>19</v>
      </c>
      <c r="C124" s="49" t="s">
        <v>372</v>
      </c>
      <c r="D124" s="49">
        <v>20</v>
      </c>
      <c r="E124" s="49">
        <v>22</v>
      </c>
      <c r="F124" s="50">
        <f t="shared" si="11"/>
        <v>21</v>
      </c>
      <c r="G124" s="45"/>
      <c r="H124" s="168">
        <v>20</v>
      </c>
      <c r="I124" s="169">
        <f t="shared" si="1"/>
        <v>1</v>
      </c>
      <c r="J124" s="170">
        <f t="shared" si="2"/>
        <v>1</v>
      </c>
      <c r="K124" s="168">
        <v>20</v>
      </c>
      <c r="L124" s="169">
        <f t="shared" si="3"/>
        <v>1</v>
      </c>
      <c r="M124" s="170">
        <f t="shared" si="4"/>
        <v>1</v>
      </c>
      <c r="N124" s="168">
        <v>20</v>
      </c>
      <c r="O124" s="169">
        <f t="shared" si="5"/>
        <v>1</v>
      </c>
      <c r="P124" s="170">
        <f t="shared" si="6"/>
        <v>1</v>
      </c>
      <c r="Q124" s="168">
        <v>25</v>
      </c>
      <c r="R124" s="169">
        <f t="shared" si="7"/>
        <v>16</v>
      </c>
      <c r="S124" s="170">
        <f t="shared" si="8"/>
        <v>4</v>
      </c>
      <c r="T124" s="171">
        <v>20</v>
      </c>
      <c r="U124" s="169">
        <f t="shared" si="9"/>
        <v>1</v>
      </c>
      <c r="V124" s="170">
        <f t="shared" si="10"/>
        <v>1</v>
      </c>
      <c r="W124" s="2"/>
    </row>
    <row r="125" spans="1:23">
      <c r="A125" s="51">
        <v>121</v>
      </c>
      <c r="B125" s="50" t="s">
        <v>19</v>
      </c>
      <c r="C125" s="50" t="s">
        <v>375</v>
      </c>
      <c r="D125" s="49">
        <v>20</v>
      </c>
      <c r="E125" s="49">
        <v>20</v>
      </c>
      <c r="F125" s="50">
        <f t="shared" si="11"/>
        <v>20</v>
      </c>
      <c r="G125" s="45"/>
      <c r="H125" s="168">
        <v>20</v>
      </c>
      <c r="I125" s="169">
        <f t="shared" si="1"/>
        <v>0</v>
      </c>
      <c r="J125" s="170">
        <f t="shared" si="2"/>
        <v>0</v>
      </c>
      <c r="K125" s="168">
        <v>20</v>
      </c>
      <c r="L125" s="169">
        <f t="shared" si="3"/>
        <v>0</v>
      </c>
      <c r="M125" s="170">
        <f t="shared" si="4"/>
        <v>0</v>
      </c>
      <c r="N125" s="168">
        <v>15</v>
      </c>
      <c r="O125" s="169">
        <f t="shared" si="5"/>
        <v>25</v>
      </c>
      <c r="P125" s="170">
        <f t="shared" si="6"/>
        <v>5</v>
      </c>
      <c r="Q125" s="168">
        <v>20</v>
      </c>
      <c r="R125" s="169">
        <f t="shared" si="7"/>
        <v>0</v>
      </c>
      <c r="S125" s="170">
        <f t="shared" si="8"/>
        <v>0</v>
      </c>
      <c r="T125" s="171">
        <v>20</v>
      </c>
      <c r="U125" s="169">
        <f t="shared" si="9"/>
        <v>0</v>
      </c>
      <c r="V125" s="170">
        <f t="shared" si="10"/>
        <v>0</v>
      </c>
      <c r="W125" s="2"/>
    </row>
    <row r="126" spans="1:23">
      <c r="A126" s="49">
        <v>122</v>
      </c>
      <c r="B126" s="50" t="s">
        <v>19</v>
      </c>
      <c r="C126" s="50" t="s">
        <v>378</v>
      </c>
      <c r="D126" s="49">
        <v>25</v>
      </c>
      <c r="E126" s="49">
        <v>40</v>
      </c>
      <c r="F126" s="50">
        <f t="shared" si="11"/>
        <v>32.5</v>
      </c>
      <c r="G126" s="45"/>
      <c r="H126" s="168">
        <v>20</v>
      </c>
      <c r="I126" s="169">
        <f t="shared" si="1"/>
        <v>156.25</v>
      </c>
      <c r="J126" s="170">
        <f t="shared" si="2"/>
        <v>12.5</v>
      </c>
      <c r="K126" s="168">
        <v>30</v>
      </c>
      <c r="L126" s="169">
        <f t="shared" si="3"/>
        <v>6.25</v>
      </c>
      <c r="M126" s="170">
        <f t="shared" si="4"/>
        <v>2.5</v>
      </c>
      <c r="N126" s="168">
        <v>30</v>
      </c>
      <c r="O126" s="169">
        <f t="shared" si="5"/>
        <v>6.25</v>
      </c>
      <c r="P126" s="170">
        <f t="shared" si="6"/>
        <v>2.5</v>
      </c>
      <c r="Q126" s="168">
        <v>35</v>
      </c>
      <c r="R126" s="169">
        <f t="shared" si="7"/>
        <v>6.25</v>
      </c>
      <c r="S126" s="170">
        <f t="shared" si="8"/>
        <v>2.5</v>
      </c>
      <c r="T126" s="171">
        <v>35</v>
      </c>
      <c r="U126" s="169">
        <f t="shared" si="9"/>
        <v>6.25</v>
      </c>
      <c r="V126" s="170">
        <f t="shared" si="10"/>
        <v>2.5</v>
      </c>
      <c r="W126" s="2"/>
    </row>
    <row r="127" spans="1:23">
      <c r="A127" s="49">
        <v>123</v>
      </c>
      <c r="B127" s="50" t="s">
        <v>19</v>
      </c>
      <c r="C127" s="50" t="s">
        <v>381</v>
      </c>
      <c r="D127" s="49">
        <v>40</v>
      </c>
      <c r="E127" s="49">
        <v>40</v>
      </c>
      <c r="F127" s="50">
        <f t="shared" si="11"/>
        <v>40</v>
      </c>
      <c r="G127" s="45"/>
      <c r="H127" s="168">
        <v>30</v>
      </c>
      <c r="I127" s="169">
        <f t="shared" si="1"/>
        <v>100</v>
      </c>
      <c r="J127" s="170">
        <f t="shared" si="2"/>
        <v>10</v>
      </c>
      <c r="K127" s="168">
        <v>40</v>
      </c>
      <c r="L127" s="169">
        <f t="shared" si="3"/>
        <v>0</v>
      </c>
      <c r="M127" s="170">
        <f t="shared" si="4"/>
        <v>0</v>
      </c>
      <c r="N127" s="168">
        <v>40</v>
      </c>
      <c r="O127" s="169">
        <f t="shared" si="5"/>
        <v>0</v>
      </c>
      <c r="P127" s="170">
        <f t="shared" si="6"/>
        <v>0</v>
      </c>
      <c r="Q127" s="168">
        <v>35</v>
      </c>
      <c r="R127" s="169">
        <f t="shared" si="7"/>
        <v>25</v>
      </c>
      <c r="S127" s="170">
        <f t="shared" si="8"/>
        <v>5</v>
      </c>
      <c r="T127" s="171">
        <v>40</v>
      </c>
      <c r="U127" s="169">
        <f t="shared" si="9"/>
        <v>0</v>
      </c>
      <c r="V127" s="170">
        <f t="shared" si="10"/>
        <v>0</v>
      </c>
      <c r="W127" s="2"/>
    </row>
    <row r="128" spans="1:23" ht="15" customHeight="1">
      <c r="A128" s="43">
        <v>124</v>
      </c>
      <c r="B128" s="50" t="s">
        <v>19</v>
      </c>
      <c r="C128" s="49" t="s">
        <v>384</v>
      </c>
      <c r="D128" s="49">
        <v>40</v>
      </c>
      <c r="E128" s="49">
        <v>40</v>
      </c>
      <c r="F128" s="50">
        <f t="shared" si="11"/>
        <v>40</v>
      </c>
      <c r="G128" s="45"/>
      <c r="H128" s="168">
        <v>30</v>
      </c>
      <c r="I128" s="169">
        <f t="shared" si="1"/>
        <v>100</v>
      </c>
      <c r="J128" s="170">
        <f t="shared" si="2"/>
        <v>10</v>
      </c>
      <c r="K128" s="168">
        <v>40</v>
      </c>
      <c r="L128" s="169">
        <f t="shared" si="3"/>
        <v>0</v>
      </c>
      <c r="M128" s="170">
        <f t="shared" si="4"/>
        <v>0</v>
      </c>
      <c r="N128" s="168">
        <v>40</v>
      </c>
      <c r="O128" s="169">
        <f t="shared" si="5"/>
        <v>0</v>
      </c>
      <c r="P128" s="170">
        <f t="shared" si="6"/>
        <v>0</v>
      </c>
      <c r="Q128" s="168">
        <v>35</v>
      </c>
      <c r="R128" s="169">
        <f t="shared" si="7"/>
        <v>25</v>
      </c>
      <c r="S128" s="170">
        <f t="shared" si="8"/>
        <v>5</v>
      </c>
      <c r="T128" s="171">
        <v>40</v>
      </c>
      <c r="U128" s="169">
        <f t="shared" si="9"/>
        <v>0</v>
      </c>
      <c r="V128" s="170">
        <f t="shared" si="10"/>
        <v>0</v>
      </c>
      <c r="W128" s="2"/>
    </row>
    <row r="129" spans="1:23">
      <c r="A129" s="49">
        <v>125</v>
      </c>
      <c r="B129" s="50" t="s">
        <v>19</v>
      </c>
      <c r="C129" s="50" t="s">
        <v>387</v>
      </c>
      <c r="D129" s="49">
        <v>10</v>
      </c>
      <c r="E129" s="49">
        <v>0</v>
      </c>
      <c r="F129" s="50">
        <f t="shared" si="11"/>
        <v>5</v>
      </c>
      <c r="G129" s="45"/>
      <c r="H129" s="168">
        <v>10</v>
      </c>
      <c r="I129" s="169">
        <f t="shared" si="1"/>
        <v>25</v>
      </c>
      <c r="J129" s="170">
        <f t="shared" si="2"/>
        <v>5</v>
      </c>
      <c r="K129" s="168">
        <v>15</v>
      </c>
      <c r="L129" s="169">
        <f t="shared" si="3"/>
        <v>100</v>
      </c>
      <c r="M129" s="170">
        <f t="shared" si="4"/>
        <v>10</v>
      </c>
      <c r="N129" s="168">
        <v>15</v>
      </c>
      <c r="O129" s="169">
        <f t="shared" si="5"/>
        <v>100</v>
      </c>
      <c r="P129" s="170">
        <f t="shared" si="6"/>
        <v>10</v>
      </c>
      <c r="Q129" s="168">
        <v>25</v>
      </c>
      <c r="R129" s="169">
        <f t="shared" si="7"/>
        <v>400</v>
      </c>
      <c r="S129" s="170">
        <f t="shared" si="8"/>
        <v>20</v>
      </c>
      <c r="T129" s="171">
        <v>25</v>
      </c>
      <c r="U129" s="169">
        <f t="shared" si="9"/>
        <v>400</v>
      </c>
      <c r="V129" s="170">
        <f t="shared" si="10"/>
        <v>20</v>
      </c>
      <c r="W129" s="2"/>
    </row>
    <row r="130" spans="1:23">
      <c r="A130" s="49">
        <v>126</v>
      </c>
      <c r="B130" s="50" t="s">
        <v>19</v>
      </c>
      <c r="C130" s="50" t="s">
        <v>390</v>
      </c>
      <c r="D130" s="49">
        <v>20</v>
      </c>
      <c r="E130" s="49">
        <v>30</v>
      </c>
      <c r="F130" s="50">
        <f t="shared" si="11"/>
        <v>25</v>
      </c>
      <c r="G130" s="2"/>
      <c r="H130" s="168">
        <v>30</v>
      </c>
      <c r="I130" s="169">
        <f t="shared" si="1"/>
        <v>25</v>
      </c>
      <c r="J130" s="170">
        <f t="shared" si="2"/>
        <v>5</v>
      </c>
      <c r="K130" s="168">
        <v>30</v>
      </c>
      <c r="L130" s="169">
        <f t="shared" si="3"/>
        <v>25</v>
      </c>
      <c r="M130" s="170">
        <f t="shared" si="4"/>
        <v>5</v>
      </c>
      <c r="N130" s="168">
        <v>35</v>
      </c>
      <c r="O130" s="169">
        <f t="shared" si="5"/>
        <v>100</v>
      </c>
      <c r="P130" s="170">
        <f t="shared" si="6"/>
        <v>10</v>
      </c>
      <c r="Q130" s="168">
        <v>30</v>
      </c>
      <c r="R130" s="169">
        <f t="shared" si="7"/>
        <v>25</v>
      </c>
      <c r="S130" s="170">
        <f t="shared" si="8"/>
        <v>5</v>
      </c>
      <c r="T130" s="171">
        <v>40</v>
      </c>
      <c r="U130" s="169">
        <f t="shared" si="9"/>
        <v>225</v>
      </c>
      <c r="V130" s="170">
        <f t="shared" si="10"/>
        <v>15</v>
      </c>
      <c r="W130" s="2"/>
    </row>
    <row r="131" spans="1:23" ht="18" customHeight="1">
      <c r="A131" s="51">
        <v>127</v>
      </c>
      <c r="B131" s="50" t="s">
        <v>19</v>
      </c>
      <c r="C131" s="50" t="s">
        <v>393</v>
      </c>
      <c r="D131" s="49">
        <v>10</v>
      </c>
      <c r="E131" s="49">
        <v>10</v>
      </c>
      <c r="F131" s="50">
        <f t="shared" si="11"/>
        <v>10</v>
      </c>
      <c r="G131" s="2"/>
      <c r="H131" s="168">
        <v>20</v>
      </c>
      <c r="I131" s="169">
        <f t="shared" si="1"/>
        <v>100</v>
      </c>
      <c r="J131" s="170">
        <f t="shared" si="2"/>
        <v>10</v>
      </c>
      <c r="K131" s="168">
        <v>10</v>
      </c>
      <c r="L131" s="169">
        <f t="shared" si="3"/>
        <v>0</v>
      </c>
      <c r="M131" s="170">
        <f t="shared" si="4"/>
        <v>0</v>
      </c>
      <c r="N131" s="168">
        <v>10</v>
      </c>
      <c r="O131" s="169">
        <f t="shared" si="5"/>
        <v>0</v>
      </c>
      <c r="P131" s="170">
        <f t="shared" si="6"/>
        <v>0</v>
      </c>
      <c r="Q131" s="168">
        <v>15</v>
      </c>
      <c r="R131" s="169">
        <f t="shared" si="7"/>
        <v>25</v>
      </c>
      <c r="S131" s="170">
        <f t="shared" si="8"/>
        <v>5</v>
      </c>
      <c r="T131" s="171">
        <v>20</v>
      </c>
      <c r="U131" s="169">
        <f t="shared" si="9"/>
        <v>100</v>
      </c>
      <c r="V131" s="170">
        <f t="shared" si="10"/>
        <v>10</v>
      </c>
      <c r="W131" s="2"/>
    </row>
    <row r="132" spans="1:23">
      <c r="A132" s="49">
        <v>128</v>
      </c>
      <c r="B132" s="50" t="s">
        <v>19</v>
      </c>
      <c r="C132" s="50" t="s">
        <v>396</v>
      </c>
      <c r="D132" s="49">
        <v>0</v>
      </c>
      <c r="E132" s="49">
        <v>0</v>
      </c>
      <c r="F132" s="50">
        <f t="shared" si="11"/>
        <v>0</v>
      </c>
      <c r="G132" s="2"/>
      <c r="H132" s="168">
        <v>10</v>
      </c>
      <c r="I132" s="169">
        <f t="shared" si="1"/>
        <v>100</v>
      </c>
      <c r="J132" s="170">
        <f t="shared" si="2"/>
        <v>10</v>
      </c>
      <c r="K132" s="168">
        <v>15</v>
      </c>
      <c r="L132" s="169">
        <f t="shared" si="3"/>
        <v>225</v>
      </c>
      <c r="M132" s="170">
        <f t="shared" si="4"/>
        <v>15</v>
      </c>
      <c r="N132" s="168">
        <v>5</v>
      </c>
      <c r="O132" s="169">
        <f t="shared" si="5"/>
        <v>25</v>
      </c>
      <c r="P132" s="170">
        <f t="shared" si="6"/>
        <v>5</v>
      </c>
      <c r="Q132" s="168">
        <v>15</v>
      </c>
      <c r="R132" s="169">
        <f t="shared" si="7"/>
        <v>225</v>
      </c>
      <c r="S132" s="170">
        <f t="shared" si="8"/>
        <v>15</v>
      </c>
      <c r="T132" s="171">
        <v>35</v>
      </c>
      <c r="U132" s="169">
        <f t="shared" si="9"/>
        <v>1225</v>
      </c>
      <c r="V132" s="170">
        <f t="shared" si="10"/>
        <v>35</v>
      </c>
      <c r="W132" s="2"/>
    </row>
    <row r="133" spans="1:23">
      <c r="A133" s="49">
        <v>129</v>
      </c>
      <c r="B133" s="50" t="s">
        <v>19</v>
      </c>
      <c r="C133" s="49" t="s">
        <v>399</v>
      </c>
      <c r="D133" s="49">
        <v>25</v>
      </c>
      <c r="E133" s="49">
        <v>25</v>
      </c>
      <c r="F133" s="50">
        <f t="shared" si="11"/>
        <v>25</v>
      </c>
      <c r="G133" s="2"/>
      <c r="H133" s="168">
        <v>30</v>
      </c>
      <c r="I133" s="169">
        <f t="shared" si="1"/>
        <v>25</v>
      </c>
      <c r="J133" s="170">
        <f t="shared" si="2"/>
        <v>5</v>
      </c>
      <c r="K133" s="168">
        <v>25</v>
      </c>
      <c r="L133" s="169">
        <f t="shared" si="3"/>
        <v>0</v>
      </c>
      <c r="M133" s="170">
        <f t="shared" si="4"/>
        <v>0</v>
      </c>
      <c r="N133" s="168">
        <v>15</v>
      </c>
      <c r="O133" s="169">
        <f t="shared" si="5"/>
        <v>100</v>
      </c>
      <c r="P133" s="170">
        <f t="shared" si="6"/>
        <v>10</v>
      </c>
      <c r="Q133" s="168">
        <v>30</v>
      </c>
      <c r="R133" s="169">
        <f t="shared" si="7"/>
        <v>25</v>
      </c>
      <c r="S133" s="170">
        <f t="shared" si="8"/>
        <v>5</v>
      </c>
      <c r="T133" s="171">
        <v>25</v>
      </c>
      <c r="U133" s="169">
        <f t="shared" si="9"/>
        <v>0</v>
      </c>
      <c r="V133" s="170">
        <f t="shared" si="10"/>
        <v>0</v>
      </c>
      <c r="W133" s="2"/>
    </row>
    <row r="134" spans="1:23" ht="17.25" customHeight="1">
      <c r="A134" s="43">
        <v>130</v>
      </c>
      <c r="B134" s="50" t="s">
        <v>19</v>
      </c>
      <c r="C134" s="49" t="s">
        <v>402</v>
      </c>
      <c r="D134" s="49">
        <v>10</v>
      </c>
      <c r="E134" s="49">
        <v>10</v>
      </c>
      <c r="F134" s="50">
        <f t="shared" si="11"/>
        <v>10</v>
      </c>
      <c r="G134" s="2"/>
      <c r="H134" s="168">
        <v>20</v>
      </c>
      <c r="I134" s="169">
        <f t="shared" si="1"/>
        <v>100</v>
      </c>
      <c r="J134" s="170">
        <f t="shared" si="2"/>
        <v>10</v>
      </c>
      <c r="K134" s="168">
        <v>20</v>
      </c>
      <c r="L134" s="169">
        <f t="shared" si="3"/>
        <v>100</v>
      </c>
      <c r="M134" s="170">
        <f t="shared" si="4"/>
        <v>10</v>
      </c>
      <c r="N134" s="168">
        <v>20</v>
      </c>
      <c r="O134" s="169">
        <f t="shared" si="5"/>
        <v>100</v>
      </c>
      <c r="P134" s="170">
        <f t="shared" si="6"/>
        <v>10</v>
      </c>
      <c r="Q134" s="168">
        <v>25</v>
      </c>
      <c r="R134" s="169">
        <f t="shared" si="7"/>
        <v>225</v>
      </c>
      <c r="S134" s="170">
        <f t="shared" si="8"/>
        <v>15</v>
      </c>
      <c r="T134" s="171">
        <v>20</v>
      </c>
      <c r="U134" s="169">
        <f t="shared" si="9"/>
        <v>100</v>
      </c>
      <c r="V134" s="170">
        <f t="shared" si="10"/>
        <v>10</v>
      </c>
      <c r="W134" s="2"/>
    </row>
    <row r="135" spans="1:23" ht="17.25" customHeight="1">
      <c r="A135" s="49">
        <v>131</v>
      </c>
      <c r="B135" s="50" t="s">
        <v>19</v>
      </c>
      <c r="C135" s="50" t="s">
        <v>405</v>
      </c>
      <c r="D135" s="49">
        <v>40</v>
      </c>
      <c r="E135" s="49">
        <v>40</v>
      </c>
      <c r="F135" s="50">
        <f t="shared" si="11"/>
        <v>40</v>
      </c>
      <c r="G135" s="2"/>
      <c r="H135" s="168">
        <v>30</v>
      </c>
      <c r="I135" s="169">
        <f t="shared" si="1"/>
        <v>100</v>
      </c>
      <c r="J135" s="170">
        <f t="shared" si="2"/>
        <v>10</v>
      </c>
      <c r="K135" s="168">
        <v>40</v>
      </c>
      <c r="L135" s="169">
        <f t="shared" si="3"/>
        <v>0</v>
      </c>
      <c r="M135" s="170">
        <f t="shared" si="4"/>
        <v>0</v>
      </c>
      <c r="N135" s="168">
        <v>35</v>
      </c>
      <c r="O135" s="169">
        <f t="shared" si="5"/>
        <v>25</v>
      </c>
      <c r="P135" s="170">
        <f t="shared" si="6"/>
        <v>5</v>
      </c>
      <c r="Q135" s="168">
        <v>35</v>
      </c>
      <c r="R135" s="169">
        <f t="shared" si="7"/>
        <v>25</v>
      </c>
      <c r="S135" s="170">
        <f t="shared" si="8"/>
        <v>5</v>
      </c>
      <c r="T135" s="171">
        <v>40</v>
      </c>
      <c r="U135" s="169">
        <f t="shared" si="9"/>
        <v>0</v>
      </c>
      <c r="V135" s="170">
        <f t="shared" si="10"/>
        <v>0</v>
      </c>
      <c r="W135" s="2"/>
    </row>
    <row r="136" spans="1:23">
      <c r="A136" s="49">
        <v>132</v>
      </c>
      <c r="B136" s="50" t="s">
        <v>19</v>
      </c>
      <c r="C136" s="50" t="s">
        <v>408</v>
      </c>
      <c r="D136" s="49">
        <v>0</v>
      </c>
      <c r="E136" s="49">
        <v>0</v>
      </c>
      <c r="F136" s="50">
        <f t="shared" si="11"/>
        <v>0</v>
      </c>
      <c r="G136" s="2"/>
      <c r="H136" s="168">
        <v>20</v>
      </c>
      <c r="I136" s="169">
        <f t="shared" si="1"/>
        <v>400</v>
      </c>
      <c r="J136" s="170">
        <f t="shared" si="2"/>
        <v>20</v>
      </c>
      <c r="K136" s="168">
        <v>20</v>
      </c>
      <c r="L136" s="169">
        <f t="shared" si="3"/>
        <v>400</v>
      </c>
      <c r="M136" s="170">
        <f t="shared" si="4"/>
        <v>20</v>
      </c>
      <c r="N136" s="168">
        <v>15</v>
      </c>
      <c r="O136" s="169">
        <f t="shared" si="5"/>
        <v>225</v>
      </c>
      <c r="P136" s="170">
        <f t="shared" si="6"/>
        <v>15</v>
      </c>
      <c r="Q136" s="168">
        <v>20</v>
      </c>
      <c r="R136" s="169">
        <f t="shared" si="7"/>
        <v>400</v>
      </c>
      <c r="S136" s="170">
        <f t="shared" si="8"/>
        <v>20</v>
      </c>
      <c r="T136" s="171">
        <v>20</v>
      </c>
      <c r="U136" s="169">
        <f t="shared" si="9"/>
        <v>400</v>
      </c>
      <c r="V136" s="170">
        <f t="shared" si="10"/>
        <v>20</v>
      </c>
      <c r="W136" s="2"/>
    </row>
    <row r="137" spans="1:23">
      <c r="A137" s="51">
        <v>133</v>
      </c>
      <c r="B137" s="50" t="s">
        <v>19</v>
      </c>
      <c r="C137" s="50" t="s">
        <v>411</v>
      </c>
      <c r="D137" s="49">
        <v>20</v>
      </c>
      <c r="E137" s="49">
        <v>10</v>
      </c>
      <c r="F137" s="50">
        <f t="shared" si="11"/>
        <v>15</v>
      </c>
      <c r="G137" s="2"/>
      <c r="H137" s="168">
        <v>30</v>
      </c>
      <c r="I137" s="169">
        <f t="shared" si="1"/>
        <v>225</v>
      </c>
      <c r="J137" s="170">
        <f t="shared" si="2"/>
        <v>15</v>
      </c>
      <c r="K137" s="168">
        <v>35</v>
      </c>
      <c r="L137" s="169">
        <f t="shared" si="3"/>
        <v>400</v>
      </c>
      <c r="M137" s="170">
        <f t="shared" si="4"/>
        <v>20</v>
      </c>
      <c r="N137" s="168">
        <v>25</v>
      </c>
      <c r="O137" s="169">
        <f t="shared" si="5"/>
        <v>100</v>
      </c>
      <c r="P137" s="170">
        <f t="shared" si="6"/>
        <v>10</v>
      </c>
      <c r="Q137" s="168">
        <v>35</v>
      </c>
      <c r="R137" s="169">
        <f t="shared" si="7"/>
        <v>400</v>
      </c>
      <c r="S137" s="170">
        <f t="shared" si="8"/>
        <v>20</v>
      </c>
      <c r="T137" s="171">
        <v>35</v>
      </c>
      <c r="U137" s="169">
        <f t="shared" si="9"/>
        <v>400</v>
      </c>
      <c r="V137" s="170">
        <f t="shared" si="10"/>
        <v>20</v>
      </c>
      <c r="W137" s="2"/>
    </row>
    <row r="138" spans="1:23">
      <c r="A138" s="49">
        <v>134</v>
      </c>
      <c r="B138" s="50" t="s">
        <v>19</v>
      </c>
      <c r="C138" s="50" t="s">
        <v>414</v>
      </c>
      <c r="D138" s="49">
        <v>10</v>
      </c>
      <c r="E138" s="49">
        <v>10</v>
      </c>
      <c r="F138" s="49">
        <v>10</v>
      </c>
      <c r="G138" s="2"/>
      <c r="H138" s="168">
        <v>30</v>
      </c>
      <c r="I138" s="169">
        <f t="shared" si="1"/>
        <v>400</v>
      </c>
      <c r="J138" s="170">
        <f t="shared" si="2"/>
        <v>20</v>
      </c>
      <c r="K138" s="168">
        <v>25</v>
      </c>
      <c r="L138" s="169">
        <f t="shared" si="3"/>
        <v>225</v>
      </c>
      <c r="M138" s="170">
        <f t="shared" si="4"/>
        <v>15</v>
      </c>
      <c r="N138" s="168">
        <v>10</v>
      </c>
      <c r="O138" s="169">
        <f t="shared" si="5"/>
        <v>0</v>
      </c>
      <c r="P138" s="170">
        <f t="shared" si="6"/>
        <v>0</v>
      </c>
      <c r="Q138" s="168">
        <v>25</v>
      </c>
      <c r="R138" s="169">
        <f t="shared" si="7"/>
        <v>225</v>
      </c>
      <c r="S138" s="170">
        <f t="shared" si="8"/>
        <v>15</v>
      </c>
      <c r="T138" s="171">
        <v>35</v>
      </c>
      <c r="U138" s="169">
        <f t="shared" si="9"/>
        <v>625</v>
      </c>
      <c r="V138" s="170">
        <f t="shared" si="10"/>
        <v>25</v>
      </c>
      <c r="W138" s="2"/>
    </row>
    <row r="139" spans="1:23">
      <c r="A139" s="52" t="s">
        <v>461</v>
      </c>
      <c r="B139" s="53"/>
      <c r="C139" s="53"/>
      <c r="D139" s="54" t="s">
        <v>462</v>
      </c>
      <c r="E139" s="54" t="s">
        <v>463</v>
      </c>
      <c r="F139" s="172" t="s">
        <v>464</v>
      </c>
      <c r="G139" s="173"/>
      <c r="H139" s="174" t="s">
        <v>465</v>
      </c>
      <c r="I139" s="175">
        <f>J139/I140</f>
        <v>8.5271317829457363E-2</v>
      </c>
      <c r="J139" s="176">
        <f>COUNTIF(J10:J138,"=0")</f>
        <v>11</v>
      </c>
      <c r="K139" s="177" t="s">
        <v>447</v>
      </c>
      <c r="L139" s="175">
        <f>M139/L140</f>
        <v>0.16279069767441862</v>
      </c>
      <c r="M139" s="176">
        <f>COUNTIF(M10:M138,"=0")</f>
        <v>21</v>
      </c>
      <c r="N139" s="177" t="s">
        <v>449</v>
      </c>
      <c r="O139" s="175">
        <f>P139/O140</f>
        <v>0.12403100775193798</v>
      </c>
      <c r="P139" s="176">
        <f>COUNTIF(P10:P138,"=0")</f>
        <v>16</v>
      </c>
      <c r="Q139" s="177" t="s">
        <v>451</v>
      </c>
      <c r="R139" s="175">
        <f>S139/R140</f>
        <v>5.4263565891472867E-2</v>
      </c>
      <c r="S139" s="178">
        <f>COUNTIF(S10:S138,"=0")</f>
        <v>7</v>
      </c>
      <c r="T139" s="179" t="s">
        <v>453</v>
      </c>
      <c r="U139" s="175">
        <f>V139/U140</f>
        <v>0.15503875968992248</v>
      </c>
      <c r="V139" s="178">
        <f>COUNTIF(V10:V138,"=0")</f>
        <v>20</v>
      </c>
      <c r="W139" s="2"/>
    </row>
    <row r="140" spans="1:23">
      <c r="A140" s="180"/>
      <c r="B140" s="67"/>
      <c r="C140" s="68" t="s">
        <v>466</v>
      </c>
      <c r="D140" s="181">
        <f t="shared" ref="D140:F140" si="12">COUNTIF(D10:D138,"&gt;=0")</f>
        <v>129</v>
      </c>
      <c r="E140" s="181">
        <f t="shared" si="12"/>
        <v>129</v>
      </c>
      <c r="F140" s="182">
        <f t="shared" si="12"/>
        <v>129</v>
      </c>
      <c r="G140" s="160"/>
      <c r="H140" s="183">
        <f t="shared" ref="H140:P140" si="13">COUNTIF(H10:H138,"&gt;=0")</f>
        <v>129</v>
      </c>
      <c r="I140" s="184">
        <f t="shared" si="13"/>
        <v>129</v>
      </c>
      <c r="J140" s="183">
        <f t="shared" si="13"/>
        <v>129</v>
      </c>
      <c r="K140" s="182">
        <f t="shared" si="13"/>
        <v>129</v>
      </c>
      <c r="L140" s="184">
        <f t="shared" si="13"/>
        <v>129</v>
      </c>
      <c r="M140" s="185">
        <f t="shared" si="13"/>
        <v>129</v>
      </c>
      <c r="N140" s="182">
        <f t="shared" si="13"/>
        <v>129</v>
      </c>
      <c r="O140" s="184">
        <f t="shared" si="13"/>
        <v>129</v>
      </c>
      <c r="P140" s="185">
        <f t="shared" si="13"/>
        <v>129</v>
      </c>
      <c r="Q140" s="182">
        <f>COUNTIF(Q9:Q138,"&gt;=0")</f>
        <v>129</v>
      </c>
      <c r="R140" s="184">
        <f>COUNTIF(R10:R138,"&gt;=0")</f>
        <v>129</v>
      </c>
      <c r="S140" s="185">
        <f t="shared" ref="S140:T140" si="14">COUNTIF(S9:S138,"&gt;=0")</f>
        <v>129</v>
      </c>
      <c r="T140" s="182">
        <f t="shared" si="14"/>
        <v>129</v>
      </c>
      <c r="U140" s="186">
        <f>COUNTIF(U10:U138,"&gt;=0")</f>
        <v>129</v>
      </c>
      <c r="V140" s="185">
        <f>COUNTIF(V9:V138,"&gt;=0")</f>
        <v>129</v>
      </c>
      <c r="W140" s="2"/>
    </row>
    <row r="141" spans="1:23" ht="14.25" customHeight="1">
      <c r="A141" s="187"/>
      <c r="B141" s="44"/>
      <c r="C141" s="73" t="s">
        <v>468</v>
      </c>
      <c r="D141" s="101">
        <f t="shared" ref="D141:F141" si="15">AVERAGE(D9:D138)</f>
        <v>21.794573643410853</v>
      </c>
      <c r="E141" s="101">
        <f t="shared" si="15"/>
        <v>22.023255813953487</v>
      </c>
      <c r="F141" s="188">
        <f t="shared" si="15"/>
        <v>21.90891472868217</v>
      </c>
      <c r="G141" s="189"/>
      <c r="H141" s="190">
        <f>AVERAGE(H9:H138)</f>
        <v>26.705426356589147</v>
      </c>
      <c r="I141" s="78">
        <f>SQRT(AVERAGE(I9:I138))</f>
        <v>12.497460982445672</v>
      </c>
      <c r="J141" s="191">
        <f t="shared" ref="J141:K141" si="16">AVERAGE(J9:J138)</f>
        <v>10.098837209302326</v>
      </c>
      <c r="K141" s="188">
        <f t="shared" si="16"/>
        <v>26.627906976744185</v>
      </c>
      <c r="L141" s="78">
        <f>SQRT(AVERAGE(L9:L138))</f>
        <v>11.446898804831902</v>
      </c>
      <c r="M141" s="191">
        <f t="shared" ref="M141:N141" si="17">AVERAGE(M9:M138)</f>
        <v>8.8585271317829459</v>
      </c>
      <c r="N141" s="188">
        <f t="shared" si="17"/>
        <v>26.666666666666668</v>
      </c>
      <c r="O141" s="78">
        <f>SQRT(AVERAGE(O9:O138))</f>
        <v>11.089160326381167</v>
      </c>
      <c r="P141" s="191">
        <f t="shared" ref="P141:Q141" si="18">AVERAGE(P9:P138)</f>
        <v>8.7267441860465116</v>
      </c>
      <c r="Q141" s="188">
        <f t="shared" si="18"/>
        <v>29.379844961240309</v>
      </c>
      <c r="R141" s="78">
        <f>SQRT(AVERAGE(R9:R138))</f>
        <v>13.614448122286067</v>
      </c>
      <c r="S141" s="191">
        <f t="shared" ref="S141:T141" si="19">AVERAGE(S9:S138)</f>
        <v>10.866279069767442</v>
      </c>
      <c r="T141" s="188">
        <f t="shared" si="19"/>
        <v>29.961240310077521</v>
      </c>
      <c r="U141" s="78">
        <f>SQRT(AVERAGE(U9:U138))</f>
        <v>14.450681296135508</v>
      </c>
      <c r="V141" s="191">
        <f>AVERAGE(V9:V138)</f>
        <v>11.145348837209303</v>
      </c>
      <c r="W141" s="2"/>
    </row>
    <row r="142" spans="1:23">
      <c r="A142" s="187"/>
      <c r="B142" s="44"/>
      <c r="C142" s="73" t="s">
        <v>469</v>
      </c>
      <c r="D142" s="101">
        <f t="shared" ref="D142:F142" si="20">MODE(D9:D138)</f>
        <v>40</v>
      </c>
      <c r="E142" s="101">
        <f t="shared" si="20"/>
        <v>40</v>
      </c>
      <c r="F142" s="188">
        <f t="shared" si="20"/>
        <v>40</v>
      </c>
      <c r="G142" s="189"/>
      <c r="H142" s="190">
        <f>MODE(H9:H138)</f>
        <v>30</v>
      </c>
      <c r="I142" s="81" t="s">
        <v>470</v>
      </c>
      <c r="J142" s="192" t="s">
        <v>471</v>
      </c>
      <c r="K142" s="188">
        <f>MODE(K9:K138)</f>
        <v>30</v>
      </c>
      <c r="L142" s="81" t="s">
        <v>470</v>
      </c>
      <c r="M142" s="192" t="s">
        <v>471</v>
      </c>
      <c r="N142" s="188">
        <f>MODE(N9:N138)</f>
        <v>35</v>
      </c>
      <c r="O142" s="81" t="s">
        <v>470</v>
      </c>
      <c r="P142" s="192" t="s">
        <v>471</v>
      </c>
      <c r="Q142" s="188">
        <f>MODE(Q9:Q138)</f>
        <v>35</v>
      </c>
      <c r="R142" s="81" t="s">
        <v>470</v>
      </c>
      <c r="S142" s="192" t="s">
        <v>471</v>
      </c>
      <c r="T142" s="188">
        <f>MODE(T9:T138)</f>
        <v>20</v>
      </c>
      <c r="U142" s="81" t="s">
        <v>470</v>
      </c>
      <c r="V142" s="192" t="s">
        <v>471</v>
      </c>
      <c r="W142" s="2"/>
    </row>
    <row r="143" spans="1:23">
      <c r="A143" s="187"/>
      <c r="B143" s="44"/>
      <c r="C143" s="73" t="s">
        <v>472</v>
      </c>
      <c r="D143" s="101">
        <f t="shared" ref="D143:F143" si="21">STDEVP(D10:D138)</f>
        <v>13.15966535517072</v>
      </c>
      <c r="E143" s="101">
        <f t="shared" si="21"/>
        <v>13.562068121243785</v>
      </c>
      <c r="F143" s="188">
        <f t="shared" si="21"/>
        <v>13.042266486361024</v>
      </c>
      <c r="G143" s="189"/>
      <c r="H143" s="190">
        <f>STDEVP(H10:H138)</f>
        <v>5.7565643026164528</v>
      </c>
      <c r="I143" s="184"/>
      <c r="J143" s="190"/>
      <c r="K143" s="188">
        <f>STDEVP(K10:K138)</f>
        <v>7.8543621094513734</v>
      </c>
      <c r="L143" s="184"/>
      <c r="M143" s="190"/>
      <c r="N143" s="188">
        <f>STDEVP(N10:N138)</f>
        <v>9.5911242345559966</v>
      </c>
      <c r="O143" s="184"/>
      <c r="P143" s="190"/>
      <c r="Q143" s="188">
        <f>STDEVP(Q10:Q138)</f>
        <v>5.8072312559156725</v>
      </c>
      <c r="R143" s="184"/>
      <c r="S143" s="190"/>
      <c r="T143" s="188">
        <f>STDEVP(T10:T138)</f>
        <v>8.3409916135487059</v>
      </c>
      <c r="U143" s="184"/>
      <c r="V143" s="193"/>
      <c r="W143" s="2"/>
    </row>
    <row r="144" spans="1:23">
      <c r="A144" s="187"/>
      <c r="B144" s="44"/>
      <c r="C144" s="73" t="s">
        <v>473</v>
      </c>
      <c r="D144" s="101">
        <f t="shared" ref="D144:F144" si="22">VARP(D10:D138)</f>
        <v>173.17679226008053</v>
      </c>
      <c r="E144" s="101">
        <f t="shared" si="22"/>
        <v>183.9296917252569</v>
      </c>
      <c r="F144" s="188">
        <f t="shared" si="22"/>
        <v>170.10071510125593</v>
      </c>
      <c r="G144" s="189"/>
      <c r="H144" s="190">
        <f>VARP(H10:H138)</f>
        <v>33.138032570158046</v>
      </c>
      <c r="I144" s="184"/>
      <c r="J144" s="190"/>
      <c r="K144" s="188">
        <f>VARP(K10:K138)</f>
        <v>61.691004146385431</v>
      </c>
      <c r="L144" s="184"/>
      <c r="M144" s="190"/>
      <c r="N144" s="188">
        <f>VARP(N10:N138)</f>
        <v>91.989664082687341</v>
      </c>
      <c r="O144" s="184"/>
      <c r="P144" s="190"/>
      <c r="Q144" s="188">
        <f>VARP(Q10:Q138)</f>
        <v>33.723934859683915</v>
      </c>
      <c r="R144" s="184"/>
      <c r="S144" s="190"/>
      <c r="T144" s="188">
        <f>VARP(T10:T138)</f>
        <v>69.57214109728983</v>
      </c>
      <c r="U144" s="184"/>
      <c r="V144" s="193"/>
      <c r="W144" s="2"/>
    </row>
    <row r="145" spans="1:29">
      <c r="A145" s="187"/>
      <c r="B145" s="44"/>
      <c r="C145" s="73" t="s">
        <v>474</v>
      </c>
      <c r="D145" s="74">
        <f t="shared" ref="D145:F145" si="23">QUARTILE(D10:D138,0)</f>
        <v>0</v>
      </c>
      <c r="E145" s="74">
        <f t="shared" si="23"/>
        <v>0</v>
      </c>
      <c r="F145" s="74">
        <f t="shared" si="23"/>
        <v>0</v>
      </c>
      <c r="G145" s="76"/>
      <c r="H145" s="74">
        <f>QUARTILE(H10:H138,0)</f>
        <v>10</v>
      </c>
      <c r="I145" s="184"/>
      <c r="J145" s="194"/>
      <c r="K145" s="74">
        <f>QUARTILE(K10:K138,0)</f>
        <v>10</v>
      </c>
      <c r="L145" s="184"/>
      <c r="M145" s="194"/>
      <c r="N145" s="74">
        <f>QUARTILE(N10:N138,0)</f>
        <v>5</v>
      </c>
      <c r="O145" s="184"/>
      <c r="P145" s="194"/>
      <c r="Q145" s="74">
        <f>QUARTILE(Q10:Q138,0)</f>
        <v>15</v>
      </c>
      <c r="R145" s="184"/>
      <c r="S145" s="194"/>
      <c r="T145" s="74">
        <f>QUARTILE(T10:T138,0)</f>
        <v>15</v>
      </c>
      <c r="U145" s="184"/>
      <c r="V145" s="194"/>
      <c r="W145" s="2"/>
    </row>
    <row r="146" spans="1:29">
      <c r="A146" s="187"/>
      <c r="B146" s="44"/>
      <c r="C146" s="73" t="s">
        <v>475</v>
      </c>
      <c r="D146" s="74">
        <f t="shared" ref="D146:F146" si="24">QUARTILE(D10:D138,1)</f>
        <v>10</v>
      </c>
      <c r="E146" s="74">
        <f t="shared" si="24"/>
        <v>10</v>
      </c>
      <c r="F146" s="74">
        <f t="shared" si="24"/>
        <v>10</v>
      </c>
      <c r="G146" s="76"/>
      <c r="H146" s="74">
        <f>QUARTILE(H10:H138,1)</f>
        <v>20</v>
      </c>
      <c r="I146" s="184"/>
      <c r="J146" s="194"/>
      <c r="K146" s="74">
        <f>QUARTILE(K10:K138,1)</f>
        <v>20</v>
      </c>
      <c r="L146" s="184"/>
      <c r="M146" s="194"/>
      <c r="N146" s="74">
        <f>QUARTILE(N10:N138,1)</f>
        <v>20</v>
      </c>
      <c r="O146" s="184"/>
      <c r="P146" s="194"/>
      <c r="Q146" s="74">
        <f>QUARTILE(Q10:Q138,1)</f>
        <v>25</v>
      </c>
      <c r="R146" s="184"/>
      <c r="S146" s="194"/>
      <c r="T146" s="74">
        <f>QUARTILE(T10:T138,1)</f>
        <v>20</v>
      </c>
      <c r="U146" s="184"/>
      <c r="V146" s="194"/>
      <c r="W146" s="2"/>
    </row>
    <row r="147" spans="1:29">
      <c r="A147" s="187"/>
      <c r="B147" s="44"/>
      <c r="C147" s="73" t="s">
        <v>476</v>
      </c>
      <c r="D147" s="74">
        <f t="shared" ref="D147:F147" si="25">QUARTILE(D10:D138,2)</f>
        <v>20</v>
      </c>
      <c r="E147" s="74">
        <f t="shared" si="25"/>
        <v>22</v>
      </c>
      <c r="F147" s="74">
        <f t="shared" si="25"/>
        <v>22.5</v>
      </c>
      <c r="G147" s="76"/>
      <c r="H147" s="74">
        <f>QUARTILE(H10:H138,2)</f>
        <v>30</v>
      </c>
      <c r="I147" s="184"/>
      <c r="J147" s="194"/>
      <c r="K147" s="74">
        <f>QUARTILE(K10:K138,2)</f>
        <v>25</v>
      </c>
      <c r="L147" s="184"/>
      <c r="M147" s="194"/>
      <c r="N147" s="74">
        <f>QUARTILE(N10:N138,2)</f>
        <v>30</v>
      </c>
      <c r="O147" s="184"/>
      <c r="P147" s="194"/>
      <c r="Q147" s="74">
        <f>QUARTILE(Q10:Q138,2)</f>
        <v>30</v>
      </c>
      <c r="R147" s="184"/>
      <c r="S147" s="194"/>
      <c r="T147" s="74">
        <f>QUARTILE(T10:T138,2)</f>
        <v>30</v>
      </c>
      <c r="U147" s="184"/>
      <c r="V147" s="194"/>
      <c r="W147" s="2"/>
      <c r="AC147" s="80"/>
    </row>
    <row r="148" spans="1:29">
      <c r="A148" s="187"/>
      <c r="B148" s="44"/>
      <c r="C148" s="73" t="s">
        <v>477</v>
      </c>
      <c r="D148" s="74">
        <f t="shared" ref="D148:F148" si="26">QUARTILE(D10:D138,3)</f>
        <v>30</v>
      </c>
      <c r="E148" s="74">
        <f t="shared" si="26"/>
        <v>35</v>
      </c>
      <c r="F148" s="74">
        <f t="shared" si="26"/>
        <v>32.5</v>
      </c>
      <c r="G148" s="76"/>
      <c r="H148" s="74">
        <f>QUARTILE(H10:H138,3)</f>
        <v>30</v>
      </c>
      <c r="I148" s="184"/>
      <c r="J148" s="194"/>
      <c r="K148" s="74">
        <f>QUARTILE(K10:K138,3)</f>
        <v>30</v>
      </c>
      <c r="L148" s="184"/>
      <c r="M148" s="194"/>
      <c r="N148" s="74">
        <f>QUARTILE(N10:N138,3)</f>
        <v>35</v>
      </c>
      <c r="O148" s="184"/>
      <c r="P148" s="194"/>
      <c r="Q148" s="74">
        <f>QUARTILE(Q10:Q138,3)</f>
        <v>35</v>
      </c>
      <c r="R148" s="184"/>
      <c r="S148" s="194"/>
      <c r="T148" s="74">
        <f>QUARTILE(T10:T138,3)</f>
        <v>40</v>
      </c>
      <c r="U148" s="184"/>
      <c r="V148" s="194"/>
      <c r="W148" s="2"/>
      <c r="AC148" s="80"/>
    </row>
    <row r="149" spans="1:29">
      <c r="A149" s="187"/>
      <c r="B149" s="44"/>
      <c r="C149" s="73" t="s">
        <v>478</v>
      </c>
      <c r="D149" s="83">
        <f t="shared" ref="D149:F149" si="27">QUARTILE(D10:D138,4)</f>
        <v>40</v>
      </c>
      <c r="E149" s="83">
        <f t="shared" si="27"/>
        <v>40</v>
      </c>
      <c r="F149" s="83">
        <f t="shared" si="27"/>
        <v>40</v>
      </c>
      <c r="G149" s="85"/>
      <c r="H149" s="83">
        <f>QUARTILE(H10:H138,4)</f>
        <v>40</v>
      </c>
      <c r="I149" s="184"/>
      <c r="J149" s="195"/>
      <c r="K149" s="83">
        <f>QUARTILE(K10:K138,4)</f>
        <v>40</v>
      </c>
      <c r="L149" s="184"/>
      <c r="M149" s="195"/>
      <c r="N149" s="83">
        <f>QUARTILE(N10:N138,4)</f>
        <v>40</v>
      </c>
      <c r="O149" s="184"/>
      <c r="P149" s="195"/>
      <c r="Q149" s="83">
        <f>QUARTILE(Q10:Q138,4)</f>
        <v>40</v>
      </c>
      <c r="R149" s="184"/>
      <c r="S149" s="195"/>
      <c r="T149" s="83">
        <f>QUARTILE(T10:T138,4)</f>
        <v>40</v>
      </c>
      <c r="U149" s="196"/>
      <c r="V149" s="195"/>
      <c r="W149" s="2"/>
      <c r="AC149" s="80"/>
    </row>
    <row r="150" spans="1:29">
      <c r="A150" s="52" t="s">
        <v>479</v>
      </c>
      <c r="B150" s="53"/>
      <c r="C150" s="87" t="s">
        <v>480</v>
      </c>
      <c r="D150" s="54" t="s">
        <v>462</v>
      </c>
      <c r="E150" s="54" t="s">
        <v>463</v>
      </c>
      <c r="F150" s="197" t="s">
        <v>464</v>
      </c>
      <c r="G150" s="160"/>
      <c r="H150" s="174" t="s">
        <v>465</v>
      </c>
      <c r="I150" s="198"/>
      <c r="J150" s="199"/>
      <c r="K150" s="177" t="s">
        <v>447</v>
      </c>
      <c r="L150" s="198"/>
      <c r="M150" s="199"/>
      <c r="N150" s="177" t="s">
        <v>449</v>
      </c>
      <c r="O150" s="198"/>
      <c r="P150" s="199"/>
      <c r="Q150" s="177" t="s">
        <v>451</v>
      </c>
      <c r="R150" s="198"/>
      <c r="S150" s="173"/>
      <c r="T150" s="179" t="s">
        <v>453</v>
      </c>
      <c r="U150" s="198"/>
      <c r="V150" s="173"/>
      <c r="W150" s="2"/>
      <c r="AC150" s="80"/>
    </row>
    <row r="151" spans="1:29">
      <c r="A151" s="200" t="s">
        <v>481</v>
      </c>
      <c r="B151" s="44"/>
      <c r="C151" s="201" t="s">
        <v>462</v>
      </c>
      <c r="D151" s="93" t="s">
        <v>60</v>
      </c>
      <c r="E151" s="101">
        <f>PEARSON(E10:E138,D10:D138)</f>
        <v>0.90573275593091251</v>
      </c>
      <c r="F151" s="94">
        <f>PEARSON(F10:F138,D10:D138)</f>
        <v>0.97541614861784154</v>
      </c>
      <c r="G151" s="202"/>
      <c r="H151" s="190">
        <f>PEARSON(H10:H138,D10:D138)</f>
        <v>0.45922476515031824</v>
      </c>
      <c r="I151" s="169"/>
      <c r="J151" s="189"/>
      <c r="K151" s="190">
        <f>PEARSON(K10:K138,D10:D138)</f>
        <v>0.56628917807389745</v>
      </c>
      <c r="L151" s="169"/>
      <c r="M151" s="189"/>
      <c r="N151" s="190">
        <f>PEARSON(N10:N138,D10:D138)</f>
        <v>0.60691256339177657</v>
      </c>
      <c r="O151" s="169"/>
      <c r="P151" s="189"/>
      <c r="Q151" s="190">
        <f>PEARSON(Q10:Q138,D10:D138)</f>
        <v>0.45961765343578154</v>
      </c>
      <c r="R151" s="169"/>
      <c r="S151" s="162"/>
      <c r="T151" s="188">
        <f>PEARSON(T10:T138,D10:D138)</f>
        <v>0.40283315776194156</v>
      </c>
      <c r="U151" s="169"/>
      <c r="V151" s="189"/>
      <c r="W151" s="2"/>
      <c r="AC151" s="80"/>
    </row>
    <row r="152" spans="1:29">
      <c r="A152" s="200" t="s">
        <v>482</v>
      </c>
      <c r="B152" s="44"/>
      <c r="C152" s="203" t="s">
        <v>463</v>
      </c>
      <c r="D152" s="204">
        <f>PEARSON(D10:D138,E10:E138)</f>
        <v>0.90573275593091251</v>
      </c>
      <c r="E152" s="100" t="s">
        <v>60</v>
      </c>
      <c r="F152" s="101">
        <f>PEARSON(F10:F138,E10:E138)</f>
        <v>0.97687039737909598</v>
      </c>
      <c r="G152" s="189"/>
      <c r="H152" s="190">
        <f>PEARSON(H10:H138,E10:E138)</f>
        <v>0.45177407540318354</v>
      </c>
      <c r="I152" s="169"/>
      <c r="J152" s="189"/>
      <c r="K152" s="190">
        <f>PEARSON(K10:K138,E10:E138)</f>
        <v>0.60548424134303591</v>
      </c>
      <c r="L152" s="169"/>
      <c r="M152" s="189"/>
      <c r="N152" s="190">
        <f>PEARSON(N10:N138,E10:E138)</f>
        <v>0.6546586536539527</v>
      </c>
      <c r="O152" s="169"/>
      <c r="P152" s="189"/>
      <c r="Q152" s="190">
        <f>PEARSON(Q10:Q138,E10:E138)</f>
        <v>0.49724061389889135</v>
      </c>
      <c r="R152" s="169"/>
      <c r="S152" s="162"/>
      <c r="T152" s="188">
        <f>PEARSON(T10:T138,E10:E138)</f>
        <v>0.45503244943027105</v>
      </c>
      <c r="U152" s="169"/>
      <c r="V152" s="189"/>
      <c r="W152" s="2"/>
      <c r="AC152" s="80"/>
    </row>
    <row r="153" spans="1:29">
      <c r="A153" s="205" t="s">
        <v>483</v>
      </c>
      <c r="B153" s="44"/>
      <c r="C153" s="203" t="s">
        <v>464</v>
      </c>
      <c r="D153" s="206">
        <f>PEARSON(D10:D138,F10:F138)</f>
        <v>0.97541614861784154</v>
      </c>
      <c r="E153" s="207">
        <f>PEARSON(E10:E138,F10:F138)</f>
        <v>0.97687039737909598</v>
      </c>
      <c r="F153" s="100" t="s">
        <v>60</v>
      </c>
      <c r="G153" s="189"/>
      <c r="H153" s="208">
        <f>PEARSON(H10:H138,F10:F138)</f>
        <v>0.46656902122579713</v>
      </c>
      <c r="I153" s="169"/>
      <c r="J153" s="189"/>
      <c r="K153" s="208">
        <f>PEARSON(K10:K138,F10:F138)</f>
        <v>0.6005012480584373</v>
      </c>
      <c r="L153" s="169"/>
      <c r="M153" s="189"/>
      <c r="N153" s="208">
        <f>PEARSON(N10:N138,F10:F138)</f>
        <v>0.64656290794004911</v>
      </c>
      <c r="O153" s="169"/>
      <c r="P153" s="189"/>
      <c r="Q153" s="208">
        <f>PEARSON(Q10:Q138,F10:F138)</f>
        <v>0.49040654100523295</v>
      </c>
      <c r="R153" s="169"/>
      <c r="S153" s="162"/>
      <c r="T153" s="209">
        <f>PEARSON(T10:T138,F10:F138)</f>
        <v>0.43981353389231864</v>
      </c>
      <c r="U153" s="169"/>
      <c r="V153" s="189"/>
      <c r="W153" s="2"/>
      <c r="AC153" s="80"/>
    </row>
    <row r="154" spans="1:29">
      <c r="A154" s="210"/>
      <c r="B154" s="44"/>
      <c r="C154" s="211" t="s">
        <v>465</v>
      </c>
      <c r="D154" s="204">
        <f>PEARSON(D10:D138,H10:H138)</f>
        <v>0.45922476515031824</v>
      </c>
      <c r="E154" s="212">
        <f>PEARSON(E10:E138,H10:H138)</f>
        <v>0.45177407540318354</v>
      </c>
      <c r="F154" s="101">
        <f>PEARSON(F10:F138,H10:H138)</f>
        <v>0.46656902122579713</v>
      </c>
      <c r="G154" s="189"/>
      <c r="H154" s="111" t="s">
        <v>60</v>
      </c>
      <c r="I154" s="169"/>
      <c r="J154" s="189"/>
      <c r="K154" s="190">
        <f>PEARSON(K10:K138,H10:H138)</f>
        <v>0.56867378926684076</v>
      </c>
      <c r="L154" s="169"/>
      <c r="M154" s="189"/>
      <c r="N154" s="190">
        <f>PEARSON(N10:N138,H10:H138)</f>
        <v>0.63649510295867007</v>
      </c>
      <c r="O154" s="169"/>
      <c r="P154" s="189"/>
      <c r="Q154" s="190">
        <f>PEARSON(Q10:Q138,H10:H138)</f>
        <v>0.60555958241292651</v>
      </c>
      <c r="R154" s="169"/>
      <c r="S154" s="162"/>
      <c r="T154" s="188">
        <f>PEARSON(T10:T138,H10:H138)</f>
        <v>0.44131900851204409</v>
      </c>
      <c r="U154" s="169"/>
      <c r="V154" s="189"/>
      <c r="W154" s="2"/>
      <c r="AC154" s="80"/>
    </row>
    <row r="155" spans="1:29">
      <c r="A155" s="213"/>
      <c r="B155" s="44"/>
      <c r="C155" s="211" t="s">
        <v>484</v>
      </c>
      <c r="D155" s="204">
        <f>PEARSON(D10:D138,K10:K138)</f>
        <v>0.56628917807389745</v>
      </c>
      <c r="E155" s="212">
        <f>PEARSON(E10:E138,K10:K138)</f>
        <v>0.60548424134303591</v>
      </c>
      <c r="F155" s="101">
        <f>PEARSON(F10:F138,K10:K138)</f>
        <v>0.6005012480584373</v>
      </c>
      <c r="G155" s="189"/>
      <c r="H155" s="190">
        <f>PEARSON(H10:H138,K10:K138)</f>
        <v>0.56867378926684076</v>
      </c>
      <c r="I155" s="169"/>
      <c r="J155" s="189"/>
      <c r="K155" s="111" t="s">
        <v>60</v>
      </c>
      <c r="L155" s="169"/>
      <c r="M155" s="189"/>
      <c r="N155" s="190">
        <f>PEARSON(N10:N138,K10:K138)</f>
        <v>0.74862245765724433</v>
      </c>
      <c r="O155" s="169"/>
      <c r="P155" s="189"/>
      <c r="Q155" s="190">
        <f>PEARSON(Q10:Q138,H10:H138)</f>
        <v>0.60555958241292651</v>
      </c>
      <c r="R155" s="169"/>
      <c r="S155" s="162"/>
      <c r="T155" s="188">
        <f>PEARSON(T10:T138,K10:K138)</f>
        <v>0.61626044996502516</v>
      </c>
      <c r="U155" s="169"/>
      <c r="V155" s="189"/>
      <c r="W155" s="2"/>
      <c r="AC155" s="80"/>
    </row>
    <row r="156" spans="1:29">
      <c r="A156" s="44"/>
      <c r="B156" s="44"/>
      <c r="C156" s="211" t="s">
        <v>449</v>
      </c>
      <c r="D156" s="204">
        <f>PEARSON(D10:D138,N10:N138)</f>
        <v>0.60691256339177657</v>
      </c>
      <c r="E156" s="212">
        <f>PEARSON(E10:E138,N10:N138)</f>
        <v>0.6546586536539527</v>
      </c>
      <c r="F156" s="101">
        <f>PEARSON(F10:F138,N10:N138)</f>
        <v>0.64656290794004911</v>
      </c>
      <c r="G156" s="189"/>
      <c r="H156" s="190">
        <f>PEARSON(H10:H138,N10:N138)</f>
        <v>0.63649510295867007</v>
      </c>
      <c r="I156" s="169"/>
      <c r="J156" s="189"/>
      <c r="K156" s="190">
        <f>PEARSON(K10:K138,N10:N138)</f>
        <v>0.74862245765724433</v>
      </c>
      <c r="L156" s="169"/>
      <c r="M156" s="189"/>
      <c r="N156" s="111" t="s">
        <v>60</v>
      </c>
      <c r="O156" s="169"/>
      <c r="P156" s="189"/>
      <c r="Q156" s="190">
        <f>PEARSON(Q10:Q138,K10:K138)</f>
        <v>0.70619653827593498</v>
      </c>
      <c r="R156" s="169"/>
      <c r="S156" s="162"/>
      <c r="T156" s="188">
        <f>PEARSON(T10:T138,N10:N138)</f>
        <v>0.57493908871558108</v>
      </c>
      <c r="U156" s="169"/>
      <c r="V156" s="189"/>
      <c r="W156" s="2"/>
      <c r="AC156" s="80"/>
    </row>
    <row r="157" spans="1:29">
      <c r="A157" s="44"/>
      <c r="B157" s="44"/>
      <c r="C157" s="211" t="s">
        <v>485</v>
      </c>
      <c r="D157" s="204">
        <f>PEARSON(D10:D138,Q10:Q138)</f>
        <v>0.45961765343578154</v>
      </c>
      <c r="E157" s="212">
        <f>PEARSON(E10:E138,Q10:Q138)</f>
        <v>0.49724061389889135</v>
      </c>
      <c r="F157" s="101">
        <f>PEARSON(F10:F138,Q10:Q138)</f>
        <v>0.49040654100523295</v>
      </c>
      <c r="G157" s="189"/>
      <c r="H157" s="190">
        <f>PEARSON(H10:H138,Q10:Q138)</f>
        <v>0.60555958241292651</v>
      </c>
      <c r="I157" s="169"/>
      <c r="J157" s="189"/>
      <c r="K157" s="190">
        <f>PEARSON(K10:K138,Q10:Q138)</f>
        <v>0.70619653827593498</v>
      </c>
      <c r="L157" s="169"/>
      <c r="M157" s="189"/>
      <c r="N157" s="190">
        <f>PEARSON(N10:N138,Q10:Q138)</f>
        <v>0.68661314407505514</v>
      </c>
      <c r="O157" s="169"/>
      <c r="P157" s="189"/>
      <c r="Q157" s="111" t="s">
        <v>60</v>
      </c>
      <c r="R157" s="169"/>
      <c r="S157" s="162"/>
      <c r="T157" s="188">
        <f>PEARSON(T10:T138,Q10:Q138)</f>
        <v>0.56363818695789591</v>
      </c>
      <c r="U157" s="169"/>
      <c r="V157" s="189"/>
      <c r="W157" s="2"/>
    </row>
    <row r="158" spans="1:29">
      <c r="A158" s="214"/>
      <c r="B158" s="114"/>
      <c r="C158" s="215" t="s">
        <v>453</v>
      </c>
      <c r="D158" s="216">
        <f>PEARSON(D10:D138,T10:T138)</f>
        <v>0.40283315776194156</v>
      </c>
      <c r="E158" s="217">
        <f>PEARSON(E10:E138,T10:T138)</f>
        <v>0.45503244943027105</v>
      </c>
      <c r="F158" s="218">
        <f>PEARSON(F10:F138,T10:T138)</f>
        <v>0.43981353389231864</v>
      </c>
      <c r="G158" s="219"/>
      <c r="H158" s="121">
        <f>PEARSON(H10:H138,T10:T138)</f>
        <v>0.44131900851204409</v>
      </c>
      <c r="I158" s="220"/>
      <c r="J158" s="219"/>
      <c r="K158" s="121">
        <f>PEARSON(K10:K138,T10:T138)</f>
        <v>0.61626044996502516</v>
      </c>
      <c r="L158" s="220"/>
      <c r="M158" s="219"/>
      <c r="N158" s="121">
        <f>PEARSON(N10:N138,T10:T138)</f>
        <v>0.57493908871558108</v>
      </c>
      <c r="O158" s="220"/>
      <c r="P158" s="219"/>
      <c r="Q158" s="121">
        <f>PEARSON(Q10:Q138,T10:T138)</f>
        <v>0.56363818695789591</v>
      </c>
      <c r="R158" s="220"/>
      <c r="S158" s="221"/>
      <c r="T158" s="222" t="s">
        <v>60</v>
      </c>
      <c r="U158" s="220"/>
      <c r="V158" s="219"/>
      <c r="W158" s="2"/>
      <c r="AC158" s="80"/>
    </row>
    <row r="159" spans="1:29">
      <c r="A159" s="2"/>
      <c r="B159" s="2"/>
      <c r="C159" s="2"/>
      <c r="D159" s="2"/>
      <c r="E159" s="2"/>
      <c r="F159" s="2"/>
      <c r="G159" s="2"/>
      <c r="H159" s="29"/>
      <c r="I159" s="2"/>
      <c r="J159" s="34"/>
      <c r="K159" s="29"/>
      <c r="L159" s="2"/>
      <c r="M159" s="34"/>
      <c r="N159" s="29"/>
      <c r="O159" s="2"/>
      <c r="P159" s="34"/>
      <c r="Q159" s="29"/>
      <c r="R159" s="2"/>
      <c r="S159" s="34"/>
      <c r="T159" s="161"/>
      <c r="U159" s="19"/>
      <c r="V159" s="162"/>
      <c r="W159" s="2"/>
    </row>
    <row r="160" spans="1:29">
      <c r="A160" s="130"/>
      <c r="B160" s="131"/>
      <c r="C160" s="130"/>
      <c r="D160" s="130"/>
      <c r="E160" s="130"/>
      <c r="F160" s="130"/>
      <c r="G160" s="130"/>
      <c r="H160" s="132"/>
      <c r="I160" s="130"/>
      <c r="J160" s="133"/>
      <c r="K160" s="132"/>
      <c r="L160" s="130"/>
      <c r="M160" s="133"/>
      <c r="N160" s="132"/>
      <c r="O160" s="130"/>
      <c r="P160" s="133"/>
      <c r="Q160" s="132"/>
      <c r="R160" s="130"/>
      <c r="S160" s="133"/>
      <c r="T160" s="223"/>
      <c r="U160" s="224"/>
      <c r="V160" s="225"/>
      <c r="W160" s="131"/>
    </row>
    <row r="161" spans="1:23" ht="18">
      <c r="A161" s="28" t="s">
        <v>486</v>
      </c>
      <c r="B161" s="2"/>
      <c r="C161" s="47"/>
      <c r="D161" s="47"/>
      <c r="E161" s="47"/>
      <c r="F161" s="47"/>
      <c r="G161" s="47"/>
      <c r="H161" s="46"/>
      <c r="I161" s="47"/>
      <c r="J161" s="48"/>
      <c r="K161" s="46"/>
      <c r="L161" s="47"/>
      <c r="M161" s="48"/>
      <c r="N161" s="46"/>
      <c r="O161" s="47"/>
      <c r="P161" s="48"/>
      <c r="Q161" s="46"/>
      <c r="R161" s="47"/>
      <c r="S161" s="48"/>
      <c r="T161" s="161"/>
      <c r="U161" s="19"/>
      <c r="V161" s="162"/>
      <c r="W161" s="2"/>
    </row>
    <row r="162" spans="1:23">
      <c r="A162" s="39" t="s">
        <v>456</v>
      </c>
      <c r="B162" s="39" t="s">
        <v>457</v>
      </c>
      <c r="C162" s="39" t="s">
        <v>458</v>
      </c>
      <c r="D162" s="40" t="s">
        <v>15</v>
      </c>
      <c r="E162" s="40" t="s">
        <v>16</v>
      </c>
      <c r="F162" s="40" t="s">
        <v>17</v>
      </c>
      <c r="G162" s="40" t="s">
        <v>487</v>
      </c>
      <c r="H162" s="41" t="s">
        <v>488</v>
      </c>
      <c r="I162" s="47"/>
      <c r="J162" s="48"/>
      <c r="K162" s="41" t="s">
        <v>489</v>
      </c>
      <c r="L162" s="47"/>
      <c r="M162" s="48"/>
      <c r="N162" s="41" t="s">
        <v>490</v>
      </c>
      <c r="O162" s="47"/>
      <c r="P162" s="48"/>
      <c r="Q162" s="41" t="s">
        <v>491</v>
      </c>
      <c r="R162" s="47"/>
      <c r="S162" s="48"/>
      <c r="T162" s="163" t="s">
        <v>492</v>
      </c>
      <c r="U162" s="19"/>
      <c r="V162" s="162"/>
      <c r="W162" s="2" t="s">
        <v>455</v>
      </c>
    </row>
    <row r="163" spans="1:23" ht="15" customHeight="1">
      <c r="A163" s="43">
        <v>1</v>
      </c>
      <c r="B163" s="43" t="s">
        <v>19</v>
      </c>
      <c r="C163" s="43" t="s">
        <v>20</v>
      </c>
      <c r="D163" s="43">
        <v>0</v>
      </c>
      <c r="E163" s="43">
        <v>0</v>
      </c>
      <c r="F163" s="226">
        <f t="shared" ref="F163:F198" si="28">SUM(D163:E163)/2</f>
        <v>0</v>
      </c>
      <c r="G163" s="47" t="s">
        <v>626</v>
      </c>
      <c r="H163" s="168">
        <v>30</v>
      </c>
      <c r="I163" s="169"/>
      <c r="J163" s="170">
        <f t="shared" ref="J163:J291" si="29">ABS(H163-F163)</f>
        <v>30</v>
      </c>
      <c r="K163" s="168">
        <v>20</v>
      </c>
      <c r="L163" s="169"/>
      <c r="M163" s="170">
        <f t="shared" ref="M163:M291" si="30">ABS(K163-F163)</f>
        <v>20</v>
      </c>
      <c r="N163" s="168">
        <v>25</v>
      </c>
      <c r="O163" s="169"/>
      <c r="P163" s="170">
        <f t="shared" ref="P163:P291" si="31">ABS(N163-F163)</f>
        <v>25</v>
      </c>
      <c r="Q163" s="168">
        <v>35</v>
      </c>
      <c r="R163" s="169"/>
      <c r="S163" s="170">
        <f t="shared" ref="S163:S291" si="32">ABS(Q163-F163)</f>
        <v>35</v>
      </c>
      <c r="T163" s="171">
        <v>20</v>
      </c>
      <c r="U163" s="169"/>
      <c r="V163" s="170">
        <f t="shared" ref="V163:V291" si="33">ABS(T163-F163)</f>
        <v>20</v>
      </c>
      <c r="W163" s="2"/>
    </row>
    <row r="164" spans="1:23" ht="15" customHeight="1">
      <c r="A164" s="49">
        <v>2</v>
      </c>
      <c r="B164" s="49" t="s">
        <v>19</v>
      </c>
      <c r="C164" s="49" t="s">
        <v>23</v>
      </c>
      <c r="D164" s="49">
        <v>20</v>
      </c>
      <c r="E164" s="49">
        <v>0</v>
      </c>
      <c r="F164" s="50">
        <f t="shared" si="28"/>
        <v>10</v>
      </c>
      <c r="G164" s="47" t="s">
        <v>627</v>
      </c>
      <c r="H164" s="168">
        <v>30</v>
      </c>
      <c r="I164" s="169"/>
      <c r="J164" s="170">
        <f t="shared" si="29"/>
        <v>20</v>
      </c>
      <c r="K164" s="168">
        <v>20</v>
      </c>
      <c r="L164" s="169"/>
      <c r="M164" s="170">
        <f t="shared" si="30"/>
        <v>10</v>
      </c>
      <c r="N164" s="168">
        <v>20</v>
      </c>
      <c r="O164" s="169"/>
      <c r="P164" s="170">
        <f t="shared" si="31"/>
        <v>10</v>
      </c>
      <c r="Q164" s="168">
        <v>25</v>
      </c>
      <c r="R164" s="169"/>
      <c r="S164" s="170">
        <f t="shared" si="32"/>
        <v>15</v>
      </c>
      <c r="T164" s="171">
        <v>30</v>
      </c>
      <c r="U164" s="169"/>
      <c r="V164" s="170">
        <f t="shared" si="33"/>
        <v>20</v>
      </c>
      <c r="W164" s="2"/>
    </row>
    <row r="165" spans="1:23" ht="15" customHeight="1">
      <c r="A165" s="49">
        <v>3</v>
      </c>
      <c r="B165" s="49" t="s">
        <v>19</v>
      </c>
      <c r="C165" s="49" t="s">
        <v>26</v>
      </c>
      <c r="D165" s="49">
        <v>20</v>
      </c>
      <c r="E165" s="49">
        <v>15</v>
      </c>
      <c r="F165" s="50">
        <f t="shared" si="28"/>
        <v>17.5</v>
      </c>
      <c r="G165" s="47" t="s">
        <v>628</v>
      </c>
      <c r="H165" s="168">
        <v>20</v>
      </c>
      <c r="I165" s="169"/>
      <c r="J165" s="170">
        <f t="shared" si="29"/>
        <v>2.5</v>
      </c>
      <c r="K165" s="168">
        <v>20</v>
      </c>
      <c r="L165" s="169"/>
      <c r="M165" s="170">
        <f t="shared" si="30"/>
        <v>2.5</v>
      </c>
      <c r="N165" s="168">
        <v>20</v>
      </c>
      <c r="O165" s="169"/>
      <c r="P165" s="170">
        <f t="shared" si="31"/>
        <v>2.5</v>
      </c>
      <c r="Q165" s="168">
        <v>25</v>
      </c>
      <c r="R165" s="169"/>
      <c r="S165" s="170">
        <f t="shared" si="32"/>
        <v>7.5</v>
      </c>
      <c r="T165" s="171">
        <v>20</v>
      </c>
      <c r="U165" s="169"/>
      <c r="V165" s="170">
        <f t="shared" si="33"/>
        <v>2.5</v>
      </c>
      <c r="W165" s="2"/>
    </row>
    <row r="166" spans="1:23" ht="15" customHeight="1">
      <c r="A166" s="51">
        <v>4</v>
      </c>
      <c r="B166" s="49" t="s">
        <v>19</v>
      </c>
      <c r="C166" s="50" t="s">
        <v>29</v>
      </c>
      <c r="D166" s="49">
        <v>40</v>
      </c>
      <c r="E166" s="49">
        <v>30</v>
      </c>
      <c r="F166" s="50">
        <f t="shared" si="28"/>
        <v>35</v>
      </c>
      <c r="G166" s="47" t="s">
        <v>629</v>
      </c>
      <c r="H166" s="168">
        <v>30</v>
      </c>
      <c r="I166" s="169"/>
      <c r="J166" s="170">
        <f t="shared" si="29"/>
        <v>5</v>
      </c>
      <c r="K166" s="168">
        <v>30</v>
      </c>
      <c r="L166" s="169"/>
      <c r="M166" s="170">
        <f t="shared" si="30"/>
        <v>5</v>
      </c>
      <c r="N166" s="168">
        <v>40</v>
      </c>
      <c r="O166" s="169"/>
      <c r="P166" s="170">
        <f t="shared" si="31"/>
        <v>5</v>
      </c>
      <c r="Q166" s="168">
        <v>30</v>
      </c>
      <c r="R166" s="169"/>
      <c r="S166" s="170">
        <f t="shared" si="32"/>
        <v>5</v>
      </c>
      <c r="T166" s="171">
        <v>40</v>
      </c>
      <c r="U166" s="169"/>
      <c r="V166" s="170">
        <f t="shared" si="33"/>
        <v>5</v>
      </c>
      <c r="W166" s="2"/>
    </row>
    <row r="167" spans="1:23" ht="15" customHeight="1">
      <c r="A167" s="49">
        <v>5</v>
      </c>
      <c r="B167" s="49" t="s">
        <v>19</v>
      </c>
      <c r="C167" s="49" t="s">
        <v>32</v>
      </c>
      <c r="D167" s="49">
        <v>5</v>
      </c>
      <c r="E167" s="49">
        <v>10</v>
      </c>
      <c r="F167" s="50">
        <f t="shared" si="28"/>
        <v>7.5</v>
      </c>
      <c r="G167" s="47" t="s">
        <v>630</v>
      </c>
      <c r="H167" s="168">
        <v>10</v>
      </c>
      <c r="I167" s="169"/>
      <c r="J167" s="170">
        <f t="shared" si="29"/>
        <v>2.5</v>
      </c>
      <c r="K167" s="171">
        <v>25</v>
      </c>
      <c r="L167" s="169"/>
      <c r="M167" s="170">
        <f t="shared" si="30"/>
        <v>17.5</v>
      </c>
      <c r="N167" s="171">
        <v>10</v>
      </c>
      <c r="O167" s="169"/>
      <c r="P167" s="170">
        <f t="shared" si="31"/>
        <v>2.5</v>
      </c>
      <c r="Q167" s="171">
        <v>25</v>
      </c>
      <c r="R167" s="169"/>
      <c r="S167" s="170">
        <f t="shared" si="32"/>
        <v>17.5</v>
      </c>
      <c r="T167" s="171">
        <v>20</v>
      </c>
      <c r="U167" s="169"/>
      <c r="V167" s="170">
        <f t="shared" si="33"/>
        <v>12.5</v>
      </c>
      <c r="W167" s="2"/>
    </row>
    <row r="168" spans="1:23" ht="15" customHeight="1">
      <c r="A168" s="49">
        <v>6</v>
      </c>
      <c r="B168" s="50" t="s">
        <v>19</v>
      </c>
      <c r="C168" s="50" t="s">
        <v>35</v>
      </c>
      <c r="D168" s="49">
        <v>5</v>
      </c>
      <c r="E168" s="49">
        <v>10</v>
      </c>
      <c r="F168" s="50">
        <f t="shared" si="28"/>
        <v>7.5</v>
      </c>
      <c r="G168" s="47" t="s">
        <v>631</v>
      </c>
      <c r="H168" s="168">
        <v>30</v>
      </c>
      <c r="I168" s="169"/>
      <c r="J168" s="170">
        <f t="shared" si="29"/>
        <v>22.5</v>
      </c>
      <c r="K168" s="168">
        <v>20</v>
      </c>
      <c r="L168" s="169"/>
      <c r="M168" s="170">
        <f t="shared" si="30"/>
        <v>12.5</v>
      </c>
      <c r="N168" s="168">
        <v>20</v>
      </c>
      <c r="O168" s="169"/>
      <c r="P168" s="170">
        <f t="shared" si="31"/>
        <v>12.5</v>
      </c>
      <c r="Q168" s="168">
        <v>25</v>
      </c>
      <c r="R168" s="169"/>
      <c r="S168" s="170">
        <f t="shared" si="32"/>
        <v>17.5</v>
      </c>
      <c r="T168" s="171">
        <v>20</v>
      </c>
      <c r="U168" s="169"/>
      <c r="V168" s="170">
        <f t="shared" si="33"/>
        <v>12.5</v>
      </c>
      <c r="W168" s="2"/>
    </row>
    <row r="169" spans="1:23" ht="15" customHeight="1">
      <c r="A169" s="43">
        <v>7</v>
      </c>
      <c r="B169" s="49" t="s">
        <v>19</v>
      </c>
      <c r="C169" s="49" t="s">
        <v>37</v>
      </c>
      <c r="D169" s="49">
        <v>15</v>
      </c>
      <c r="E169" s="49">
        <v>15</v>
      </c>
      <c r="F169" s="50">
        <f t="shared" si="28"/>
        <v>15</v>
      </c>
      <c r="G169" s="47" t="s">
        <v>632</v>
      </c>
      <c r="H169" s="168">
        <v>30</v>
      </c>
      <c r="I169" s="169"/>
      <c r="J169" s="170">
        <f t="shared" si="29"/>
        <v>15</v>
      </c>
      <c r="K169" s="168">
        <v>25</v>
      </c>
      <c r="L169" s="169"/>
      <c r="M169" s="170">
        <f t="shared" si="30"/>
        <v>10</v>
      </c>
      <c r="N169" s="168">
        <v>30</v>
      </c>
      <c r="O169" s="169"/>
      <c r="P169" s="170">
        <f t="shared" si="31"/>
        <v>15</v>
      </c>
      <c r="Q169" s="168">
        <v>30</v>
      </c>
      <c r="R169" s="169"/>
      <c r="S169" s="170">
        <f t="shared" si="32"/>
        <v>15</v>
      </c>
      <c r="T169" s="171">
        <v>35</v>
      </c>
      <c r="U169" s="169"/>
      <c r="V169" s="170">
        <f t="shared" si="33"/>
        <v>20</v>
      </c>
      <c r="W169" s="2"/>
    </row>
    <row r="170" spans="1:23" ht="15" customHeight="1">
      <c r="A170" s="49">
        <v>8</v>
      </c>
      <c r="B170" s="49" t="s">
        <v>19</v>
      </c>
      <c r="C170" s="50" t="s">
        <v>40</v>
      </c>
      <c r="D170" s="49">
        <v>25</v>
      </c>
      <c r="E170" s="49">
        <v>10</v>
      </c>
      <c r="F170" s="50">
        <f t="shared" si="28"/>
        <v>17.5</v>
      </c>
      <c r="G170" s="47" t="s">
        <v>633</v>
      </c>
      <c r="H170" s="168">
        <v>30</v>
      </c>
      <c r="I170" s="169"/>
      <c r="J170" s="170">
        <f t="shared" si="29"/>
        <v>12.5</v>
      </c>
      <c r="K170" s="168">
        <v>15</v>
      </c>
      <c r="L170" s="169"/>
      <c r="M170" s="170">
        <f t="shared" si="30"/>
        <v>2.5</v>
      </c>
      <c r="N170" s="168">
        <v>35</v>
      </c>
      <c r="O170" s="169"/>
      <c r="P170" s="170">
        <f t="shared" si="31"/>
        <v>17.5</v>
      </c>
      <c r="Q170" s="168">
        <v>25</v>
      </c>
      <c r="R170" s="169"/>
      <c r="S170" s="170">
        <f t="shared" si="32"/>
        <v>7.5</v>
      </c>
      <c r="T170" s="171">
        <v>35</v>
      </c>
      <c r="U170" s="169"/>
      <c r="V170" s="170">
        <f t="shared" si="33"/>
        <v>17.5</v>
      </c>
      <c r="W170" s="2"/>
    </row>
    <row r="171" spans="1:23" ht="15" customHeight="1">
      <c r="A171" s="49">
        <v>9</v>
      </c>
      <c r="B171" s="49" t="s">
        <v>19</v>
      </c>
      <c r="C171" s="49" t="s">
        <v>43</v>
      </c>
      <c r="D171" s="49">
        <v>25</v>
      </c>
      <c r="E171" s="49">
        <v>25</v>
      </c>
      <c r="F171" s="50">
        <f t="shared" si="28"/>
        <v>25</v>
      </c>
      <c r="G171" s="47" t="s">
        <v>634</v>
      </c>
      <c r="H171" s="168">
        <v>30</v>
      </c>
      <c r="I171" s="169"/>
      <c r="J171" s="170">
        <f t="shared" si="29"/>
        <v>5</v>
      </c>
      <c r="K171" s="168">
        <v>25</v>
      </c>
      <c r="L171" s="169"/>
      <c r="M171" s="170">
        <f t="shared" si="30"/>
        <v>0</v>
      </c>
      <c r="N171" s="168">
        <v>30</v>
      </c>
      <c r="O171" s="169"/>
      <c r="P171" s="170">
        <f t="shared" si="31"/>
        <v>5</v>
      </c>
      <c r="Q171" s="168">
        <v>35</v>
      </c>
      <c r="R171" s="169"/>
      <c r="S171" s="170">
        <f t="shared" si="32"/>
        <v>10</v>
      </c>
      <c r="T171" s="171">
        <v>25</v>
      </c>
      <c r="U171" s="169"/>
      <c r="V171" s="170">
        <f t="shared" si="33"/>
        <v>0</v>
      </c>
      <c r="W171" s="2"/>
    </row>
    <row r="172" spans="1:23" ht="15" customHeight="1">
      <c r="A172" s="51">
        <v>10</v>
      </c>
      <c r="B172" s="49" t="s">
        <v>19</v>
      </c>
      <c r="C172" s="49" t="s">
        <v>46</v>
      </c>
      <c r="D172" s="49">
        <v>40</v>
      </c>
      <c r="E172" s="49">
        <v>40</v>
      </c>
      <c r="F172" s="50">
        <f t="shared" si="28"/>
        <v>40</v>
      </c>
      <c r="G172" s="47" t="s">
        <v>635</v>
      </c>
      <c r="H172" s="168">
        <v>40</v>
      </c>
      <c r="I172" s="169"/>
      <c r="J172" s="170">
        <f t="shared" si="29"/>
        <v>0</v>
      </c>
      <c r="K172" s="168">
        <v>40</v>
      </c>
      <c r="L172" s="169"/>
      <c r="M172" s="170">
        <f t="shared" si="30"/>
        <v>0</v>
      </c>
      <c r="N172" s="168">
        <v>40</v>
      </c>
      <c r="O172" s="169"/>
      <c r="P172" s="170">
        <f t="shared" si="31"/>
        <v>0</v>
      </c>
      <c r="Q172" s="168">
        <v>40</v>
      </c>
      <c r="R172" s="169"/>
      <c r="S172" s="170">
        <f t="shared" si="32"/>
        <v>0</v>
      </c>
      <c r="T172" s="171">
        <v>40</v>
      </c>
      <c r="U172" s="169"/>
      <c r="V172" s="170">
        <f t="shared" si="33"/>
        <v>0</v>
      </c>
      <c r="W172" s="2"/>
    </row>
    <row r="173" spans="1:23" ht="15" customHeight="1">
      <c r="A173" s="49">
        <v>11</v>
      </c>
      <c r="B173" s="50" t="s">
        <v>19</v>
      </c>
      <c r="C173" s="49" t="s">
        <v>49</v>
      </c>
      <c r="D173" s="49">
        <v>0</v>
      </c>
      <c r="E173" s="49">
        <v>0</v>
      </c>
      <c r="F173" s="50">
        <f t="shared" si="28"/>
        <v>0</v>
      </c>
      <c r="G173" s="47" t="s">
        <v>636</v>
      </c>
      <c r="H173" s="168">
        <v>30</v>
      </c>
      <c r="I173" s="169"/>
      <c r="J173" s="170">
        <f t="shared" si="29"/>
        <v>30</v>
      </c>
      <c r="K173" s="168">
        <v>20</v>
      </c>
      <c r="L173" s="169"/>
      <c r="M173" s="170">
        <f t="shared" si="30"/>
        <v>20</v>
      </c>
      <c r="N173" s="168">
        <v>20</v>
      </c>
      <c r="O173" s="169"/>
      <c r="P173" s="170">
        <f t="shared" si="31"/>
        <v>20</v>
      </c>
      <c r="Q173" s="168">
        <v>25</v>
      </c>
      <c r="R173" s="169"/>
      <c r="S173" s="170">
        <f t="shared" si="32"/>
        <v>25</v>
      </c>
      <c r="T173" s="171">
        <v>20</v>
      </c>
      <c r="U173" s="169"/>
      <c r="V173" s="170">
        <f t="shared" si="33"/>
        <v>20</v>
      </c>
      <c r="W173" s="2"/>
    </row>
    <row r="174" spans="1:23" ht="15" customHeight="1">
      <c r="A174" s="49">
        <v>12</v>
      </c>
      <c r="B174" s="49" t="s">
        <v>19</v>
      </c>
      <c r="C174" s="49" t="s">
        <v>52</v>
      </c>
      <c r="D174" s="49">
        <v>40</v>
      </c>
      <c r="E174" s="49">
        <v>40</v>
      </c>
      <c r="F174" s="50">
        <f t="shared" si="28"/>
        <v>40</v>
      </c>
      <c r="G174" s="47" t="s">
        <v>637</v>
      </c>
      <c r="H174" s="168">
        <v>30</v>
      </c>
      <c r="I174" s="169"/>
      <c r="J174" s="170">
        <f t="shared" si="29"/>
        <v>10</v>
      </c>
      <c r="K174" s="168">
        <v>40</v>
      </c>
      <c r="L174" s="169"/>
      <c r="M174" s="170">
        <f t="shared" si="30"/>
        <v>0</v>
      </c>
      <c r="N174" s="168">
        <v>40</v>
      </c>
      <c r="O174" s="169"/>
      <c r="P174" s="170">
        <f t="shared" si="31"/>
        <v>0</v>
      </c>
      <c r="Q174" s="168">
        <v>35</v>
      </c>
      <c r="R174" s="169"/>
      <c r="S174" s="170">
        <f t="shared" si="32"/>
        <v>5</v>
      </c>
      <c r="T174" s="171">
        <v>40</v>
      </c>
      <c r="U174" s="169"/>
      <c r="V174" s="170">
        <f t="shared" si="33"/>
        <v>0</v>
      </c>
      <c r="W174" s="2"/>
    </row>
    <row r="175" spans="1:23" ht="15" customHeight="1">
      <c r="A175" s="43">
        <v>13</v>
      </c>
      <c r="B175" s="50" t="s">
        <v>19</v>
      </c>
      <c r="C175" s="50" t="s">
        <v>55</v>
      </c>
      <c r="D175" s="49">
        <v>0</v>
      </c>
      <c r="E175" s="49">
        <v>10</v>
      </c>
      <c r="F175" s="50">
        <f t="shared" si="28"/>
        <v>5</v>
      </c>
      <c r="G175" s="47" t="s">
        <v>638</v>
      </c>
      <c r="H175" s="168">
        <v>20</v>
      </c>
      <c r="I175" s="169"/>
      <c r="J175" s="170">
        <f t="shared" si="29"/>
        <v>15</v>
      </c>
      <c r="K175" s="168">
        <v>20</v>
      </c>
      <c r="L175" s="169"/>
      <c r="M175" s="170">
        <f t="shared" si="30"/>
        <v>15</v>
      </c>
      <c r="N175" s="168">
        <v>20</v>
      </c>
      <c r="O175" s="169"/>
      <c r="P175" s="170">
        <f t="shared" si="31"/>
        <v>15</v>
      </c>
      <c r="Q175" s="168">
        <v>20</v>
      </c>
      <c r="R175" s="169"/>
      <c r="S175" s="170">
        <f t="shared" si="32"/>
        <v>15</v>
      </c>
      <c r="T175" s="171">
        <v>20</v>
      </c>
      <c r="U175" s="169"/>
      <c r="V175" s="170">
        <f t="shared" si="33"/>
        <v>15</v>
      </c>
      <c r="W175" s="2"/>
    </row>
    <row r="176" spans="1:23" ht="15" customHeight="1">
      <c r="A176" s="49">
        <v>15</v>
      </c>
      <c r="B176" s="50" t="s">
        <v>19</v>
      </c>
      <c r="C176" s="49" t="s">
        <v>61</v>
      </c>
      <c r="D176" s="49">
        <v>27</v>
      </c>
      <c r="E176" s="49">
        <v>25</v>
      </c>
      <c r="F176" s="50">
        <f t="shared" si="28"/>
        <v>26</v>
      </c>
      <c r="G176" s="47" t="s">
        <v>639</v>
      </c>
      <c r="H176" s="168">
        <v>30</v>
      </c>
      <c r="I176" s="169"/>
      <c r="J176" s="170">
        <f t="shared" si="29"/>
        <v>4</v>
      </c>
      <c r="K176" s="168">
        <v>30</v>
      </c>
      <c r="L176" s="169"/>
      <c r="M176" s="170">
        <f t="shared" si="30"/>
        <v>4</v>
      </c>
      <c r="N176" s="168">
        <v>35</v>
      </c>
      <c r="O176" s="169"/>
      <c r="P176" s="170">
        <f t="shared" si="31"/>
        <v>9</v>
      </c>
      <c r="Q176" s="168">
        <v>35</v>
      </c>
      <c r="R176" s="169"/>
      <c r="S176" s="170">
        <f t="shared" si="32"/>
        <v>9</v>
      </c>
      <c r="T176" s="171">
        <v>25</v>
      </c>
      <c r="U176" s="169"/>
      <c r="V176" s="170">
        <f t="shared" si="33"/>
        <v>1</v>
      </c>
      <c r="W176" s="2"/>
    </row>
    <row r="177" spans="1:23" ht="15" customHeight="1">
      <c r="A177" s="43">
        <v>16</v>
      </c>
      <c r="B177" s="50" t="s">
        <v>19</v>
      </c>
      <c r="C177" s="50" t="s">
        <v>64</v>
      </c>
      <c r="D177" s="49">
        <v>38</v>
      </c>
      <c r="E177" s="49">
        <v>35</v>
      </c>
      <c r="F177" s="50">
        <f t="shared" si="28"/>
        <v>36.5</v>
      </c>
      <c r="G177" s="47" t="s">
        <v>640</v>
      </c>
      <c r="H177" s="168">
        <v>30</v>
      </c>
      <c r="I177" s="169"/>
      <c r="J177" s="170">
        <f t="shared" si="29"/>
        <v>6.5</v>
      </c>
      <c r="K177" s="168">
        <v>40</v>
      </c>
      <c r="L177" s="169"/>
      <c r="M177" s="170">
        <f t="shared" si="30"/>
        <v>3.5</v>
      </c>
      <c r="N177" s="168">
        <v>40</v>
      </c>
      <c r="O177" s="169"/>
      <c r="P177" s="170">
        <f t="shared" si="31"/>
        <v>3.5</v>
      </c>
      <c r="Q177" s="168">
        <v>35</v>
      </c>
      <c r="R177" s="169"/>
      <c r="S177" s="170">
        <f t="shared" si="32"/>
        <v>1.5</v>
      </c>
      <c r="T177" s="171">
        <v>40</v>
      </c>
      <c r="U177" s="169"/>
      <c r="V177" s="170">
        <f t="shared" si="33"/>
        <v>3.5</v>
      </c>
      <c r="W177" s="2"/>
    </row>
    <row r="178" spans="1:23" ht="15" customHeight="1">
      <c r="A178" s="49">
        <v>17</v>
      </c>
      <c r="B178" s="50" t="s">
        <v>19</v>
      </c>
      <c r="C178" s="50" t="s">
        <v>67</v>
      </c>
      <c r="D178" s="49">
        <v>20</v>
      </c>
      <c r="E178" s="49">
        <v>20</v>
      </c>
      <c r="F178" s="50">
        <f t="shared" si="28"/>
        <v>20</v>
      </c>
      <c r="G178" s="47" t="s">
        <v>641</v>
      </c>
      <c r="H178" s="168">
        <v>30</v>
      </c>
      <c r="I178" s="169"/>
      <c r="J178" s="170">
        <f t="shared" si="29"/>
        <v>10</v>
      </c>
      <c r="K178" s="168">
        <v>35</v>
      </c>
      <c r="L178" s="169"/>
      <c r="M178" s="170">
        <f t="shared" si="30"/>
        <v>15</v>
      </c>
      <c r="N178" s="168">
        <v>35</v>
      </c>
      <c r="O178" s="169"/>
      <c r="P178" s="170">
        <f t="shared" si="31"/>
        <v>15</v>
      </c>
      <c r="Q178" s="168">
        <v>35</v>
      </c>
      <c r="R178" s="169"/>
      <c r="S178" s="170">
        <f t="shared" si="32"/>
        <v>15</v>
      </c>
      <c r="T178" s="171">
        <v>40</v>
      </c>
      <c r="U178" s="169"/>
      <c r="V178" s="170">
        <f t="shared" si="33"/>
        <v>20</v>
      </c>
      <c r="W178" s="2"/>
    </row>
    <row r="179" spans="1:23" ht="15" customHeight="1">
      <c r="A179" s="49">
        <v>18</v>
      </c>
      <c r="B179" s="50" t="s">
        <v>19</v>
      </c>
      <c r="C179" s="49" t="s">
        <v>70</v>
      </c>
      <c r="D179" s="49">
        <v>10</v>
      </c>
      <c r="E179" s="49">
        <v>15</v>
      </c>
      <c r="F179" s="50">
        <f t="shared" si="28"/>
        <v>12.5</v>
      </c>
      <c r="G179" s="47" t="s">
        <v>642</v>
      </c>
      <c r="H179" s="168">
        <v>30</v>
      </c>
      <c r="I179" s="169"/>
      <c r="J179" s="170">
        <f t="shared" si="29"/>
        <v>17.5</v>
      </c>
      <c r="K179" s="168">
        <v>25</v>
      </c>
      <c r="L179" s="169"/>
      <c r="M179" s="170">
        <f t="shared" si="30"/>
        <v>12.5</v>
      </c>
      <c r="N179" s="168">
        <v>30</v>
      </c>
      <c r="O179" s="169"/>
      <c r="P179" s="170">
        <f t="shared" si="31"/>
        <v>17.5</v>
      </c>
      <c r="Q179" s="168">
        <v>25</v>
      </c>
      <c r="R179" s="169"/>
      <c r="S179" s="170">
        <f t="shared" si="32"/>
        <v>12.5</v>
      </c>
      <c r="T179" s="171">
        <v>35</v>
      </c>
      <c r="U179" s="169"/>
      <c r="V179" s="170">
        <f t="shared" si="33"/>
        <v>22.5</v>
      </c>
      <c r="W179" s="2"/>
    </row>
    <row r="180" spans="1:23" ht="15" customHeight="1">
      <c r="A180" s="51">
        <v>19</v>
      </c>
      <c r="B180" s="50" t="s">
        <v>19</v>
      </c>
      <c r="C180" s="50" t="s">
        <v>73</v>
      </c>
      <c r="D180" s="49">
        <v>20</v>
      </c>
      <c r="E180" s="49">
        <v>0</v>
      </c>
      <c r="F180" s="50">
        <f t="shared" si="28"/>
        <v>10</v>
      </c>
      <c r="G180" s="47" t="s">
        <v>643</v>
      </c>
      <c r="H180" s="168">
        <v>20</v>
      </c>
      <c r="I180" s="169"/>
      <c r="J180" s="170">
        <f t="shared" si="29"/>
        <v>10</v>
      </c>
      <c r="K180" s="168">
        <v>20</v>
      </c>
      <c r="L180" s="169"/>
      <c r="M180" s="170">
        <f t="shared" si="30"/>
        <v>10</v>
      </c>
      <c r="N180" s="168">
        <v>20</v>
      </c>
      <c r="O180" s="169"/>
      <c r="P180" s="170">
        <f t="shared" si="31"/>
        <v>10</v>
      </c>
      <c r="Q180" s="168">
        <v>25</v>
      </c>
      <c r="R180" s="169"/>
      <c r="S180" s="170">
        <f t="shared" si="32"/>
        <v>15</v>
      </c>
      <c r="T180" s="171">
        <v>20</v>
      </c>
      <c r="U180" s="169"/>
      <c r="V180" s="170">
        <f t="shared" si="33"/>
        <v>10</v>
      </c>
      <c r="W180" s="2"/>
    </row>
    <row r="181" spans="1:23" ht="15" customHeight="1">
      <c r="A181" s="49">
        <v>20</v>
      </c>
      <c r="B181" s="50" t="s">
        <v>19</v>
      </c>
      <c r="C181" s="50" t="s">
        <v>76</v>
      </c>
      <c r="D181" s="49">
        <v>30</v>
      </c>
      <c r="E181" s="49">
        <v>25</v>
      </c>
      <c r="F181" s="50">
        <f t="shared" si="28"/>
        <v>27.5</v>
      </c>
      <c r="G181" s="47" t="s">
        <v>644</v>
      </c>
      <c r="H181" s="168">
        <v>30</v>
      </c>
      <c r="I181" s="169"/>
      <c r="J181" s="170">
        <f t="shared" si="29"/>
        <v>2.5</v>
      </c>
      <c r="K181" s="168">
        <v>40</v>
      </c>
      <c r="L181" s="169"/>
      <c r="M181" s="170">
        <f t="shared" si="30"/>
        <v>12.5</v>
      </c>
      <c r="N181" s="168">
        <v>30</v>
      </c>
      <c r="O181" s="169"/>
      <c r="P181" s="170">
        <f t="shared" si="31"/>
        <v>2.5</v>
      </c>
      <c r="Q181" s="168">
        <v>35</v>
      </c>
      <c r="R181" s="169"/>
      <c r="S181" s="170">
        <f t="shared" si="32"/>
        <v>7.5</v>
      </c>
      <c r="T181" s="171">
        <v>35</v>
      </c>
      <c r="U181" s="169"/>
      <c r="V181" s="170">
        <f t="shared" si="33"/>
        <v>7.5</v>
      </c>
      <c r="W181" s="2"/>
    </row>
    <row r="182" spans="1:23" ht="15" customHeight="1">
      <c r="A182" s="49">
        <v>21</v>
      </c>
      <c r="B182" s="50" t="s">
        <v>19</v>
      </c>
      <c r="C182" s="50" t="s">
        <v>79</v>
      </c>
      <c r="D182" s="49">
        <v>20</v>
      </c>
      <c r="E182" s="49">
        <v>10</v>
      </c>
      <c r="F182" s="50">
        <f t="shared" si="28"/>
        <v>15</v>
      </c>
      <c r="G182" s="47" t="s">
        <v>645</v>
      </c>
      <c r="H182" s="168">
        <v>30</v>
      </c>
      <c r="I182" s="169"/>
      <c r="J182" s="170">
        <f t="shared" si="29"/>
        <v>15</v>
      </c>
      <c r="K182" s="168">
        <v>25</v>
      </c>
      <c r="L182" s="169"/>
      <c r="M182" s="170">
        <f t="shared" si="30"/>
        <v>10</v>
      </c>
      <c r="N182" s="168">
        <v>25</v>
      </c>
      <c r="O182" s="169"/>
      <c r="P182" s="170">
        <f t="shared" si="31"/>
        <v>10</v>
      </c>
      <c r="Q182" s="168">
        <v>35</v>
      </c>
      <c r="R182" s="169"/>
      <c r="S182" s="170">
        <f t="shared" si="32"/>
        <v>20</v>
      </c>
      <c r="T182" s="171">
        <v>25</v>
      </c>
      <c r="U182" s="169"/>
      <c r="V182" s="170">
        <f t="shared" si="33"/>
        <v>10</v>
      </c>
      <c r="W182" s="2"/>
    </row>
    <row r="183" spans="1:23" ht="15" customHeight="1">
      <c r="A183" s="43">
        <v>22</v>
      </c>
      <c r="B183" s="49" t="s">
        <v>19</v>
      </c>
      <c r="C183" s="50" t="s">
        <v>82</v>
      </c>
      <c r="D183" s="49">
        <v>20</v>
      </c>
      <c r="E183" s="49">
        <v>20</v>
      </c>
      <c r="F183" s="50">
        <f t="shared" si="28"/>
        <v>20</v>
      </c>
      <c r="G183" s="47" t="s">
        <v>646</v>
      </c>
      <c r="H183" s="168">
        <v>30</v>
      </c>
      <c r="I183" s="169"/>
      <c r="J183" s="170">
        <f t="shared" si="29"/>
        <v>10</v>
      </c>
      <c r="K183" s="168">
        <v>20</v>
      </c>
      <c r="L183" s="169"/>
      <c r="M183" s="170">
        <f t="shared" si="30"/>
        <v>0</v>
      </c>
      <c r="N183" s="168">
        <v>30</v>
      </c>
      <c r="O183" s="169"/>
      <c r="P183" s="170">
        <f t="shared" si="31"/>
        <v>10</v>
      </c>
      <c r="Q183" s="168">
        <v>30</v>
      </c>
      <c r="R183" s="169"/>
      <c r="S183" s="170">
        <f t="shared" si="32"/>
        <v>10</v>
      </c>
      <c r="T183" s="171">
        <v>40</v>
      </c>
      <c r="U183" s="169"/>
      <c r="V183" s="170">
        <f t="shared" si="33"/>
        <v>20</v>
      </c>
      <c r="W183" s="2"/>
    </row>
    <row r="184" spans="1:23" ht="15" customHeight="1">
      <c r="A184" s="49">
        <v>23</v>
      </c>
      <c r="B184" s="50" t="s">
        <v>19</v>
      </c>
      <c r="C184" s="50" t="s">
        <v>85</v>
      </c>
      <c r="D184" s="49">
        <v>40</v>
      </c>
      <c r="E184" s="49">
        <v>35</v>
      </c>
      <c r="F184" s="50">
        <f t="shared" si="28"/>
        <v>37.5</v>
      </c>
      <c r="G184" s="47" t="s">
        <v>647</v>
      </c>
      <c r="H184" s="168">
        <v>30</v>
      </c>
      <c r="I184" s="169"/>
      <c r="J184" s="170">
        <f t="shared" si="29"/>
        <v>7.5</v>
      </c>
      <c r="K184" s="168">
        <v>25</v>
      </c>
      <c r="L184" s="169"/>
      <c r="M184" s="170">
        <f t="shared" si="30"/>
        <v>12.5</v>
      </c>
      <c r="N184" s="168">
        <v>30</v>
      </c>
      <c r="O184" s="169"/>
      <c r="P184" s="170">
        <f t="shared" si="31"/>
        <v>7.5</v>
      </c>
      <c r="Q184" s="168">
        <v>30</v>
      </c>
      <c r="R184" s="169"/>
      <c r="S184" s="170">
        <f t="shared" si="32"/>
        <v>7.5</v>
      </c>
      <c r="T184" s="171">
        <v>40</v>
      </c>
      <c r="U184" s="169"/>
      <c r="V184" s="170">
        <f t="shared" si="33"/>
        <v>2.5</v>
      </c>
      <c r="W184" s="2"/>
    </row>
    <row r="185" spans="1:23" ht="15" customHeight="1">
      <c r="A185" s="49">
        <v>24</v>
      </c>
      <c r="B185" s="50" t="s">
        <v>19</v>
      </c>
      <c r="C185" s="50" t="s">
        <v>88</v>
      </c>
      <c r="D185" s="49">
        <v>15</v>
      </c>
      <c r="E185" s="49">
        <v>20</v>
      </c>
      <c r="F185" s="50">
        <f t="shared" si="28"/>
        <v>17.5</v>
      </c>
      <c r="G185" s="47" t="s">
        <v>648</v>
      </c>
      <c r="H185" s="168">
        <v>30</v>
      </c>
      <c r="I185" s="169"/>
      <c r="J185" s="170">
        <f t="shared" si="29"/>
        <v>12.5</v>
      </c>
      <c r="K185" s="168">
        <v>25</v>
      </c>
      <c r="L185" s="169"/>
      <c r="M185" s="170">
        <f t="shared" si="30"/>
        <v>7.5</v>
      </c>
      <c r="N185" s="168">
        <v>35</v>
      </c>
      <c r="O185" s="169"/>
      <c r="P185" s="170">
        <f t="shared" si="31"/>
        <v>17.5</v>
      </c>
      <c r="Q185" s="168">
        <v>35</v>
      </c>
      <c r="R185" s="169"/>
      <c r="S185" s="170">
        <f t="shared" si="32"/>
        <v>17.5</v>
      </c>
      <c r="T185" s="171">
        <v>35</v>
      </c>
      <c r="U185" s="169"/>
      <c r="V185" s="170">
        <f t="shared" si="33"/>
        <v>17.5</v>
      </c>
      <c r="W185" s="2"/>
    </row>
    <row r="186" spans="1:23" ht="15" customHeight="1">
      <c r="A186" s="51">
        <v>25</v>
      </c>
      <c r="B186" s="50" t="s">
        <v>19</v>
      </c>
      <c r="C186" s="49" t="s">
        <v>91</v>
      </c>
      <c r="D186" s="49">
        <v>40</v>
      </c>
      <c r="E186" s="49">
        <v>40</v>
      </c>
      <c r="F186" s="50">
        <f t="shared" si="28"/>
        <v>40</v>
      </c>
      <c r="G186" s="47" t="s">
        <v>649</v>
      </c>
      <c r="H186" s="168">
        <v>30</v>
      </c>
      <c r="I186" s="169"/>
      <c r="J186" s="170">
        <f t="shared" si="29"/>
        <v>10</v>
      </c>
      <c r="K186" s="168">
        <v>40</v>
      </c>
      <c r="L186" s="169"/>
      <c r="M186" s="170">
        <f t="shared" si="30"/>
        <v>0</v>
      </c>
      <c r="N186" s="168">
        <v>40</v>
      </c>
      <c r="O186" s="169"/>
      <c r="P186" s="170">
        <f t="shared" si="31"/>
        <v>0</v>
      </c>
      <c r="Q186" s="168">
        <v>35</v>
      </c>
      <c r="R186" s="169"/>
      <c r="S186" s="170">
        <f t="shared" si="32"/>
        <v>5</v>
      </c>
      <c r="T186" s="171">
        <v>40</v>
      </c>
      <c r="U186" s="169"/>
      <c r="V186" s="170">
        <f t="shared" si="33"/>
        <v>0</v>
      </c>
      <c r="W186" s="2"/>
    </row>
    <row r="187" spans="1:23" ht="15" customHeight="1">
      <c r="A187" s="49">
        <v>26</v>
      </c>
      <c r="B187" s="50" t="s">
        <v>19</v>
      </c>
      <c r="C187" s="49" t="s">
        <v>94</v>
      </c>
      <c r="D187" s="49">
        <v>40</v>
      </c>
      <c r="E187" s="49">
        <v>40</v>
      </c>
      <c r="F187" s="50">
        <f t="shared" si="28"/>
        <v>40</v>
      </c>
      <c r="G187" s="47" t="s">
        <v>650</v>
      </c>
      <c r="H187" s="168">
        <v>30</v>
      </c>
      <c r="I187" s="169"/>
      <c r="J187" s="170">
        <f t="shared" si="29"/>
        <v>10</v>
      </c>
      <c r="K187" s="168">
        <v>30</v>
      </c>
      <c r="L187" s="169"/>
      <c r="M187" s="170">
        <f t="shared" si="30"/>
        <v>10</v>
      </c>
      <c r="N187" s="168">
        <v>30</v>
      </c>
      <c r="O187" s="169"/>
      <c r="P187" s="170">
        <f t="shared" si="31"/>
        <v>10</v>
      </c>
      <c r="Q187" s="168">
        <v>35</v>
      </c>
      <c r="R187" s="169"/>
      <c r="S187" s="170">
        <f t="shared" si="32"/>
        <v>5</v>
      </c>
      <c r="T187" s="171">
        <v>30</v>
      </c>
      <c r="U187" s="169"/>
      <c r="V187" s="170">
        <f t="shared" si="33"/>
        <v>10</v>
      </c>
      <c r="W187" s="2"/>
    </row>
    <row r="188" spans="1:23" ht="15" customHeight="1">
      <c r="A188" s="51">
        <v>28</v>
      </c>
      <c r="B188" s="49" t="s">
        <v>19</v>
      </c>
      <c r="C188" s="50" t="s">
        <v>100</v>
      </c>
      <c r="D188" s="49">
        <v>20</v>
      </c>
      <c r="E188" s="49">
        <v>35</v>
      </c>
      <c r="F188" s="50">
        <f t="shared" si="28"/>
        <v>27.5</v>
      </c>
      <c r="G188" s="47" t="s">
        <v>651</v>
      </c>
      <c r="H188" s="168">
        <v>30</v>
      </c>
      <c r="I188" s="169"/>
      <c r="J188" s="170">
        <f t="shared" si="29"/>
        <v>2.5</v>
      </c>
      <c r="K188" s="168">
        <v>40</v>
      </c>
      <c r="L188" s="169"/>
      <c r="M188" s="170">
        <f t="shared" si="30"/>
        <v>12.5</v>
      </c>
      <c r="N188" s="168">
        <v>40</v>
      </c>
      <c r="O188" s="169"/>
      <c r="P188" s="170">
        <f t="shared" si="31"/>
        <v>12.5</v>
      </c>
      <c r="Q188" s="168">
        <v>35</v>
      </c>
      <c r="R188" s="169"/>
      <c r="S188" s="170">
        <f t="shared" si="32"/>
        <v>7.5</v>
      </c>
      <c r="T188" s="171">
        <v>35</v>
      </c>
      <c r="U188" s="169"/>
      <c r="V188" s="170">
        <f t="shared" si="33"/>
        <v>7.5</v>
      </c>
      <c r="W188" s="2"/>
    </row>
    <row r="189" spans="1:23" ht="15" customHeight="1">
      <c r="A189" s="49">
        <v>29</v>
      </c>
      <c r="B189" s="50" t="s">
        <v>19</v>
      </c>
      <c r="C189" s="49" t="s">
        <v>103</v>
      </c>
      <c r="D189" s="49">
        <v>20</v>
      </c>
      <c r="E189" s="49">
        <v>25</v>
      </c>
      <c r="F189" s="50">
        <f t="shared" si="28"/>
        <v>22.5</v>
      </c>
      <c r="G189" s="47" t="s">
        <v>652</v>
      </c>
      <c r="H189" s="168">
        <v>20</v>
      </c>
      <c r="I189" s="169"/>
      <c r="J189" s="170">
        <f t="shared" si="29"/>
        <v>2.5</v>
      </c>
      <c r="K189" s="168">
        <v>10</v>
      </c>
      <c r="L189" s="169"/>
      <c r="M189" s="170">
        <f t="shared" si="30"/>
        <v>12.5</v>
      </c>
      <c r="N189" s="168">
        <v>10</v>
      </c>
      <c r="O189" s="169"/>
      <c r="P189" s="170">
        <f t="shared" si="31"/>
        <v>12.5</v>
      </c>
      <c r="Q189" s="168">
        <v>25</v>
      </c>
      <c r="R189" s="169"/>
      <c r="S189" s="170">
        <f t="shared" si="32"/>
        <v>2.5</v>
      </c>
      <c r="T189" s="171">
        <v>15</v>
      </c>
      <c r="U189" s="169"/>
      <c r="V189" s="170">
        <f t="shared" si="33"/>
        <v>7.5</v>
      </c>
      <c r="W189" s="2"/>
    </row>
    <row r="190" spans="1:23" ht="15" customHeight="1">
      <c r="A190" s="49">
        <v>30</v>
      </c>
      <c r="B190" s="50" t="s">
        <v>19</v>
      </c>
      <c r="C190" s="49" t="s">
        <v>106</v>
      </c>
      <c r="D190" s="49">
        <v>35</v>
      </c>
      <c r="E190" s="49">
        <v>30</v>
      </c>
      <c r="F190" s="50">
        <f t="shared" si="28"/>
        <v>32.5</v>
      </c>
      <c r="G190" s="47" t="s">
        <v>653</v>
      </c>
      <c r="H190" s="168">
        <v>30</v>
      </c>
      <c r="I190" s="169"/>
      <c r="J190" s="170">
        <f t="shared" si="29"/>
        <v>2.5</v>
      </c>
      <c r="K190" s="168">
        <v>10</v>
      </c>
      <c r="L190" s="169"/>
      <c r="M190" s="170">
        <f t="shared" si="30"/>
        <v>22.5</v>
      </c>
      <c r="N190" s="168">
        <v>10</v>
      </c>
      <c r="O190" s="169"/>
      <c r="P190" s="170">
        <f t="shared" si="31"/>
        <v>22.5</v>
      </c>
      <c r="Q190" s="168">
        <v>25</v>
      </c>
      <c r="R190" s="169"/>
      <c r="S190" s="170">
        <f t="shared" si="32"/>
        <v>7.5</v>
      </c>
      <c r="T190" s="171">
        <v>15</v>
      </c>
      <c r="U190" s="169"/>
      <c r="V190" s="170">
        <f t="shared" si="33"/>
        <v>17.5</v>
      </c>
      <c r="W190" s="2"/>
    </row>
    <row r="191" spans="1:23" ht="15" customHeight="1">
      <c r="A191" s="43">
        <v>31</v>
      </c>
      <c r="B191" s="50" t="s">
        <v>19</v>
      </c>
      <c r="C191" s="49" t="s">
        <v>109</v>
      </c>
      <c r="D191" s="49">
        <v>30</v>
      </c>
      <c r="E191" s="49">
        <v>35</v>
      </c>
      <c r="F191" s="50">
        <f t="shared" si="28"/>
        <v>32.5</v>
      </c>
      <c r="G191" s="47" t="s">
        <v>654</v>
      </c>
      <c r="H191" s="168">
        <v>10</v>
      </c>
      <c r="I191" s="169"/>
      <c r="J191" s="170">
        <f t="shared" si="29"/>
        <v>22.5</v>
      </c>
      <c r="K191" s="168">
        <v>10</v>
      </c>
      <c r="L191" s="169"/>
      <c r="M191" s="170">
        <f t="shared" si="30"/>
        <v>22.5</v>
      </c>
      <c r="N191" s="168">
        <v>10</v>
      </c>
      <c r="O191" s="169"/>
      <c r="P191" s="170">
        <f t="shared" si="31"/>
        <v>22.5</v>
      </c>
      <c r="Q191" s="168">
        <v>20</v>
      </c>
      <c r="R191" s="169"/>
      <c r="S191" s="170">
        <f t="shared" si="32"/>
        <v>12.5</v>
      </c>
      <c r="T191" s="171">
        <v>20</v>
      </c>
      <c r="U191" s="169"/>
      <c r="V191" s="170">
        <f t="shared" si="33"/>
        <v>12.5</v>
      </c>
      <c r="W191" s="2"/>
    </row>
    <row r="192" spans="1:23" ht="15" customHeight="1">
      <c r="A192" s="49">
        <v>32</v>
      </c>
      <c r="B192" s="50" t="s">
        <v>19</v>
      </c>
      <c r="C192" s="49" t="s">
        <v>112</v>
      </c>
      <c r="D192" s="49">
        <v>20</v>
      </c>
      <c r="E192" s="49">
        <v>25</v>
      </c>
      <c r="F192" s="50">
        <f t="shared" si="28"/>
        <v>22.5</v>
      </c>
      <c r="G192" s="47" t="s">
        <v>655</v>
      </c>
      <c r="H192" s="168">
        <v>30</v>
      </c>
      <c r="I192" s="169"/>
      <c r="J192" s="170">
        <f t="shared" si="29"/>
        <v>7.5</v>
      </c>
      <c r="K192" s="168">
        <v>25</v>
      </c>
      <c r="L192" s="169"/>
      <c r="M192" s="170">
        <f t="shared" si="30"/>
        <v>2.5</v>
      </c>
      <c r="N192" s="168">
        <v>25</v>
      </c>
      <c r="O192" s="169"/>
      <c r="P192" s="170">
        <f t="shared" si="31"/>
        <v>2.5</v>
      </c>
      <c r="Q192" s="168">
        <v>30</v>
      </c>
      <c r="R192" s="169"/>
      <c r="S192" s="170">
        <f t="shared" si="32"/>
        <v>7.5</v>
      </c>
      <c r="T192" s="171">
        <v>35</v>
      </c>
      <c r="U192" s="169"/>
      <c r="V192" s="170">
        <f t="shared" si="33"/>
        <v>12.5</v>
      </c>
      <c r="W192" s="2"/>
    </row>
    <row r="193" spans="1:23" ht="15" customHeight="1">
      <c r="A193" s="49">
        <v>33</v>
      </c>
      <c r="B193" s="50" t="s">
        <v>19</v>
      </c>
      <c r="C193" s="50" t="s">
        <v>115</v>
      </c>
      <c r="D193" s="49">
        <v>10</v>
      </c>
      <c r="E193" s="49">
        <v>10</v>
      </c>
      <c r="F193" s="50">
        <f t="shared" si="28"/>
        <v>10</v>
      </c>
      <c r="G193" s="47" t="s">
        <v>656</v>
      </c>
      <c r="H193" s="168">
        <v>30</v>
      </c>
      <c r="I193" s="169"/>
      <c r="J193" s="170">
        <f t="shared" si="29"/>
        <v>20</v>
      </c>
      <c r="K193" s="168">
        <v>30</v>
      </c>
      <c r="L193" s="169"/>
      <c r="M193" s="170">
        <f t="shared" si="30"/>
        <v>20</v>
      </c>
      <c r="N193" s="168">
        <v>35</v>
      </c>
      <c r="O193" s="169"/>
      <c r="P193" s="170">
        <f t="shared" si="31"/>
        <v>25</v>
      </c>
      <c r="Q193" s="168">
        <v>35</v>
      </c>
      <c r="R193" s="169"/>
      <c r="S193" s="170">
        <f t="shared" si="32"/>
        <v>25</v>
      </c>
      <c r="T193" s="171">
        <v>40</v>
      </c>
      <c r="U193" s="169"/>
      <c r="V193" s="170">
        <f t="shared" si="33"/>
        <v>30</v>
      </c>
      <c r="W193" s="2"/>
    </row>
    <row r="194" spans="1:23" ht="15" customHeight="1">
      <c r="A194" s="51">
        <v>34</v>
      </c>
      <c r="B194" s="50" t="s">
        <v>19</v>
      </c>
      <c r="C194" s="49" t="s">
        <v>118</v>
      </c>
      <c r="D194" s="49">
        <v>0</v>
      </c>
      <c r="E194" s="49">
        <v>0</v>
      </c>
      <c r="F194" s="50">
        <f t="shared" si="28"/>
        <v>0</v>
      </c>
      <c r="G194" s="47" t="s">
        <v>657</v>
      </c>
      <c r="H194" s="168">
        <v>30</v>
      </c>
      <c r="I194" s="169"/>
      <c r="J194" s="170">
        <f t="shared" si="29"/>
        <v>30</v>
      </c>
      <c r="K194" s="168">
        <v>30</v>
      </c>
      <c r="L194" s="169"/>
      <c r="M194" s="170">
        <f t="shared" si="30"/>
        <v>30</v>
      </c>
      <c r="N194" s="168">
        <v>15</v>
      </c>
      <c r="O194" s="169"/>
      <c r="P194" s="170">
        <f t="shared" si="31"/>
        <v>15</v>
      </c>
      <c r="Q194" s="168">
        <v>25</v>
      </c>
      <c r="R194" s="169"/>
      <c r="S194" s="170">
        <f t="shared" si="32"/>
        <v>25</v>
      </c>
      <c r="T194" s="171">
        <v>40</v>
      </c>
      <c r="U194" s="169"/>
      <c r="V194" s="170">
        <f t="shared" si="33"/>
        <v>40</v>
      </c>
      <c r="W194" s="2"/>
    </row>
    <row r="195" spans="1:23" ht="15" customHeight="1">
      <c r="A195" s="49">
        <v>35</v>
      </c>
      <c r="B195" s="50" t="s">
        <v>19</v>
      </c>
      <c r="C195" s="50" t="s">
        <v>121</v>
      </c>
      <c r="D195" s="49">
        <v>40</v>
      </c>
      <c r="E195" s="49">
        <v>40</v>
      </c>
      <c r="F195" s="50">
        <f t="shared" si="28"/>
        <v>40</v>
      </c>
      <c r="G195" s="47" t="s">
        <v>658</v>
      </c>
      <c r="H195" s="168">
        <v>30</v>
      </c>
      <c r="I195" s="169"/>
      <c r="J195" s="170">
        <f t="shared" si="29"/>
        <v>10</v>
      </c>
      <c r="K195" s="168">
        <v>30</v>
      </c>
      <c r="L195" s="169"/>
      <c r="M195" s="170">
        <f t="shared" si="30"/>
        <v>10</v>
      </c>
      <c r="N195" s="168">
        <v>35</v>
      </c>
      <c r="O195" s="169"/>
      <c r="P195" s="170">
        <f t="shared" si="31"/>
        <v>5</v>
      </c>
      <c r="Q195" s="168">
        <v>35</v>
      </c>
      <c r="R195" s="169"/>
      <c r="S195" s="170">
        <f t="shared" si="32"/>
        <v>5</v>
      </c>
      <c r="T195" s="171">
        <v>40</v>
      </c>
      <c r="U195" s="169"/>
      <c r="V195" s="170">
        <f t="shared" si="33"/>
        <v>0</v>
      </c>
      <c r="W195" s="2"/>
    </row>
    <row r="196" spans="1:23" ht="15" customHeight="1">
      <c r="A196" s="49">
        <v>36</v>
      </c>
      <c r="B196" s="50" t="s">
        <v>19</v>
      </c>
      <c r="C196" s="49" t="s">
        <v>124</v>
      </c>
      <c r="D196" s="49">
        <v>40</v>
      </c>
      <c r="E196" s="49">
        <v>40</v>
      </c>
      <c r="F196" s="50">
        <f t="shared" si="28"/>
        <v>40</v>
      </c>
      <c r="G196" s="47" t="s">
        <v>659</v>
      </c>
      <c r="H196" s="168">
        <v>30</v>
      </c>
      <c r="I196" s="169"/>
      <c r="J196" s="170">
        <f t="shared" si="29"/>
        <v>10</v>
      </c>
      <c r="K196" s="168">
        <v>30</v>
      </c>
      <c r="L196" s="169"/>
      <c r="M196" s="170">
        <f t="shared" si="30"/>
        <v>10</v>
      </c>
      <c r="N196" s="168">
        <v>35</v>
      </c>
      <c r="O196" s="169"/>
      <c r="P196" s="170">
        <f t="shared" si="31"/>
        <v>5</v>
      </c>
      <c r="Q196" s="168">
        <v>35</v>
      </c>
      <c r="R196" s="169"/>
      <c r="S196" s="170">
        <f t="shared" si="32"/>
        <v>5</v>
      </c>
      <c r="T196" s="171">
        <v>30</v>
      </c>
      <c r="U196" s="169"/>
      <c r="V196" s="170">
        <f t="shared" si="33"/>
        <v>10</v>
      </c>
      <c r="W196" s="2"/>
    </row>
    <row r="197" spans="1:23" ht="15" customHeight="1">
      <c r="A197" s="49">
        <v>38</v>
      </c>
      <c r="B197" s="49" t="s">
        <v>19</v>
      </c>
      <c r="C197" s="50" t="s">
        <v>129</v>
      </c>
      <c r="D197" s="49">
        <v>40</v>
      </c>
      <c r="E197" s="49">
        <v>30</v>
      </c>
      <c r="F197" s="50">
        <f t="shared" si="28"/>
        <v>35</v>
      </c>
      <c r="G197" s="47" t="s">
        <v>660</v>
      </c>
      <c r="H197" s="168">
        <v>30</v>
      </c>
      <c r="I197" s="169"/>
      <c r="J197" s="170">
        <f t="shared" si="29"/>
        <v>5</v>
      </c>
      <c r="K197" s="168">
        <v>30</v>
      </c>
      <c r="L197" s="169"/>
      <c r="M197" s="170">
        <f t="shared" si="30"/>
        <v>5</v>
      </c>
      <c r="N197" s="168">
        <v>25</v>
      </c>
      <c r="O197" s="169"/>
      <c r="P197" s="170">
        <f t="shared" si="31"/>
        <v>10</v>
      </c>
      <c r="Q197" s="168">
        <v>30</v>
      </c>
      <c r="R197" s="169"/>
      <c r="S197" s="170">
        <f t="shared" si="32"/>
        <v>5</v>
      </c>
      <c r="T197" s="171">
        <v>20</v>
      </c>
      <c r="U197" s="169"/>
      <c r="V197" s="170">
        <f t="shared" si="33"/>
        <v>15</v>
      </c>
      <c r="W197" s="2"/>
    </row>
    <row r="198" spans="1:23" ht="15" customHeight="1">
      <c r="A198" s="49">
        <v>39</v>
      </c>
      <c r="B198" s="49" t="s">
        <v>19</v>
      </c>
      <c r="C198" s="49" t="s">
        <v>132</v>
      </c>
      <c r="D198" s="49">
        <v>10</v>
      </c>
      <c r="E198" s="49">
        <v>10</v>
      </c>
      <c r="F198" s="50">
        <f t="shared" si="28"/>
        <v>10</v>
      </c>
      <c r="G198" s="47" t="s">
        <v>661</v>
      </c>
      <c r="H198" s="168">
        <v>20</v>
      </c>
      <c r="I198" s="169"/>
      <c r="J198" s="170">
        <f t="shared" si="29"/>
        <v>10</v>
      </c>
      <c r="K198" s="168">
        <v>20</v>
      </c>
      <c r="L198" s="169"/>
      <c r="M198" s="170">
        <f t="shared" si="30"/>
        <v>10</v>
      </c>
      <c r="N198" s="168">
        <v>20</v>
      </c>
      <c r="O198" s="169"/>
      <c r="P198" s="170">
        <f t="shared" si="31"/>
        <v>10</v>
      </c>
      <c r="Q198" s="168">
        <v>20</v>
      </c>
      <c r="R198" s="169"/>
      <c r="S198" s="170">
        <f t="shared" si="32"/>
        <v>10</v>
      </c>
      <c r="T198" s="171">
        <v>20</v>
      </c>
      <c r="U198" s="169"/>
      <c r="V198" s="170">
        <f t="shared" si="33"/>
        <v>10</v>
      </c>
      <c r="W198" s="2"/>
    </row>
    <row r="199" spans="1:23" ht="15" customHeight="1">
      <c r="A199" s="43">
        <v>40</v>
      </c>
      <c r="B199" s="49" t="s">
        <v>19</v>
      </c>
      <c r="C199" s="49" t="s">
        <v>135</v>
      </c>
      <c r="D199" s="49">
        <v>0</v>
      </c>
      <c r="E199" s="49">
        <v>0</v>
      </c>
      <c r="F199" s="49">
        <v>0</v>
      </c>
      <c r="G199" s="47" t="s">
        <v>662</v>
      </c>
      <c r="H199" s="168">
        <v>20</v>
      </c>
      <c r="I199" s="169"/>
      <c r="J199" s="170">
        <f t="shared" si="29"/>
        <v>20</v>
      </c>
      <c r="K199" s="168">
        <v>20</v>
      </c>
      <c r="L199" s="169"/>
      <c r="M199" s="170">
        <f t="shared" si="30"/>
        <v>20</v>
      </c>
      <c r="N199" s="168">
        <v>20</v>
      </c>
      <c r="O199" s="169"/>
      <c r="P199" s="170">
        <f t="shared" si="31"/>
        <v>20</v>
      </c>
      <c r="Q199" s="168">
        <v>25</v>
      </c>
      <c r="R199" s="169"/>
      <c r="S199" s="170">
        <f t="shared" si="32"/>
        <v>25</v>
      </c>
      <c r="T199" s="171">
        <v>20</v>
      </c>
      <c r="U199" s="169"/>
      <c r="V199" s="170">
        <f t="shared" si="33"/>
        <v>20</v>
      </c>
      <c r="W199" s="2"/>
    </row>
    <row r="200" spans="1:23" ht="15" customHeight="1">
      <c r="A200" s="49">
        <v>41</v>
      </c>
      <c r="B200" s="50" t="s">
        <v>19</v>
      </c>
      <c r="C200" s="50" t="s">
        <v>138</v>
      </c>
      <c r="D200" s="49">
        <v>0</v>
      </c>
      <c r="E200" s="49">
        <v>0</v>
      </c>
      <c r="F200" s="50">
        <f t="shared" ref="F200:F290" si="34">SUM(D200:E200)/2</f>
        <v>0</v>
      </c>
      <c r="G200" s="47" t="s">
        <v>663</v>
      </c>
      <c r="H200" s="168">
        <v>30</v>
      </c>
      <c r="I200" s="169"/>
      <c r="J200" s="170">
        <f t="shared" si="29"/>
        <v>30</v>
      </c>
      <c r="K200" s="168">
        <v>20</v>
      </c>
      <c r="L200" s="169"/>
      <c r="M200" s="170">
        <f t="shared" si="30"/>
        <v>20</v>
      </c>
      <c r="N200" s="168">
        <v>10</v>
      </c>
      <c r="O200" s="169"/>
      <c r="P200" s="170">
        <f t="shared" si="31"/>
        <v>10</v>
      </c>
      <c r="Q200" s="168">
        <v>30</v>
      </c>
      <c r="R200" s="169"/>
      <c r="S200" s="170">
        <f t="shared" si="32"/>
        <v>30</v>
      </c>
      <c r="T200" s="171">
        <v>20</v>
      </c>
      <c r="U200" s="169"/>
      <c r="V200" s="170">
        <f t="shared" si="33"/>
        <v>20</v>
      </c>
      <c r="W200" s="2"/>
    </row>
    <row r="201" spans="1:23" ht="15" customHeight="1">
      <c r="A201" s="49">
        <v>42</v>
      </c>
      <c r="B201" s="50" t="s">
        <v>19</v>
      </c>
      <c r="C201" s="50" t="s">
        <v>141</v>
      </c>
      <c r="D201" s="49">
        <v>15</v>
      </c>
      <c r="E201" s="49">
        <v>15</v>
      </c>
      <c r="F201" s="50">
        <f t="shared" si="34"/>
        <v>15</v>
      </c>
      <c r="G201" s="47" t="s">
        <v>664</v>
      </c>
      <c r="H201" s="168">
        <v>30</v>
      </c>
      <c r="I201" s="169"/>
      <c r="J201" s="170">
        <f t="shared" si="29"/>
        <v>15</v>
      </c>
      <c r="K201" s="168">
        <v>20</v>
      </c>
      <c r="L201" s="169"/>
      <c r="M201" s="170">
        <f t="shared" si="30"/>
        <v>5</v>
      </c>
      <c r="N201" s="168">
        <v>15</v>
      </c>
      <c r="O201" s="169"/>
      <c r="P201" s="170">
        <f t="shared" si="31"/>
        <v>0</v>
      </c>
      <c r="Q201" s="168">
        <v>25</v>
      </c>
      <c r="R201" s="169"/>
      <c r="S201" s="170">
        <f t="shared" si="32"/>
        <v>10</v>
      </c>
      <c r="T201" s="171">
        <v>20</v>
      </c>
      <c r="U201" s="169"/>
      <c r="V201" s="170">
        <f t="shared" si="33"/>
        <v>5</v>
      </c>
      <c r="W201" s="2"/>
    </row>
    <row r="202" spans="1:23" ht="15" customHeight="1">
      <c r="A202" s="51">
        <v>43</v>
      </c>
      <c r="B202" s="50" t="s">
        <v>19</v>
      </c>
      <c r="C202" s="50" t="s">
        <v>144</v>
      </c>
      <c r="D202" s="49">
        <v>40</v>
      </c>
      <c r="E202" s="49">
        <v>40</v>
      </c>
      <c r="F202" s="50">
        <f t="shared" si="34"/>
        <v>40</v>
      </c>
      <c r="G202" s="47" t="s">
        <v>665</v>
      </c>
      <c r="H202" s="168">
        <v>30</v>
      </c>
      <c r="I202" s="169"/>
      <c r="J202" s="170">
        <f t="shared" si="29"/>
        <v>10</v>
      </c>
      <c r="K202" s="168">
        <v>40</v>
      </c>
      <c r="L202" s="169"/>
      <c r="M202" s="170">
        <f t="shared" si="30"/>
        <v>0</v>
      </c>
      <c r="N202" s="168">
        <v>40</v>
      </c>
      <c r="O202" s="169"/>
      <c r="P202" s="170">
        <f t="shared" si="31"/>
        <v>0</v>
      </c>
      <c r="Q202" s="168">
        <v>35</v>
      </c>
      <c r="R202" s="169"/>
      <c r="S202" s="170">
        <f t="shared" si="32"/>
        <v>5</v>
      </c>
      <c r="T202" s="171">
        <v>35</v>
      </c>
      <c r="U202" s="169"/>
      <c r="V202" s="170">
        <f t="shared" si="33"/>
        <v>5</v>
      </c>
      <c r="W202" s="2"/>
    </row>
    <row r="203" spans="1:23" ht="15" customHeight="1">
      <c r="A203" s="49">
        <v>44</v>
      </c>
      <c r="B203" s="50" t="s">
        <v>19</v>
      </c>
      <c r="C203" s="50" t="s">
        <v>147</v>
      </c>
      <c r="D203" s="49">
        <v>30</v>
      </c>
      <c r="E203" s="49">
        <v>20</v>
      </c>
      <c r="F203" s="50">
        <f t="shared" si="34"/>
        <v>25</v>
      </c>
      <c r="G203" s="47" t="s">
        <v>666</v>
      </c>
      <c r="H203" s="168">
        <v>20</v>
      </c>
      <c r="I203" s="169"/>
      <c r="J203" s="170">
        <f t="shared" si="29"/>
        <v>5</v>
      </c>
      <c r="K203" s="168">
        <v>20</v>
      </c>
      <c r="L203" s="169"/>
      <c r="M203" s="170">
        <f t="shared" si="30"/>
        <v>5</v>
      </c>
      <c r="N203" s="168">
        <v>15</v>
      </c>
      <c r="O203" s="169"/>
      <c r="P203" s="170">
        <f t="shared" si="31"/>
        <v>10</v>
      </c>
      <c r="Q203" s="168">
        <v>25</v>
      </c>
      <c r="R203" s="169"/>
      <c r="S203" s="170">
        <f t="shared" si="32"/>
        <v>0</v>
      </c>
      <c r="T203" s="171">
        <v>20</v>
      </c>
      <c r="U203" s="169"/>
      <c r="V203" s="170">
        <f t="shared" si="33"/>
        <v>5</v>
      </c>
      <c r="W203" s="2"/>
    </row>
    <row r="204" spans="1:23" ht="15" customHeight="1">
      <c r="A204" s="49">
        <v>45</v>
      </c>
      <c r="B204" s="50" t="s">
        <v>19</v>
      </c>
      <c r="C204" s="49" t="s">
        <v>150</v>
      </c>
      <c r="D204" s="49">
        <v>25</v>
      </c>
      <c r="E204" s="49">
        <v>20</v>
      </c>
      <c r="F204" s="50">
        <f t="shared" si="34"/>
        <v>22.5</v>
      </c>
      <c r="G204" s="47" t="s">
        <v>667</v>
      </c>
      <c r="H204" s="168">
        <v>30</v>
      </c>
      <c r="I204" s="169"/>
      <c r="J204" s="170">
        <f t="shared" si="29"/>
        <v>7.5</v>
      </c>
      <c r="K204" s="168">
        <v>25</v>
      </c>
      <c r="L204" s="169"/>
      <c r="M204" s="170">
        <f t="shared" si="30"/>
        <v>2.5</v>
      </c>
      <c r="N204" s="168">
        <v>30</v>
      </c>
      <c r="O204" s="169"/>
      <c r="P204" s="170">
        <f t="shared" si="31"/>
        <v>7.5</v>
      </c>
      <c r="Q204" s="168">
        <v>35</v>
      </c>
      <c r="R204" s="169"/>
      <c r="S204" s="170">
        <f t="shared" si="32"/>
        <v>12.5</v>
      </c>
      <c r="T204" s="171">
        <v>40</v>
      </c>
      <c r="U204" s="169"/>
      <c r="V204" s="170">
        <f t="shared" si="33"/>
        <v>17.5</v>
      </c>
      <c r="W204" s="2"/>
    </row>
    <row r="205" spans="1:23" ht="15" customHeight="1">
      <c r="A205" s="43">
        <v>46</v>
      </c>
      <c r="B205" s="49" t="s">
        <v>19</v>
      </c>
      <c r="C205" s="50" t="s">
        <v>153</v>
      </c>
      <c r="D205" s="49">
        <v>15</v>
      </c>
      <c r="E205" s="49">
        <v>30</v>
      </c>
      <c r="F205" s="50">
        <f t="shared" si="34"/>
        <v>22.5</v>
      </c>
      <c r="G205" s="47" t="s">
        <v>668</v>
      </c>
      <c r="H205" s="168">
        <v>30</v>
      </c>
      <c r="I205" s="169"/>
      <c r="J205" s="170">
        <f t="shared" si="29"/>
        <v>7.5</v>
      </c>
      <c r="K205" s="168">
        <v>30</v>
      </c>
      <c r="L205" s="169"/>
      <c r="M205" s="170">
        <f t="shared" si="30"/>
        <v>7.5</v>
      </c>
      <c r="N205" s="168">
        <v>30</v>
      </c>
      <c r="O205" s="169"/>
      <c r="P205" s="170">
        <f t="shared" si="31"/>
        <v>7.5</v>
      </c>
      <c r="Q205" s="168">
        <v>30</v>
      </c>
      <c r="R205" s="169"/>
      <c r="S205" s="170">
        <f t="shared" si="32"/>
        <v>7.5</v>
      </c>
      <c r="T205" s="171">
        <v>20</v>
      </c>
      <c r="U205" s="169"/>
      <c r="V205" s="170">
        <f t="shared" si="33"/>
        <v>2.5</v>
      </c>
      <c r="W205" s="2"/>
    </row>
    <row r="206" spans="1:23" ht="15" customHeight="1">
      <c r="A206" s="49">
        <v>47</v>
      </c>
      <c r="B206" s="50" t="s">
        <v>19</v>
      </c>
      <c r="C206" s="49" t="s">
        <v>156</v>
      </c>
      <c r="D206" s="49">
        <v>30</v>
      </c>
      <c r="E206" s="49">
        <v>30</v>
      </c>
      <c r="F206" s="50">
        <f t="shared" si="34"/>
        <v>30</v>
      </c>
      <c r="G206" s="47" t="s">
        <v>669</v>
      </c>
      <c r="H206" s="168">
        <v>30</v>
      </c>
      <c r="I206" s="169"/>
      <c r="J206" s="170">
        <f t="shared" si="29"/>
        <v>0</v>
      </c>
      <c r="K206" s="168">
        <v>35</v>
      </c>
      <c r="L206" s="169"/>
      <c r="M206" s="170">
        <f t="shared" si="30"/>
        <v>5</v>
      </c>
      <c r="N206" s="168">
        <v>40</v>
      </c>
      <c r="O206" s="169"/>
      <c r="P206" s="170">
        <f t="shared" si="31"/>
        <v>10</v>
      </c>
      <c r="Q206" s="168">
        <v>35</v>
      </c>
      <c r="R206" s="169"/>
      <c r="S206" s="170">
        <f t="shared" si="32"/>
        <v>5</v>
      </c>
      <c r="T206" s="171">
        <v>40</v>
      </c>
      <c r="U206" s="169"/>
      <c r="V206" s="170">
        <f t="shared" si="33"/>
        <v>10</v>
      </c>
      <c r="W206" s="2"/>
    </row>
    <row r="207" spans="1:23" ht="15" customHeight="1">
      <c r="A207" s="49">
        <v>48</v>
      </c>
      <c r="B207" s="50" t="s">
        <v>19</v>
      </c>
      <c r="C207" s="49" t="s">
        <v>159</v>
      </c>
      <c r="D207" s="49">
        <v>35</v>
      </c>
      <c r="E207" s="49">
        <v>35</v>
      </c>
      <c r="F207" s="50">
        <f t="shared" si="34"/>
        <v>35</v>
      </c>
      <c r="G207" s="47" t="s">
        <v>670</v>
      </c>
      <c r="H207" s="168">
        <v>30</v>
      </c>
      <c r="I207" s="169"/>
      <c r="J207" s="170">
        <f t="shared" si="29"/>
        <v>5</v>
      </c>
      <c r="K207" s="168">
        <v>30</v>
      </c>
      <c r="L207" s="169"/>
      <c r="M207" s="170">
        <f t="shared" si="30"/>
        <v>5</v>
      </c>
      <c r="N207" s="168">
        <v>30</v>
      </c>
      <c r="O207" s="169"/>
      <c r="P207" s="170">
        <f t="shared" si="31"/>
        <v>5</v>
      </c>
      <c r="Q207" s="168">
        <v>25</v>
      </c>
      <c r="R207" s="169"/>
      <c r="S207" s="170">
        <f t="shared" si="32"/>
        <v>10</v>
      </c>
      <c r="T207" s="171">
        <v>35</v>
      </c>
      <c r="U207" s="169"/>
      <c r="V207" s="170">
        <f t="shared" si="33"/>
        <v>0</v>
      </c>
      <c r="W207" s="2"/>
    </row>
    <row r="208" spans="1:23" ht="15" customHeight="1">
      <c r="A208" s="51">
        <v>49</v>
      </c>
      <c r="B208" s="50" t="s">
        <v>19</v>
      </c>
      <c r="C208" s="49" t="s">
        <v>162</v>
      </c>
      <c r="D208" s="49">
        <v>10</v>
      </c>
      <c r="E208" s="49">
        <v>10</v>
      </c>
      <c r="F208" s="50">
        <f t="shared" si="34"/>
        <v>10</v>
      </c>
      <c r="G208" s="47" t="s">
        <v>671</v>
      </c>
      <c r="H208" s="168">
        <v>20</v>
      </c>
      <c r="I208" s="169"/>
      <c r="J208" s="170">
        <f t="shared" si="29"/>
        <v>10</v>
      </c>
      <c r="K208" s="168">
        <v>25</v>
      </c>
      <c r="L208" s="169"/>
      <c r="M208" s="170">
        <f t="shared" si="30"/>
        <v>15</v>
      </c>
      <c r="N208" s="168">
        <v>15</v>
      </c>
      <c r="O208" s="169"/>
      <c r="P208" s="170">
        <f t="shared" si="31"/>
        <v>5</v>
      </c>
      <c r="Q208" s="168">
        <v>35</v>
      </c>
      <c r="R208" s="169"/>
      <c r="S208" s="170">
        <f t="shared" si="32"/>
        <v>25</v>
      </c>
      <c r="T208" s="171">
        <v>35</v>
      </c>
      <c r="U208" s="169"/>
      <c r="V208" s="170">
        <f t="shared" si="33"/>
        <v>25</v>
      </c>
      <c r="W208" s="2"/>
    </row>
    <row r="209" spans="1:23" ht="15" customHeight="1">
      <c r="A209" s="49">
        <v>50</v>
      </c>
      <c r="B209" s="50" t="s">
        <v>19</v>
      </c>
      <c r="C209" s="50" t="s">
        <v>165</v>
      </c>
      <c r="D209" s="49">
        <v>10</v>
      </c>
      <c r="E209" s="49">
        <v>15</v>
      </c>
      <c r="F209" s="50">
        <f t="shared" si="34"/>
        <v>12.5</v>
      </c>
      <c r="G209" s="47" t="s">
        <v>672</v>
      </c>
      <c r="H209" s="168">
        <v>30</v>
      </c>
      <c r="I209" s="169"/>
      <c r="J209" s="170">
        <f t="shared" si="29"/>
        <v>17.5</v>
      </c>
      <c r="K209" s="168">
        <v>20</v>
      </c>
      <c r="L209" s="169"/>
      <c r="M209" s="170">
        <f t="shared" si="30"/>
        <v>7.5</v>
      </c>
      <c r="N209" s="168">
        <v>20</v>
      </c>
      <c r="O209" s="169"/>
      <c r="P209" s="170">
        <f t="shared" si="31"/>
        <v>7.5</v>
      </c>
      <c r="Q209" s="168">
        <v>25</v>
      </c>
      <c r="R209" s="169"/>
      <c r="S209" s="170">
        <f t="shared" si="32"/>
        <v>12.5</v>
      </c>
      <c r="T209" s="171">
        <v>20</v>
      </c>
      <c r="U209" s="169"/>
      <c r="V209" s="170">
        <f t="shared" si="33"/>
        <v>7.5</v>
      </c>
      <c r="W209" s="2"/>
    </row>
    <row r="210" spans="1:23" ht="15" customHeight="1">
      <c r="A210" s="49">
        <v>51</v>
      </c>
      <c r="B210" s="50" t="s">
        <v>19</v>
      </c>
      <c r="C210" s="50" t="s">
        <v>168</v>
      </c>
      <c r="D210" s="49">
        <v>30</v>
      </c>
      <c r="E210" s="49">
        <v>35</v>
      </c>
      <c r="F210" s="50">
        <f t="shared" si="34"/>
        <v>32.5</v>
      </c>
      <c r="G210" s="47" t="s">
        <v>673</v>
      </c>
      <c r="H210" s="168">
        <v>30</v>
      </c>
      <c r="I210" s="169"/>
      <c r="J210" s="170">
        <f t="shared" si="29"/>
        <v>2.5</v>
      </c>
      <c r="K210" s="168">
        <v>40</v>
      </c>
      <c r="L210" s="169"/>
      <c r="M210" s="170">
        <f t="shared" si="30"/>
        <v>7.5</v>
      </c>
      <c r="N210" s="168">
        <v>40</v>
      </c>
      <c r="O210" s="169"/>
      <c r="P210" s="170">
        <f t="shared" si="31"/>
        <v>7.5</v>
      </c>
      <c r="Q210" s="168">
        <v>35</v>
      </c>
      <c r="R210" s="169"/>
      <c r="S210" s="170">
        <f t="shared" si="32"/>
        <v>2.5</v>
      </c>
      <c r="T210" s="171">
        <v>40</v>
      </c>
      <c r="U210" s="169"/>
      <c r="V210" s="170">
        <f t="shared" si="33"/>
        <v>7.5</v>
      </c>
      <c r="W210" s="2"/>
    </row>
    <row r="211" spans="1:23" ht="15" customHeight="1">
      <c r="A211" s="43">
        <v>52</v>
      </c>
      <c r="B211" s="50" t="s">
        <v>19</v>
      </c>
      <c r="C211" s="49" t="s">
        <v>171</v>
      </c>
      <c r="D211" s="49">
        <v>40</v>
      </c>
      <c r="E211" s="49">
        <v>35</v>
      </c>
      <c r="F211" s="50">
        <f t="shared" si="34"/>
        <v>37.5</v>
      </c>
      <c r="G211" s="47" t="s">
        <v>674</v>
      </c>
      <c r="H211" s="168">
        <v>30</v>
      </c>
      <c r="I211" s="169"/>
      <c r="J211" s="170">
        <f t="shared" si="29"/>
        <v>7.5</v>
      </c>
      <c r="K211" s="168">
        <v>35</v>
      </c>
      <c r="L211" s="169"/>
      <c r="M211" s="170">
        <f t="shared" si="30"/>
        <v>2.5</v>
      </c>
      <c r="N211" s="168">
        <v>35</v>
      </c>
      <c r="O211" s="169"/>
      <c r="P211" s="170">
        <f t="shared" si="31"/>
        <v>2.5</v>
      </c>
      <c r="Q211" s="168">
        <v>35</v>
      </c>
      <c r="R211" s="169"/>
      <c r="S211" s="170">
        <f t="shared" si="32"/>
        <v>2.5</v>
      </c>
      <c r="T211" s="171">
        <v>35</v>
      </c>
      <c r="U211" s="169"/>
      <c r="V211" s="170">
        <f t="shared" si="33"/>
        <v>2.5</v>
      </c>
      <c r="W211" s="2"/>
    </row>
    <row r="212" spans="1:23" ht="15" customHeight="1">
      <c r="A212" s="49">
        <v>53</v>
      </c>
      <c r="B212" s="50" t="s">
        <v>19</v>
      </c>
      <c r="C212" s="49" t="s">
        <v>174</v>
      </c>
      <c r="D212" s="49">
        <v>20</v>
      </c>
      <c r="E212" s="49">
        <v>25</v>
      </c>
      <c r="F212" s="50">
        <f t="shared" si="34"/>
        <v>22.5</v>
      </c>
      <c r="G212" s="47" t="s">
        <v>675</v>
      </c>
      <c r="H212" s="168">
        <v>30</v>
      </c>
      <c r="I212" s="169"/>
      <c r="J212" s="170">
        <f t="shared" si="29"/>
        <v>7.5</v>
      </c>
      <c r="K212" s="168">
        <v>20</v>
      </c>
      <c r="L212" s="169"/>
      <c r="M212" s="170">
        <f t="shared" si="30"/>
        <v>2.5</v>
      </c>
      <c r="N212" s="168">
        <v>25</v>
      </c>
      <c r="O212" s="169"/>
      <c r="P212" s="170">
        <f t="shared" si="31"/>
        <v>2.5</v>
      </c>
      <c r="Q212" s="168">
        <v>35</v>
      </c>
      <c r="R212" s="169"/>
      <c r="S212" s="170">
        <f t="shared" si="32"/>
        <v>12.5</v>
      </c>
      <c r="T212" s="171">
        <v>20</v>
      </c>
      <c r="U212" s="169"/>
      <c r="V212" s="170">
        <f t="shared" si="33"/>
        <v>2.5</v>
      </c>
      <c r="W212" s="2"/>
    </row>
    <row r="213" spans="1:23" ht="15" customHeight="1">
      <c r="A213" s="49">
        <v>54</v>
      </c>
      <c r="B213" s="50" t="s">
        <v>19</v>
      </c>
      <c r="C213" s="49" t="s">
        <v>177</v>
      </c>
      <c r="D213" s="49">
        <v>27</v>
      </c>
      <c r="E213" s="49">
        <v>28</v>
      </c>
      <c r="F213" s="50">
        <f t="shared" si="34"/>
        <v>27.5</v>
      </c>
      <c r="G213" s="47" t="s">
        <v>676</v>
      </c>
      <c r="H213" s="168">
        <v>30</v>
      </c>
      <c r="I213" s="169"/>
      <c r="J213" s="170">
        <f t="shared" si="29"/>
        <v>2.5</v>
      </c>
      <c r="K213" s="168">
        <v>35</v>
      </c>
      <c r="L213" s="169"/>
      <c r="M213" s="170">
        <f t="shared" si="30"/>
        <v>7.5</v>
      </c>
      <c r="N213" s="168">
        <v>40</v>
      </c>
      <c r="O213" s="169"/>
      <c r="P213" s="170">
        <f t="shared" si="31"/>
        <v>12.5</v>
      </c>
      <c r="Q213" s="168">
        <v>30</v>
      </c>
      <c r="R213" s="169"/>
      <c r="S213" s="170">
        <f t="shared" si="32"/>
        <v>2.5</v>
      </c>
      <c r="T213" s="171">
        <v>40</v>
      </c>
      <c r="U213" s="169"/>
      <c r="V213" s="170">
        <f t="shared" si="33"/>
        <v>12.5</v>
      </c>
      <c r="W213" s="2"/>
    </row>
    <row r="214" spans="1:23" ht="15" customHeight="1">
      <c r="A214" s="51">
        <v>55</v>
      </c>
      <c r="B214" s="50" t="s">
        <v>19</v>
      </c>
      <c r="C214" s="49" t="s">
        <v>180</v>
      </c>
      <c r="D214" s="49">
        <v>40</v>
      </c>
      <c r="E214" s="49">
        <v>40</v>
      </c>
      <c r="F214" s="50">
        <f t="shared" si="34"/>
        <v>40</v>
      </c>
      <c r="G214" s="47" t="s">
        <v>677</v>
      </c>
      <c r="H214" s="168">
        <v>30</v>
      </c>
      <c r="I214" s="169"/>
      <c r="J214" s="170">
        <f t="shared" si="29"/>
        <v>10</v>
      </c>
      <c r="K214" s="168">
        <v>40</v>
      </c>
      <c r="L214" s="169"/>
      <c r="M214" s="170">
        <f t="shared" si="30"/>
        <v>0</v>
      </c>
      <c r="N214" s="168">
        <v>35</v>
      </c>
      <c r="O214" s="169"/>
      <c r="P214" s="170">
        <f t="shared" si="31"/>
        <v>5</v>
      </c>
      <c r="Q214" s="168">
        <v>35</v>
      </c>
      <c r="R214" s="169"/>
      <c r="S214" s="170">
        <f t="shared" si="32"/>
        <v>5</v>
      </c>
      <c r="T214" s="171">
        <v>40</v>
      </c>
      <c r="U214" s="169"/>
      <c r="V214" s="170">
        <f t="shared" si="33"/>
        <v>0</v>
      </c>
      <c r="W214" s="2"/>
    </row>
    <row r="215" spans="1:23" ht="15" customHeight="1">
      <c r="A215" s="49">
        <v>56</v>
      </c>
      <c r="B215" s="50" t="s">
        <v>19</v>
      </c>
      <c r="C215" s="50" t="s">
        <v>183</v>
      </c>
      <c r="D215" s="49">
        <v>25</v>
      </c>
      <c r="E215" s="49">
        <v>20</v>
      </c>
      <c r="F215" s="50">
        <f t="shared" si="34"/>
        <v>22.5</v>
      </c>
      <c r="G215" s="47" t="s">
        <v>678</v>
      </c>
      <c r="H215" s="168">
        <v>25</v>
      </c>
      <c r="I215" s="169"/>
      <c r="J215" s="170">
        <f t="shared" si="29"/>
        <v>2.5</v>
      </c>
      <c r="K215" s="168">
        <v>25</v>
      </c>
      <c r="L215" s="169"/>
      <c r="M215" s="170">
        <f t="shared" si="30"/>
        <v>2.5</v>
      </c>
      <c r="N215" s="168">
        <v>20</v>
      </c>
      <c r="O215" s="169"/>
      <c r="P215" s="170">
        <f t="shared" si="31"/>
        <v>2.5</v>
      </c>
      <c r="Q215" s="168">
        <v>25</v>
      </c>
      <c r="R215" s="169"/>
      <c r="S215" s="170">
        <f t="shared" si="32"/>
        <v>2.5</v>
      </c>
      <c r="T215" s="171">
        <v>20</v>
      </c>
      <c r="U215" s="169"/>
      <c r="V215" s="170">
        <f t="shared" si="33"/>
        <v>2.5</v>
      </c>
      <c r="W215" s="2"/>
    </row>
    <row r="216" spans="1:23" ht="15" customHeight="1">
      <c r="A216" s="49">
        <v>57</v>
      </c>
      <c r="B216" s="49" t="s">
        <v>19</v>
      </c>
      <c r="C216" s="49" t="s">
        <v>186</v>
      </c>
      <c r="D216" s="49">
        <v>30</v>
      </c>
      <c r="E216" s="49">
        <v>30</v>
      </c>
      <c r="F216" s="50">
        <f t="shared" si="34"/>
        <v>30</v>
      </c>
      <c r="G216" s="47" t="s">
        <v>679</v>
      </c>
      <c r="H216" s="168">
        <v>30</v>
      </c>
      <c r="I216" s="169"/>
      <c r="J216" s="170">
        <f t="shared" si="29"/>
        <v>0</v>
      </c>
      <c r="K216" s="168">
        <v>25</v>
      </c>
      <c r="L216" s="169"/>
      <c r="M216" s="170">
        <f t="shared" si="30"/>
        <v>5</v>
      </c>
      <c r="N216" s="168">
        <v>30</v>
      </c>
      <c r="O216" s="169"/>
      <c r="P216" s="170">
        <f t="shared" si="31"/>
        <v>0</v>
      </c>
      <c r="Q216" s="168">
        <v>35</v>
      </c>
      <c r="R216" s="169"/>
      <c r="S216" s="170">
        <f t="shared" si="32"/>
        <v>5</v>
      </c>
      <c r="T216" s="171">
        <v>30</v>
      </c>
      <c r="U216" s="169"/>
      <c r="V216" s="170">
        <f t="shared" si="33"/>
        <v>0</v>
      </c>
      <c r="W216" s="2"/>
    </row>
    <row r="217" spans="1:23" ht="15" customHeight="1">
      <c r="A217" s="43">
        <v>58</v>
      </c>
      <c r="B217" s="50" t="s">
        <v>19</v>
      </c>
      <c r="C217" s="50" t="s">
        <v>189</v>
      </c>
      <c r="D217" s="49">
        <v>0</v>
      </c>
      <c r="E217" s="49">
        <v>0</v>
      </c>
      <c r="F217" s="50">
        <f t="shared" si="34"/>
        <v>0</v>
      </c>
      <c r="G217" s="47" t="s">
        <v>680</v>
      </c>
      <c r="H217" s="168">
        <v>20</v>
      </c>
      <c r="I217" s="169"/>
      <c r="J217" s="170">
        <f t="shared" si="29"/>
        <v>20</v>
      </c>
      <c r="K217" s="168">
        <v>20</v>
      </c>
      <c r="L217" s="169"/>
      <c r="M217" s="170">
        <f t="shared" si="30"/>
        <v>20</v>
      </c>
      <c r="N217" s="168">
        <v>20</v>
      </c>
      <c r="O217" s="169"/>
      <c r="P217" s="170">
        <f t="shared" si="31"/>
        <v>20</v>
      </c>
      <c r="Q217" s="168">
        <v>20</v>
      </c>
      <c r="R217" s="169"/>
      <c r="S217" s="170">
        <f t="shared" si="32"/>
        <v>20</v>
      </c>
      <c r="T217" s="171">
        <v>20</v>
      </c>
      <c r="U217" s="169"/>
      <c r="V217" s="170">
        <f t="shared" si="33"/>
        <v>20</v>
      </c>
      <c r="W217" s="2"/>
    </row>
    <row r="218" spans="1:23" ht="15" customHeight="1">
      <c r="A218" s="49">
        <v>59</v>
      </c>
      <c r="B218" s="50" t="s">
        <v>19</v>
      </c>
      <c r="C218" s="50" t="s">
        <v>192</v>
      </c>
      <c r="D218" s="49">
        <v>30</v>
      </c>
      <c r="E218" s="49">
        <v>30</v>
      </c>
      <c r="F218" s="50">
        <f t="shared" si="34"/>
        <v>30</v>
      </c>
      <c r="G218" s="47" t="s">
        <v>681</v>
      </c>
      <c r="H218" s="168">
        <v>20</v>
      </c>
      <c r="I218" s="169"/>
      <c r="J218" s="170">
        <f t="shared" si="29"/>
        <v>10</v>
      </c>
      <c r="K218" s="168">
        <v>25</v>
      </c>
      <c r="L218" s="169"/>
      <c r="M218" s="170">
        <f t="shared" si="30"/>
        <v>5</v>
      </c>
      <c r="N218" s="168">
        <v>35</v>
      </c>
      <c r="O218" s="169"/>
      <c r="P218" s="170">
        <f t="shared" si="31"/>
        <v>5</v>
      </c>
      <c r="Q218" s="168">
        <v>25</v>
      </c>
      <c r="R218" s="169"/>
      <c r="S218" s="170">
        <f t="shared" si="32"/>
        <v>5</v>
      </c>
      <c r="T218" s="171">
        <v>20</v>
      </c>
      <c r="U218" s="169"/>
      <c r="V218" s="170">
        <f t="shared" si="33"/>
        <v>10</v>
      </c>
      <c r="W218" s="2"/>
    </row>
    <row r="219" spans="1:23" ht="15" customHeight="1">
      <c r="A219" s="49">
        <v>60</v>
      </c>
      <c r="B219" s="50" t="s">
        <v>19</v>
      </c>
      <c r="C219" s="50" t="s">
        <v>195</v>
      </c>
      <c r="D219" s="49">
        <v>40</v>
      </c>
      <c r="E219" s="49">
        <v>40</v>
      </c>
      <c r="F219" s="50">
        <f t="shared" si="34"/>
        <v>40</v>
      </c>
      <c r="G219" s="47" t="s">
        <v>682</v>
      </c>
      <c r="H219" s="168">
        <v>30</v>
      </c>
      <c r="I219" s="169"/>
      <c r="J219" s="170">
        <f t="shared" si="29"/>
        <v>10</v>
      </c>
      <c r="K219" s="168">
        <v>40</v>
      </c>
      <c r="L219" s="169"/>
      <c r="M219" s="170">
        <f t="shared" si="30"/>
        <v>0</v>
      </c>
      <c r="N219" s="168">
        <v>35</v>
      </c>
      <c r="O219" s="169"/>
      <c r="P219" s="170">
        <f t="shared" si="31"/>
        <v>5</v>
      </c>
      <c r="Q219" s="168">
        <v>35</v>
      </c>
      <c r="R219" s="169"/>
      <c r="S219" s="170">
        <f t="shared" si="32"/>
        <v>5</v>
      </c>
      <c r="T219" s="171">
        <v>40</v>
      </c>
      <c r="U219" s="169"/>
      <c r="V219" s="170">
        <f t="shared" si="33"/>
        <v>0</v>
      </c>
      <c r="W219" s="2"/>
    </row>
    <row r="220" spans="1:23" ht="15" customHeight="1">
      <c r="A220" s="51">
        <v>61</v>
      </c>
      <c r="B220" s="50" t="s">
        <v>19</v>
      </c>
      <c r="C220" s="49" t="s">
        <v>198</v>
      </c>
      <c r="D220" s="49">
        <v>10</v>
      </c>
      <c r="E220" s="49">
        <v>10</v>
      </c>
      <c r="F220" s="50">
        <f t="shared" si="34"/>
        <v>10</v>
      </c>
      <c r="G220" s="47" t="s">
        <v>683</v>
      </c>
      <c r="H220" s="168">
        <v>20</v>
      </c>
      <c r="I220" s="169"/>
      <c r="J220" s="170">
        <f t="shared" si="29"/>
        <v>10</v>
      </c>
      <c r="K220" s="168">
        <v>20</v>
      </c>
      <c r="L220" s="169"/>
      <c r="M220" s="170">
        <f t="shared" si="30"/>
        <v>10</v>
      </c>
      <c r="N220" s="168">
        <v>20</v>
      </c>
      <c r="O220" s="169"/>
      <c r="P220" s="170">
        <f t="shared" si="31"/>
        <v>10</v>
      </c>
      <c r="Q220" s="168">
        <v>35</v>
      </c>
      <c r="R220" s="169"/>
      <c r="S220" s="170">
        <f t="shared" si="32"/>
        <v>25</v>
      </c>
      <c r="T220" s="171">
        <v>30</v>
      </c>
      <c r="U220" s="169"/>
      <c r="V220" s="170">
        <f t="shared" si="33"/>
        <v>20</v>
      </c>
      <c r="W220" s="2"/>
    </row>
    <row r="221" spans="1:23" ht="15" customHeight="1">
      <c r="A221" s="49">
        <v>62</v>
      </c>
      <c r="B221" s="50" t="s">
        <v>19</v>
      </c>
      <c r="C221" s="49" t="s">
        <v>201</v>
      </c>
      <c r="D221" s="49">
        <v>10</v>
      </c>
      <c r="E221" s="49">
        <v>0</v>
      </c>
      <c r="F221" s="50">
        <f t="shared" si="34"/>
        <v>5</v>
      </c>
      <c r="G221" s="47" t="s">
        <v>684</v>
      </c>
      <c r="H221" s="168">
        <v>20</v>
      </c>
      <c r="I221" s="169"/>
      <c r="J221" s="170">
        <f t="shared" si="29"/>
        <v>15</v>
      </c>
      <c r="K221" s="168">
        <v>20</v>
      </c>
      <c r="L221" s="169"/>
      <c r="M221" s="170">
        <f t="shared" si="30"/>
        <v>15</v>
      </c>
      <c r="N221" s="168">
        <v>20</v>
      </c>
      <c r="O221" s="169"/>
      <c r="P221" s="170">
        <f t="shared" si="31"/>
        <v>15</v>
      </c>
      <c r="Q221" s="168">
        <v>25</v>
      </c>
      <c r="R221" s="169"/>
      <c r="S221" s="170">
        <f t="shared" si="32"/>
        <v>20</v>
      </c>
      <c r="T221" s="171">
        <v>20</v>
      </c>
      <c r="U221" s="169"/>
      <c r="V221" s="170">
        <f t="shared" si="33"/>
        <v>15</v>
      </c>
      <c r="W221" s="2"/>
    </row>
    <row r="222" spans="1:23" ht="15" customHeight="1">
      <c r="A222" s="49">
        <v>63</v>
      </c>
      <c r="B222" s="50" t="s">
        <v>19</v>
      </c>
      <c r="C222" s="50" t="s">
        <v>204</v>
      </c>
      <c r="D222" s="49">
        <v>30</v>
      </c>
      <c r="E222" s="49">
        <v>30</v>
      </c>
      <c r="F222" s="50">
        <f t="shared" si="34"/>
        <v>30</v>
      </c>
      <c r="G222" s="47" t="s">
        <v>685</v>
      </c>
      <c r="H222" s="168">
        <v>30</v>
      </c>
      <c r="I222" s="169"/>
      <c r="J222" s="170">
        <f t="shared" si="29"/>
        <v>0</v>
      </c>
      <c r="K222" s="168">
        <v>30</v>
      </c>
      <c r="L222" s="169"/>
      <c r="M222" s="170">
        <f t="shared" si="30"/>
        <v>0</v>
      </c>
      <c r="N222" s="168">
        <v>25</v>
      </c>
      <c r="O222" s="169"/>
      <c r="P222" s="170">
        <f t="shared" si="31"/>
        <v>5</v>
      </c>
      <c r="Q222" s="168">
        <v>35</v>
      </c>
      <c r="R222" s="169"/>
      <c r="S222" s="170">
        <f t="shared" si="32"/>
        <v>5</v>
      </c>
      <c r="T222" s="171">
        <v>20</v>
      </c>
      <c r="U222" s="169"/>
      <c r="V222" s="170">
        <f t="shared" si="33"/>
        <v>10</v>
      </c>
      <c r="W222" s="2"/>
    </row>
    <row r="223" spans="1:23" ht="15" customHeight="1">
      <c r="A223" s="43">
        <v>64</v>
      </c>
      <c r="B223" s="49" t="s">
        <v>19</v>
      </c>
      <c r="C223" s="49" t="s">
        <v>207</v>
      </c>
      <c r="D223" s="49">
        <v>25</v>
      </c>
      <c r="E223" s="49">
        <v>20</v>
      </c>
      <c r="F223" s="50">
        <f t="shared" si="34"/>
        <v>22.5</v>
      </c>
      <c r="G223" s="47" t="s">
        <v>686</v>
      </c>
      <c r="H223" s="168">
        <v>35</v>
      </c>
      <c r="I223" s="169"/>
      <c r="J223" s="170">
        <f t="shared" si="29"/>
        <v>12.5</v>
      </c>
      <c r="K223" s="168">
        <v>25</v>
      </c>
      <c r="L223" s="169"/>
      <c r="M223" s="170">
        <f t="shared" si="30"/>
        <v>2.5</v>
      </c>
      <c r="N223" s="168">
        <v>30</v>
      </c>
      <c r="O223" s="169"/>
      <c r="P223" s="170">
        <f t="shared" si="31"/>
        <v>7.5</v>
      </c>
      <c r="Q223" s="168">
        <v>25</v>
      </c>
      <c r="R223" s="169"/>
      <c r="S223" s="170">
        <f t="shared" si="32"/>
        <v>2.5</v>
      </c>
      <c r="T223" s="171">
        <v>30</v>
      </c>
      <c r="U223" s="169"/>
      <c r="V223" s="170">
        <f t="shared" si="33"/>
        <v>7.5</v>
      </c>
      <c r="W223" s="2"/>
    </row>
    <row r="224" spans="1:23" ht="15" customHeight="1">
      <c r="A224" s="49">
        <v>65</v>
      </c>
      <c r="B224" s="49" t="s">
        <v>19</v>
      </c>
      <c r="C224" s="49" t="s">
        <v>124</v>
      </c>
      <c r="D224" s="49">
        <v>40</v>
      </c>
      <c r="E224" s="49">
        <v>40</v>
      </c>
      <c r="F224" s="50">
        <f t="shared" si="34"/>
        <v>40</v>
      </c>
      <c r="G224" s="47" t="s">
        <v>659</v>
      </c>
      <c r="H224" s="168">
        <v>30</v>
      </c>
      <c r="I224" s="169"/>
      <c r="J224" s="170">
        <f t="shared" si="29"/>
        <v>10</v>
      </c>
      <c r="K224" s="168">
        <v>30</v>
      </c>
      <c r="L224" s="169"/>
      <c r="M224" s="170">
        <f t="shared" si="30"/>
        <v>10</v>
      </c>
      <c r="N224" s="168">
        <v>40</v>
      </c>
      <c r="O224" s="169"/>
      <c r="P224" s="170">
        <f t="shared" si="31"/>
        <v>0</v>
      </c>
      <c r="Q224" s="168">
        <v>30</v>
      </c>
      <c r="R224" s="169"/>
      <c r="S224" s="170">
        <f t="shared" si="32"/>
        <v>10</v>
      </c>
      <c r="T224" s="171">
        <v>30</v>
      </c>
      <c r="U224" s="169"/>
      <c r="V224" s="170">
        <f t="shared" si="33"/>
        <v>10</v>
      </c>
      <c r="W224" s="2"/>
    </row>
    <row r="225" spans="1:23" ht="15" customHeight="1">
      <c r="A225" s="49">
        <v>66</v>
      </c>
      <c r="B225" s="49" t="s">
        <v>19</v>
      </c>
      <c r="C225" s="50" t="s">
        <v>212</v>
      </c>
      <c r="D225" s="49">
        <v>10</v>
      </c>
      <c r="E225" s="49">
        <v>25</v>
      </c>
      <c r="F225" s="50">
        <f t="shared" si="34"/>
        <v>17.5</v>
      </c>
      <c r="G225" s="47" t="s">
        <v>687</v>
      </c>
      <c r="H225" s="168">
        <v>20</v>
      </c>
      <c r="I225" s="169"/>
      <c r="J225" s="170">
        <f t="shared" si="29"/>
        <v>2.5</v>
      </c>
      <c r="K225" s="168">
        <v>25</v>
      </c>
      <c r="L225" s="169"/>
      <c r="M225" s="170">
        <f t="shared" si="30"/>
        <v>7.5</v>
      </c>
      <c r="N225" s="168">
        <v>30</v>
      </c>
      <c r="O225" s="169"/>
      <c r="P225" s="170">
        <f t="shared" si="31"/>
        <v>12.5</v>
      </c>
      <c r="Q225" s="168">
        <v>30</v>
      </c>
      <c r="R225" s="169"/>
      <c r="S225" s="170">
        <f t="shared" si="32"/>
        <v>12.5</v>
      </c>
      <c r="T225" s="171">
        <v>40</v>
      </c>
      <c r="U225" s="169"/>
      <c r="V225" s="170">
        <f t="shared" si="33"/>
        <v>22.5</v>
      </c>
      <c r="W225" s="2"/>
    </row>
    <row r="226" spans="1:23" ht="15" customHeight="1">
      <c r="A226" s="51">
        <v>67</v>
      </c>
      <c r="B226" s="50" t="s">
        <v>19</v>
      </c>
      <c r="C226" s="50" t="s">
        <v>215</v>
      </c>
      <c r="D226" s="49">
        <v>0</v>
      </c>
      <c r="E226" s="49">
        <v>0</v>
      </c>
      <c r="F226" s="50">
        <f t="shared" si="34"/>
        <v>0</v>
      </c>
      <c r="G226" s="47" t="s">
        <v>688</v>
      </c>
      <c r="H226" s="168">
        <v>20</v>
      </c>
      <c r="I226" s="169"/>
      <c r="J226" s="170">
        <f t="shared" si="29"/>
        <v>20</v>
      </c>
      <c r="K226" s="168">
        <v>20</v>
      </c>
      <c r="L226" s="169"/>
      <c r="M226" s="170">
        <f t="shared" si="30"/>
        <v>20</v>
      </c>
      <c r="N226" s="168">
        <v>20</v>
      </c>
      <c r="O226" s="169"/>
      <c r="P226" s="170">
        <f t="shared" si="31"/>
        <v>20</v>
      </c>
      <c r="Q226" s="168">
        <v>35</v>
      </c>
      <c r="R226" s="169"/>
      <c r="S226" s="170">
        <f t="shared" si="32"/>
        <v>35</v>
      </c>
      <c r="T226" s="171">
        <v>30</v>
      </c>
      <c r="U226" s="169"/>
      <c r="V226" s="170">
        <f t="shared" si="33"/>
        <v>30</v>
      </c>
      <c r="W226" s="2"/>
    </row>
    <row r="227" spans="1:23" ht="15" customHeight="1">
      <c r="A227" s="49">
        <v>68</v>
      </c>
      <c r="B227" s="50" t="s">
        <v>19</v>
      </c>
      <c r="C227" s="50" t="s">
        <v>218</v>
      </c>
      <c r="D227" s="49">
        <v>10</v>
      </c>
      <c r="E227" s="49">
        <v>10</v>
      </c>
      <c r="F227" s="50">
        <f t="shared" si="34"/>
        <v>10</v>
      </c>
      <c r="G227" s="47" t="s">
        <v>689</v>
      </c>
      <c r="H227" s="168">
        <v>30</v>
      </c>
      <c r="I227" s="169"/>
      <c r="J227" s="170">
        <f t="shared" si="29"/>
        <v>20</v>
      </c>
      <c r="K227" s="168">
        <v>25</v>
      </c>
      <c r="L227" s="169"/>
      <c r="M227" s="170">
        <f t="shared" si="30"/>
        <v>15</v>
      </c>
      <c r="N227" s="168">
        <v>20</v>
      </c>
      <c r="O227" s="169"/>
      <c r="P227" s="170">
        <f t="shared" si="31"/>
        <v>10</v>
      </c>
      <c r="Q227" s="168">
        <v>35</v>
      </c>
      <c r="R227" s="169"/>
      <c r="S227" s="170">
        <f t="shared" si="32"/>
        <v>25</v>
      </c>
      <c r="T227" s="171">
        <v>40</v>
      </c>
      <c r="U227" s="169"/>
      <c r="V227" s="170">
        <f t="shared" si="33"/>
        <v>30</v>
      </c>
      <c r="W227" s="2"/>
    </row>
    <row r="228" spans="1:23" ht="15" customHeight="1">
      <c r="A228" s="51">
        <v>70</v>
      </c>
      <c r="B228" s="50" t="s">
        <v>19</v>
      </c>
      <c r="C228" s="49" t="s">
        <v>223</v>
      </c>
      <c r="D228" s="49">
        <v>20</v>
      </c>
      <c r="E228" s="49">
        <v>20</v>
      </c>
      <c r="F228" s="50">
        <f t="shared" si="34"/>
        <v>20</v>
      </c>
      <c r="G228" s="47" t="s">
        <v>690</v>
      </c>
      <c r="H228" s="168">
        <v>20</v>
      </c>
      <c r="I228" s="169"/>
      <c r="J228" s="170">
        <f t="shared" si="29"/>
        <v>0</v>
      </c>
      <c r="K228" s="168">
        <v>25</v>
      </c>
      <c r="L228" s="169"/>
      <c r="M228" s="170">
        <f t="shared" si="30"/>
        <v>5</v>
      </c>
      <c r="N228" s="168">
        <v>10</v>
      </c>
      <c r="O228" s="169"/>
      <c r="P228" s="170">
        <f t="shared" si="31"/>
        <v>10</v>
      </c>
      <c r="Q228" s="168">
        <v>25</v>
      </c>
      <c r="R228" s="169"/>
      <c r="S228" s="170">
        <f t="shared" si="32"/>
        <v>5</v>
      </c>
      <c r="T228" s="171">
        <v>40</v>
      </c>
      <c r="U228" s="169"/>
      <c r="V228" s="170">
        <f t="shared" si="33"/>
        <v>20</v>
      </c>
      <c r="W228" s="2"/>
    </row>
    <row r="229" spans="1:23" ht="15" customHeight="1">
      <c r="A229" s="49">
        <v>71</v>
      </c>
      <c r="B229" s="50" t="s">
        <v>19</v>
      </c>
      <c r="C229" s="50" t="s">
        <v>226</v>
      </c>
      <c r="D229" s="49">
        <v>20</v>
      </c>
      <c r="E229" s="49">
        <v>30</v>
      </c>
      <c r="F229" s="50">
        <f t="shared" si="34"/>
        <v>25</v>
      </c>
      <c r="G229" s="47" t="s">
        <v>691</v>
      </c>
      <c r="H229" s="168">
        <v>30</v>
      </c>
      <c r="I229" s="169"/>
      <c r="J229" s="170">
        <f t="shared" si="29"/>
        <v>5</v>
      </c>
      <c r="K229" s="168">
        <v>10</v>
      </c>
      <c r="L229" s="169"/>
      <c r="M229" s="170">
        <f t="shared" si="30"/>
        <v>15</v>
      </c>
      <c r="N229" s="168">
        <v>25</v>
      </c>
      <c r="O229" s="169"/>
      <c r="P229" s="170">
        <f t="shared" si="31"/>
        <v>0</v>
      </c>
      <c r="Q229" s="168">
        <v>25</v>
      </c>
      <c r="R229" s="169"/>
      <c r="S229" s="170">
        <f t="shared" si="32"/>
        <v>0</v>
      </c>
      <c r="T229" s="171">
        <v>40</v>
      </c>
      <c r="U229" s="169"/>
      <c r="V229" s="170">
        <f t="shared" si="33"/>
        <v>15</v>
      </c>
      <c r="W229" s="2"/>
    </row>
    <row r="230" spans="1:23" ht="15" customHeight="1">
      <c r="A230" s="49">
        <v>72</v>
      </c>
      <c r="B230" s="50" t="s">
        <v>19</v>
      </c>
      <c r="C230" s="50" t="s">
        <v>229</v>
      </c>
      <c r="D230" s="49">
        <v>5</v>
      </c>
      <c r="E230" s="49">
        <v>10</v>
      </c>
      <c r="F230" s="50">
        <f t="shared" si="34"/>
        <v>7.5</v>
      </c>
      <c r="G230" s="47" t="s">
        <v>692</v>
      </c>
      <c r="H230" s="168">
        <v>30</v>
      </c>
      <c r="I230" s="169"/>
      <c r="J230" s="170">
        <f t="shared" si="29"/>
        <v>22.5</v>
      </c>
      <c r="K230" s="168">
        <v>25</v>
      </c>
      <c r="L230" s="169"/>
      <c r="M230" s="170">
        <f t="shared" si="30"/>
        <v>17.5</v>
      </c>
      <c r="N230" s="168">
        <v>35</v>
      </c>
      <c r="O230" s="169"/>
      <c r="P230" s="170">
        <f t="shared" si="31"/>
        <v>27.5</v>
      </c>
      <c r="Q230" s="168">
        <v>35</v>
      </c>
      <c r="R230" s="169"/>
      <c r="S230" s="170">
        <f t="shared" si="32"/>
        <v>27.5</v>
      </c>
      <c r="T230" s="171">
        <v>40</v>
      </c>
      <c r="U230" s="169"/>
      <c r="V230" s="170">
        <f t="shared" si="33"/>
        <v>32.5</v>
      </c>
      <c r="W230" s="2"/>
    </row>
    <row r="231" spans="1:23" ht="15" customHeight="1">
      <c r="A231" s="43">
        <v>73</v>
      </c>
      <c r="B231" s="50" t="s">
        <v>19</v>
      </c>
      <c r="C231" s="50" t="s">
        <v>232</v>
      </c>
      <c r="D231" s="49">
        <v>10</v>
      </c>
      <c r="E231" s="49">
        <v>20</v>
      </c>
      <c r="F231" s="50">
        <f t="shared" si="34"/>
        <v>15</v>
      </c>
      <c r="G231" s="47" t="s">
        <v>693</v>
      </c>
      <c r="H231" s="168">
        <v>10</v>
      </c>
      <c r="I231" s="169"/>
      <c r="J231" s="170">
        <f t="shared" si="29"/>
        <v>5</v>
      </c>
      <c r="K231" s="168">
        <v>10</v>
      </c>
      <c r="L231" s="169"/>
      <c r="M231" s="170">
        <f t="shared" si="30"/>
        <v>5</v>
      </c>
      <c r="N231" s="168">
        <v>10</v>
      </c>
      <c r="O231" s="169"/>
      <c r="P231" s="170">
        <f t="shared" si="31"/>
        <v>5</v>
      </c>
      <c r="Q231" s="168">
        <v>15</v>
      </c>
      <c r="R231" s="169"/>
      <c r="S231" s="170">
        <f t="shared" si="32"/>
        <v>0</v>
      </c>
      <c r="T231" s="171">
        <v>20</v>
      </c>
      <c r="U231" s="169"/>
      <c r="V231" s="170">
        <f t="shared" si="33"/>
        <v>5</v>
      </c>
      <c r="W231" s="2"/>
    </row>
    <row r="232" spans="1:23" ht="15" customHeight="1">
      <c r="A232" s="49">
        <v>74</v>
      </c>
      <c r="B232" s="50" t="s">
        <v>19</v>
      </c>
      <c r="C232" s="50" t="s">
        <v>235</v>
      </c>
      <c r="D232" s="49">
        <v>20</v>
      </c>
      <c r="E232" s="49">
        <v>20</v>
      </c>
      <c r="F232" s="50">
        <f t="shared" si="34"/>
        <v>20</v>
      </c>
      <c r="G232" s="47" t="s">
        <v>694</v>
      </c>
      <c r="H232" s="168">
        <v>30</v>
      </c>
      <c r="I232" s="169"/>
      <c r="J232" s="170">
        <f t="shared" si="29"/>
        <v>10</v>
      </c>
      <c r="K232" s="168">
        <v>40</v>
      </c>
      <c r="L232" s="169"/>
      <c r="M232" s="170">
        <f t="shared" si="30"/>
        <v>20</v>
      </c>
      <c r="N232" s="168">
        <v>35</v>
      </c>
      <c r="O232" s="169"/>
      <c r="P232" s="170">
        <f t="shared" si="31"/>
        <v>15</v>
      </c>
      <c r="Q232" s="168">
        <v>35</v>
      </c>
      <c r="R232" s="169"/>
      <c r="S232" s="170">
        <f t="shared" si="32"/>
        <v>15</v>
      </c>
      <c r="T232" s="171">
        <v>35</v>
      </c>
      <c r="U232" s="169"/>
      <c r="V232" s="170">
        <f t="shared" si="33"/>
        <v>15</v>
      </c>
      <c r="W232" s="2"/>
    </row>
    <row r="233" spans="1:23" ht="15" customHeight="1">
      <c r="A233" s="49">
        <v>75</v>
      </c>
      <c r="B233" s="50" t="s">
        <v>19</v>
      </c>
      <c r="C233" s="50" t="s">
        <v>238</v>
      </c>
      <c r="D233" s="49">
        <v>0</v>
      </c>
      <c r="E233" s="49">
        <v>0</v>
      </c>
      <c r="F233" s="50">
        <f t="shared" si="34"/>
        <v>0</v>
      </c>
      <c r="G233" s="47" t="s">
        <v>695</v>
      </c>
      <c r="H233" s="168">
        <v>20</v>
      </c>
      <c r="I233" s="169"/>
      <c r="J233" s="170">
        <f t="shared" si="29"/>
        <v>20</v>
      </c>
      <c r="K233" s="168">
        <v>20</v>
      </c>
      <c r="L233" s="169"/>
      <c r="M233" s="170">
        <f t="shared" si="30"/>
        <v>20</v>
      </c>
      <c r="N233" s="168">
        <v>20</v>
      </c>
      <c r="O233" s="169"/>
      <c r="P233" s="170">
        <f t="shared" si="31"/>
        <v>20</v>
      </c>
      <c r="Q233" s="168">
        <v>20</v>
      </c>
      <c r="R233" s="169"/>
      <c r="S233" s="170">
        <f t="shared" si="32"/>
        <v>20</v>
      </c>
      <c r="T233" s="171">
        <v>20</v>
      </c>
      <c r="U233" s="169"/>
      <c r="V233" s="170">
        <f t="shared" si="33"/>
        <v>20</v>
      </c>
      <c r="W233" s="2"/>
    </row>
    <row r="234" spans="1:23" ht="15" customHeight="1">
      <c r="A234" s="51">
        <v>76</v>
      </c>
      <c r="B234" s="50" t="s">
        <v>19</v>
      </c>
      <c r="C234" s="50" t="s">
        <v>241</v>
      </c>
      <c r="D234" s="49">
        <v>40</v>
      </c>
      <c r="E234" s="49">
        <v>40</v>
      </c>
      <c r="F234" s="50">
        <f t="shared" si="34"/>
        <v>40</v>
      </c>
      <c r="G234" s="47" t="s">
        <v>696</v>
      </c>
      <c r="H234" s="168">
        <v>30</v>
      </c>
      <c r="I234" s="169"/>
      <c r="J234" s="170">
        <f t="shared" si="29"/>
        <v>10</v>
      </c>
      <c r="K234" s="168">
        <v>25</v>
      </c>
      <c r="L234" s="169"/>
      <c r="M234" s="170">
        <f t="shared" si="30"/>
        <v>15</v>
      </c>
      <c r="N234" s="168">
        <v>25</v>
      </c>
      <c r="O234" s="169"/>
      <c r="P234" s="170">
        <f t="shared" si="31"/>
        <v>15</v>
      </c>
      <c r="Q234" s="168">
        <v>30</v>
      </c>
      <c r="R234" s="169"/>
      <c r="S234" s="170">
        <f t="shared" si="32"/>
        <v>10</v>
      </c>
      <c r="T234" s="171">
        <v>25</v>
      </c>
      <c r="U234" s="169"/>
      <c r="V234" s="170">
        <f t="shared" si="33"/>
        <v>15</v>
      </c>
      <c r="W234" s="2"/>
    </row>
    <row r="235" spans="1:23" ht="15" customHeight="1">
      <c r="A235" s="49">
        <v>77</v>
      </c>
      <c r="B235" s="50" t="s">
        <v>19</v>
      </c>
      <c r="C235" s="50" t="s">
        <v>244</v>
      </c>
      <c r="D235" s="49">
        <v>40</v>
      </c>
      <c r="E235" s="49">
        <v>40</v>
      </c>
      <c r="F235" s="50">
        <f t="shared" si="34"/>
        <v>40</v>
      </c>
      <c r="G235" s="47" t="s">
        <v>697</v>
      </c>
      <c r="H235" s="168">
        <v>30</v>
      </c>
      <c r="I235" s="169"/>
      <c r="J235" s="170">
        <f t="shared" si="29"/>
        <v>10</v>
      </c>
      <c r="K235" s="168">
        <v>40</v>
      </c>
      <c r="L235" s="169"/>
      <c r="M235" s="170">
        <f t="shared" si="30"/>
        <v>0</v>
      </c>
      <c r="N235" s="168">
        <v>35</v>
      </c>
      <c r="O235" s="169"/>
      <c r="P235" s="170">
        <f t="shared" si="31"/>
        <v>5</v>
      </c>
      <c r="Q235" s="168">
        <v>35</v>
      </c>
      <c r="R235" s="169"/>
      <c r="S235" s="170">
        <f t="shared" si="32"/>
        <v>5</v>
      </c>
      <c r="T235" s="171">
        <v>40</v>
      </c>
      <c r="U235" s="169"/>
      <c r="V235" s="170">
        <f t="shared" si="33"/>
        <v>0</v>
      </c>
      <c r="W235" s="2"/>
    </row>
    <row r="236" spans="1:23" ht="15" customHeight="1">
      <c r="A236" s="49">
        <v>78</v>
      </c>
      <c r="B236" s="50" t="s">
        <v>19</v>
      </c>
      <c r="C236" s="50" t="s">
        <v>247</v>
      </c>
      <c r="D236" s="49">
        <v>40</v>
      </c>
      <c r="E236" s="49">
        <v>40</v>
      </c>
      <c r="F236" s="50">
        <f t="shared" si="34"/>
        <v>40</v>
      </c>
      <c r="G236" s="47" t="s">
        <v>698</v>
      </c>
      <c r="H236" s="168">
        <v>30</v>
      </c>
      <c r="I236" s="169"/>
      <c r="J236" s="170">
        <f t="shared" si="29"/>
        <v>10</v>
      </c>
      <c r="K236" s="168">
        <v>30</v>
      </c>
      <c r="L236" s="169"/>
      <c r="M236" s="170">
        <f t="shared" si="30"/>
        <v>10</v>
      </c>
      <c r="N236" s="168">
        <v>35</v>
      </c>
      <c r="O236" s="169"/>
      <c r="P236" s="170">
        <f t="shared" si="31"/>
        <v>5</v>
      </c>
      <c r="Q236" s="168">
        <v>35</v>
      </c>
      <c r="R236" s="169"/>
      <c r="S236" s="170">
        <f t="shared" si="32"/>
        <v>5</v>
      </c>
      <c r="T236" s="171">
        <v>40</v>
      </c>
      <c r="U236" s="169"/>
      <c r="V236" s="170">
        <f t="shared" si="33"/>
        <v>0</v>
      </c>
      <c r="W236" s="2"/>
    </row>
    <row r="237" spans="1:23" ht="15" customHeight="1">
      <c r="A237" s="49">
        <v>80</v>
      </c>
      <c r="B237" s="50" t="s">
        <v>19</v>
      </c>
      <c r="C237" s="49" t="s">
        <v>252</v>
      </c>
      <c r="D237" s="49">
        <v>0</v>
      </c>
      <c r="E237" s="49">
        <v>5</v>
      </c>
      <c r="F237" s="50">
        <f t="shared" si="34"/>
        <v>2.5</v>
      </c>
      <c r="G237" s="47" t="s">
        <v>699</v>
      </c>
      <c r="H237" s="168">
        <v>30</v>
      </c>
      <c r="I237" s="169"/>
      <c r="J237" s="170">
        <f t="shared" si="29"/>
        <v>27.5</v>
      </c>
      <c r="K237" s="168">
        <v>30</v>
      </c>
      <c r="L237" s="169"/>
      <c r="M237" s="170">
        <f t="shared" si="30"/>
        <v>27.5</v>
      </c>
      <c r="N237" s="168">
        <v>35</v>
      </c>
      <c r="O237" s="169"/>
      <c r="P237" s="170">
        <f t="shared" si="31"/>
        <v>32.5</v>
      </c>
      <c r="Q237" s="168">
        <v>35</v>
      </c>
      <c r="R237" s="169"/>
      <c r="S237" s="170">
        <f t="shared" si="32"/>
        <v>32.5</v>
      </c>
      <c r="T237" s="171">
        <v>20</v>
      </c>
      <c r="U237" s="169"/>
      <c r="V237" s="170">
        <f t="shared" si="33"/>
        <v>17.5</v>
      </c>
      <c r="W237" s="2"/>
    </row>
    <row r="238" spans="1:23" ht="15" customHeight="1">
      <c r="A238" s="49">
        <v>81</v>
      </c>
      <c r="B238" s="50" t="s">
        <v>19</v>
      </c>
      <c r="C238" s="49" t="s">
        <v>255</v>
      </c>
      <c r="D238" s="49">
        <v>10</v>
      </c>
      <c r="E238" s="49">
        <v>10</v>
      </c>
      <c r="F238" s="50">
        <f t="shared" si="34"/>
        <v>10</v>
      </c>
      <c r="G238" s="47" t="s">
        <v>700</v>
      </c>
      <c r="H238" s="168">
        <v>20</v>
      </c>
      <c r="I238" s="169"/>
      <c r="J238" s="170">
        <f t="shared" si="29"/>
        <v>10</v>
      </c>
      <c r="K238" s="168">
        <v>20</v>
      </c>
      <c r="L238" s="169"/>
      <c r="M238" s="170">
        <f t="shared" si="30"/>
        <v>10</v>
      </c>
      <c r="N238" s="168">
        <v>15</v>
      </c>
      <c r="O238" s="169"/>
      <c r="P238" s="170">
        <f t="shared" si="31"/>
        <v>5</v>
      </c>
      <c r="Q238" s="168">
        <v>25</v>
      </c>
      <c r="R238" s="169"/>
      <c r="S238" s="170">
        <f t="shared" si="32"/>
        <v>15</v>
      </c>
      <c r="T238" s="171">
        <v>20</v>
      </c>
      <c r="U238" s="169"/>
      <c r="V238" s="170">
        <f t="shared" si="33"/>
        <v>10</v>
      </c>
      <c r="W238" s="2"/>
    </row>
    <row r="239" spans="1:23" ht="15" customHeight="1">
      <c r="A239" s="43">
        <v>82</v>
      </c>
      <c r="B239" s="50" t="s">
        <v>19</v>
      </c>
      <c r="C239" s="49" t="s">
        <v>258</v>
      </c>
      <c r="D239" s="49">
        <v>30</v>
      </c>
      <c r="E239" s="49">
        <v>32</v>
      </c>
      <c r="F239" s="50">
        <f t="shared" si="34"/>
        <v>31</v>
      </c>
      <c r="G239" s="47" t="s">
        <v>701</v>
      </c>
      <c r="H239" s="168">
        <v>30</v>
      </c>
      <c r="I239" s="169"/>
      <c r="J239" s="170">
        <f t="shared" si="29"/>
        <v>1</v>
      </c>
      <c r="K239" s="168">
        <v>30</v>
      </c>
      <c r="L239" s="169"/>
      <c r="M239" s="170">
        <f t="shared" si="30"/>
        <v>1</v>
      </c>
      <c r="N239" s="168">
        <v>40</v>
      </c>
      <c r="O239" s="169"/>
      <c r="P239" s="170">
        <f t="shared" si="31"/>
        <v>9</v>
      </c>
      <c r="Q239" s="168">
        <v>35</v>
      </c>
      <c r="R239" s="169"/>
      <c r="S239" s="170">
        <f t="shared" si="32"/>
        <v>4</v>
      </c>
      <c r="T239" s="171">
        <v>35</v>
      </c>
      <c r="U239" s="169"/>
      <c r="V239" s="170">
        <f t="shared" si="33"/>
        <v>4</v>
      </c>
      <c r="W239" s="2"/>
    </row>
    <row r="240" spans="1:23" ht="15" customHeight="1">
      <c r="A240" s="49">
        <v>83</v>
      </c>
      <c r="B240" s="50" t="s">
        <v>19</v>
      </c>
      <c r="C240" s="50" t="s">
        <v>261</v>
      </c>
      <c r="D240" s="49">
        <v>0</v>
      </c>
      <c r="E240" s="49">
        <v>0</v>
      </c>
      <c r="F240" s="50">
        <f t="shared" si="34"/>
        <v>0</v>
      </c>
      <c r="G240" s="47" t="s">
        <v>702</v>
      </c>
      <c r="H240" s="168">
        <v>20</v>
      </c>
      <c r="I240" s="169"/>
      <c r="J240" s="170">
        <f t="shared" si="29"/>
        <v>20</v>
      </c>
      <c r="K240" s="168">
        <v>20</v>
      </c>
      <c r="L240" s="169"/>
      <c r="M240" s="170">
        <f t="shared" si="30"/>
        <v>20</v>
      </c>
      <c r="N240" s="168">
        <v>15</v>
      </c>
      <c r="O240" s="169"/>
      <c r="P240" s="170">
        <f t="shared" si="31"/>
        <v>15</v>
      </c>
      <c r="Q240" s="168">
        <v>25</v>
      </c>
      <c r="R240" s="169"/>
      <c r="S240" s="170">
        <f t="shared" si="32"/>
        <v>25</v>
      </c>
      <c r="T240" s="171">
        <v>20</v>
      </c>
      <c r="U240" s="169"/>
      <c r="V240" s="170">
        <f t="shared" si="33"/>
        <v>20</v>
      </c>
      <c r="W240" s="2"/>
    </row>
    <row r="241" spans="1:23" ht="15" customHeight="1">
      <c r="A241" s="49">
        <v>84</v>
      </c>
      <c r="B241" s="50" t="s">
        <v>19</v>
      </c>
      <c r="C241" s="50" t="s">
        <v>264</v>
      </c>
      <c r="D241" s="49">
        <v>30</v>
      </c>
      <c r="E241" s="49">
        <v>35</v>
      </c>
      <c r="F241" s="50">
        <f t="shared" si="34"/>
        <v>32.5</v>
      </c>
      <c r="G241" s="47" t="s">
        <v>703</v>
      </c>
      <c r="H241" s="168">
        <v>30</v>
      </c>
      <c r="I241" s="169"/>
      <c r="J241" s="170">
        <f t="shared" si="29"/>
        <v>2.5</v>
      </c>
      <c r="K241" s="168">
        <v>35</v>
      </c>
      <c r="L241" s="169"/>
      <c r="M241" s="170">
        <f t="shared" si="30"/>
        <v>2.5</v>
      </c>
      <c r="N241" s="168">
        <v>40</v>
      </c>
      <c r="O241" s="169"/>
      <c r="P241" s="170">
        <f t="shared" si="31"/>
        <v>7.5</v>
      </c>
      <c r="Q241" s="168">
        <v>35</v>
      </c>
      <c r="R241" s="169"/>
      <c r="S241" s="170">
        <f t="shared" si="32"/>
        <v>2.5</v>
      </c>
      <c r="T241" s="171">
        <v>35</v>
      </c>
      <c r="U241" s="169"/>
      <c r="V241" s="170">
        <f t="shared" si="33"/>
        <v>2.5</v>
      </c>
      <c r="W241" s="2"/>
    </row>
    <row r="242" spans="1:23" ht="15" customHeight="1">
      <c r="A242" s="51">
        <v>85</v>
      </c>
      <c r="B242" s="50" t="s">
        <v>19</v>
      </c>
      <c r="C242" s="50" t="s">
        <v>267</v>
      </c>
      <c r="D242" s="49">
        <v>40</v>
      </c>
      <c r="E242" s="49">
        <v>40</v>
      </c>
      <c r="F242" s="50">
        <f t="shared" si="34"/>
        <v>40</v>
      </c>
      <c r="G242" s="47" t="s">
        <v>704</v>
      </c>
      <c r="H242" s="168">
        <v>30</v>
      </c>
      <c r="I242" s="169"/>
      <c r="J242" s="170">
        <f t="shared" si="29"/>
        <v>10</v>
      </c>
      <c r="K242" s="168">
        <v>30</v>
      </c>
      <c r="L242" s="169"/>
      <c r="M242" s="170">
        <f t="shared" si="30"/>
        <v>10</v>
      </c>
      <c r="N242" s="168">
        <v>40</v>
      </c>
      <c r="O242" s="169"/>
      <c r="P242" s="170">
        <f t="shared" si="31"/>
        <v>0</v>
      </c>
      <c r="Q242" s="168">
        <v>35</v>
      </c>
      <c r="R242" s="169"/>
      <c r="S242" s="170">
        <f t="shared" si="32"/>
        <v>5</v>
      </c>
      <c r="T242" s="171">
        <v>40</v>
      </c>
      <c r="U242" s="169"/>
      <c r="V242" s="170">
        <f t="shared" si="33"/>
        <v>0</v>
      </c>
      <c r="W242" s="2"/>
    </row>
    <row r="243" spans="1:23" ht="15" customHeight="1">
      <c r="A243" s="49">
        <v>86</v>
      </c>
      <c r="B243" s="49" t="s">
        <v>19</v>
      </c>
      <c r="C243" s="50" t="s">
        <v>270</v>
      </c>
      <c r="D243" s="49" t="s">
        <v>623</v>
      </c>
      <c r="E243" s="49">
        <v>0</v>
      </c>
      <c r="F243" s="50">
        <f t="shared" si="34"/>
        <v>0</v>
      </c>
      <c r="G243" s="47" t="s">
        <v>705</v>
      </c>
      <c r="H243" s="168">
        <v>20</v>
      </c>
      <c r="I243" s="169"/>
      <c r="J243" s="170">
        <f t="shared" si="29"/>
        <v>20</v>
      </c>
      <c r="K243" s="168">
        <v>20</v>
      </c>
      <c r="L243" s="169"/>
      <c r="M243" s="170">
        <f t="shared" si="30"/>
        <v>20</v>
      </c>
      <c r="N243" s="168">
        <v>10</v>
      </c>
      <c r="O243" s="169"/>
      <c r="P243" s="170">
        <f t="shared" si="31"/>
        <v>10</v>
      </c>
      <c r="Q243" s="168">
        <v>15</v>
      </c>
      <c r="R243" s="169"/>
      <c r="S243" s="170">
        <f t="shared" si="32"/>
        <v>15</v>
      </c>
      <c r="T243" s="171">
        <v>20</v>
      </c>
      <c r="U243" s="169"/>
      <c r="V243" s="170">
        <f t="shared" si="33"/>
        <v>20</v>
      </c>
      <c r="W243" s="2"/>
    </row>
    <row r="244" spans="1:23" ht="15" customHeight="1">
      <c r="A244" s="49">
        <v>87</v>
      </c>
      <c r="B244" s="50" t="s">
        <v>19</v>
      </c>
      <c r="C244" s="50" t="s">
        <v>273</v>
      </c>
      <c r="D244" s="49">
        <v>40</v>
      </c>
      <c r="E244" s="49">
        <v>40</v>
      </c>
      <c r="F244" s="50">
        <f t="shared" si="34"/>
        <v>40</v>
      </c>
      <c r="G244" s="47" t="s">
        <v>706</v>
      </c>
      <c r="H244" s="168">
        <v>30</v>
      </c>
      <c r="I244" s="169"/>
      <c r="J244" s="170">
        <f t="shared" si="29"/>
        <v>10</v>
      </c>
      <c r="K244" s="168">
        <v>30</v>
      </c>
      <c r="L244" s="169"/>
      <c r="M244" s="170">
        <f t="shared" si="30"/>
        <v>10</v>
      </c>
      <c r="N244" s="168">
        <v>40</v>
      </c>
      <c r="O244" s="169"/>
      <c r="P244" s="170">
        <f t="shared" si="31"/>
        <v>0</v>
      </c>
      <c r="Q244" s="168">
        <v>35</v>
      </c>
      <c r="R244" s="169"/>
      <c r="S244" s="170">
        <f t="shared" si="32"/>
        <v>5</v>
      </c>
      <c r="T244" s="171">
        <v>30</v>
      </c>
      <c r="U244" s="169"/>
      <c r="V244" s="170">
        <f t="shared" si="33"/>
        <v>10</v>
      </c>
      <c r="W244" s="2"/>
    </row>
    <row r="245" spans="1:23" ht="15" customHeight="1">
      <c r="A245" s="43">
        <v>88</v>
      </c>
      <c r="B245" s="49" t="s">
        <v>19</v>
      </c>
      <c r="C245" s="50" t="s">
        <v>276</v>
      </c>
      <c r="D245" s="49">
        <v>20</v>
      </c>
      <c r="E245" s="49">
        <v>30</v>
      </c>
      <c r="F245" s="50">
        <f t="shared" si="34"/>
        <v>25</v>
      </c>
      <c r="G245" s="47" t="s">
        <v>707</v>
      </c>
      <c r="H245" s="168">
        <v>30</v>
      </c>
      <c r="I245" s="169"/>
      <c r="J245" s="170">
        <f t="shared" si="29"/>
        <v>5</v>
      </c>
      <c r="K245" s="168">
        <v>25</v>
      </c>
      <c r="L245" s="169"/>
      <c r="M245" s="170">
        <f t="shared" si="30"/>
        <v>0</v>
      </c>
      <c r="N245" s="168">
        <v>35</v>
      </c>
      <c r="O245" s="169"/>
      <c r="P245" s="170">
        <f t="shared" si="31"/>
        <v>10</v>
      </c>
      <c r="Q245" s="168">
        <v>30</v>
      </c>
      <c r="R245" s="169"/>
      <c r="S245" s="170">
        <f t="shared" si="32"/>
        <v>5</v>
      </c>
      <c r="T245" s="171">
        <v>30</v>
      </c>
      <c r="U245" s="169"/>
      <c r="V245" s="170">
        <f t="shared" si="33"/>
        <v>5</v>
      </c>
      <c r="W245" s="2"/>
    </row>
    <row r="246" spans="1:23" ht="15" customHeight="1">
      <c r="A246" s="49">
        <v>89</v>
      </c>
      <c r="B246" s="50" t="s">
        <v>19</v>
      </c>
      <c r="C246" s="50" t="s">
        <v>279</v>
      </c>
      <c r="D246" s="49">
        <v>0</v>
      </c>
      <c r="E246" s="49">
        <v>0</v>
      </c>
      <c r="F246" s="50">
        <f t="shared" si="34"/>
        <v>0</v>
      </c>
      <c r="G246" s="47" t="s">
        <v>708</v>
      </c>
      <c r="H246" s="168">
        <v>25</v>
      </c>
      <c r="I246" s="169"/>
      <c r="J246" s="170">
        <f t="shared" si="29"/>
        <v>25</v>
      </c>
      <c r="K246" s="168">
        <v>30</v>
      </c>
      <c r="L246" s="169"/>
      <c r="M246" s="170">
        <f t="shared" si="30"/>
        <v>30</v>
      </c>
      <c r="N246" s="168">
        <v>30</v>
      </c>
      <c r="O246" s="169"/>
      <c r="P246" s="170">
        <f t="shared" si="31"/>
        <v>30</v>
      </c>
      <c r="Q246" s="168">
        <v>35</v>
      </c>
      <c r="R246" s="169"/>
      <c r="S246" s="170">
        <f t="shared" si="32"/>
        <v>35</v>
      </c>
      <c r="T246" s="171">
        <v>30</v>
      </c>
      <c r="U246" s="169"/>
      <c r="V246" s="170">
        <f t="shared" si="33"/>
        <v>30</v>
      </c>
      <c r="W246" s="2"/>
    </row>
    <row r="247" spans="1:23" ht="15" customHeight="1">
      <c r="A247" s="49">
        <v>90</v>
      </c>
      <c r="B247" s="50" t="s">
        <v>19</v>
      </c>
      <c r="C247" s="50" t="s">
        <v>282</v>
      </c>
      <c r="D247" s="49">
        <v>30</v>
      </c>
      <c r="E247" s="49">
        <v>30</v>
      </c>
      <c r="F247" s="50">
        <f t="shared" si="34"/>
        <v>30</v>
      </c>
      <c r="G247" s="47" t="s">
        <v>709</v>
      </c>
      <c r="H247" s="168">
        <v>30</v>
      </c>
      <c r="I247" s="169"/>
      <c r="J247" s="170">
        <f t="shared" si="29"/>
        <v>0</v>
      </c>
      <c r="K247" s="168">
        <v>30</v>
      </c>
      <c r="L247" s="169"/>
      <c r="M247" s="170">
        <f t="shared" si="30"/>
        <v>0</v>
      </c>
      <c r="N247" s="168">
        <v>30</v>
      </c>
      <c r="O247" s="169"/>
      <c r="P247" s="170">
        <f t="shared" si="31"/>
        <v>0</v>
      </c>
      <c r="Q247" s="168">
        <v>30</v>
      </c>
      <c r="R247" s="169"/>
      <c r="S247" s="170">
        <f t="shared" si="32"/>
        <v>0</v>
      </c>
      <c r="T247" s="171">
        <v>35</v>
      </c>
      <c r="U247" s="169"/>
      <c r="V247" s="170">
        <f t="shared" si="33"/>
        <v>5</v>
      </c>
      <c r="W247" s="2"/>
    </row>
    <row r="248" spans="1:23" ht="15" customHeight="1">
      <c r="A248" s="51">
        <v>91</v>
      </c>
      <c r="B248" s="50" t="s">
        <v>19</v>
      </c>
      <c r="C248" s="50" t="s">
        <v>285</v>
      </c>
      <c r="D248" s="49">
        <v>40</v>
      </c>
      <c r="E248" s="49">
        <v>40</v>
      </c>
      <c r="F248" s="50">
        <f t="shared" si="34"/>
        <v>40</v>
      </c>
      <c r="G248" s="47" t="s">
        <v>710</v>
      </c>
      <c r="H248" s="168">
        <v>30</v>
      </c>
      <c r="I248" s="169"/>
      <c r="J248" s="170">
        <f t="shared" si="29"/>
        <v>10</v>
      </c>
      <c r="K248" s="168">
        <v>30</v>
      </c>
      <c r="L248" s="169"/>
      <c r="M248" s="170">
        <f t="shared" si="30"/>
        <v>10</v>
      </c>
      <c r="N248" s="168">
        <v>35</v>
      </c>
      <c r="O248" s="169"/>
      <c r="P248" s="170">
        <f t="shared" si="31"/>
        <v>5</v>
      </c>
      <c r="Q248" s="168">
        <v>35</v>
      </c>
      <c r="R248" s="169"/>
      <c r="S248" s="170">
        <f t="shared" si="32"/>
        <v>5</v>
      </c>
      <c r="T248" s="171">
        <v>35</v>
      </c>
      <c r="U248" s="169"/>
      <c r="V248" s="170">
        <f t="shared" si="33"/>
        <v>5</v>
      </c>
      <c r="W248" s="2"/>
    </row>
    <row r="249" spans="1:23" ht="15" customHeight="1">
      <c r="A249" s="49">
        <v>92</v>
      </c>
      <c r="B249" s="50" t="s">
        <v>19</v>
      </c>
      <c r="C249" s="50" t="s">
        <v>288</v>
      </c>
      <c r="D249" s="49">
        <v>30</v>
      </c>
      <c r="E249" s="49">
        <v>30</v>
      </c>
      <c r="F249" s="50">
        <f t="shared" si="34"/>
        <v>30</v>
      </c>
      <c r="G249" s="47" t="s">
        <v>711</v>
      </c>
      <c r="H249" s="168">
        <v>30</v>
      </c>
      <c r="I249" s="169"/>
      <c r="J249" s="170">
        <f t="shared" si="29"/>
        <v>0</v>
      </c>
      <c r="K249" s="168">
        <v>30</v>
      </c>
      <c r="L249" s="169"/>
      <c r="M249" s="170">
        <f t="shared" si="30"/>
        <v>0</v>
      </c>
      <c r="N249" s="168">
        <v>35</v>
      </c>
      <c r="O249" s="169"/>
      <c r="P249" s="170">
        <f t="shared" si="31"/>
        <v>5</v>
      </c>
      <c r="Q249" s="168">
        <v>35</v>
      </c>
      <c r="R249" s="169"/>
      <c r="S249" s="170">
        <f t="shared" si="32"/>
        <v>5</v>
      </c>
      <c r="T249" s="171">
        <v>35</v>
      </c>
      <c r="U249" s="169"/>
      <c r="V249" s="170">
        <f t="shared" si="33"/>
        <v>5</v>
      </c>
      <c r="W249" s="2"/>
    </row>
    <row r="250" spans="1:23" ht="15" customHeight="1">
      <c r="A250" s="49">
        <v>93</v>
      </c>
      <c r="B250" s="50" t="s">
        <v>19</v>
      </c>
      <c r="C250" s="50" t="s">
        <v>291</v>
      </c>
      <c r="D250" s="49">
        <v>10</v>
      </c>
      <c r="E250" s="49">
        <v>0</v>
      </c>
      <c r="F250" s="50">
        <f t="shared" si="34"/>
        <v>5</v>
      </c>
      <c r="G250" s="47" t="s">
        <v>712</v>
      </c>
      <c r="H250" s="168">
        <v>30</v>
      </c>
      <c r="I250" s="169"/>
      <c r="J250" s="170">
        <f t="shared" si="29"/>
        <v>25</v>
      </c>
      <c r="K250" s="168">
        <v>20</v>
      </c>
      <c r="L250" s="169"/>
      <c r="M250" s="170">
        <f t="shared" si="30"/>
        <v>15</v>
      </c>
      <c r="N250" s="168">
        <v>20</v>
      </c>
      <c r="O250" s="169"/>
      <c r="P250" s="170">
        <f t="shared" si="31"/>
        <v>15</v>
      </c>
      <c r="Q250" s="168">
        <v>25</v>
      </c>
      <c r="R250" s="169"/>
      <c r="S250" s="170">
        <f t="shared" si="32"/>
        <v>20</v>
      </c>
      <c r="T250" s="171">
        <v>20</v>
      </c>
      <c r="U250" s="169"/>
      <c r="V250" s="170">
        <f t="shared" si="33"/>
        <v>15</v>
      </c>
      <c r="W250" s="2"/>
    </row>
    <row r="251" spans="1:23" ht="15" customHeight="1">
      <c r="A251" s="43">
        <v>94</v>
      </c>
      <c r="B251" s="50" t="s">
        <v>19</v>
      </c>
      <c r="C251" s="50" t="s">
        <v>294</v>
      </c>
      <c r="D251" s="49">
        <v>30</v>
      </c>
      <c r="E251" s="49">
        <v>30</v>
      </c>
      <c r="F251" s="50">
        <f t="shared" si="34"/>
        <v>30</v>
      </c>
      <c r="G251" s="47" t="s">
        <v>713</v>
      </c>
      <c r="H251" s="168">
        <v>30</v>
      </c>
      <c r="I251" s="169"/>
      <c r="J251" s="170">
        <f t="shared" si="29"/>
        <v>0</v>
      </c>
      <c r="K251" s="168">
        <v>25</v>
      </c>
      <c r="L251" s="169"/>
      <c r="M251" s="170">
        <f t="shared" si="30"/>
        <v>5</v>
      </c>
      <c r="N251" s="168">
        <v>35</v>
      </c>
      <c r="O251" s="169"/>
      <c r="P251" s="170">
        <f t="shared" si="31"/>
        <v>5</v>
      </c>
      <c r="Q251" s="168">
        <v>35</v>
      </c>
      <c r="R251" s="169"/>
      <c r="S251" s="170">
        <f t="shared" si="32"/>
        <v>5</v>
      </c>
      <c r="T251" s="171">
        <v>30</v>
      </c>
      <c r="U251" s="169"/>
      <c r="V251" s="170">
        <f t="shared" si="33"/>
        <v>0</v>
      </c>
      <c r="W251" s="2"/>
    </row>
    <row r="252" spans="1:23" ht="15" customHeight="1">
      <c r="A252" s="49">
        <v>95</v>
      </c>
      <c r="B252" s="50" t="s">
        <v>19</v>
      </c>
      <c r="C252" s="49" t="s">
        <v>297</v>
      </c>
      <c r="D252" s="49">
        <v>12</v>
      </c>
      <c r="E252" s="49">
        <v>10</v>
      </c>
      <c r="F252" s="50">
        <f t="shared" si="34"/>
        <v>11</v>
      </c>
      <c r="G252" s="47" t="s">
        <v>714</v>
      </c>
      <c r="H252" s="168">
        <v>20</v>
      </c>
      <c r="I252" s="169"/>
      <c r="J252" s="170">
        <f t="shared" si="29"/>
        <v>9</v>
      </c>
      <c r="K252" s="168">
        <v>20</v>
      </c>
      <c r="L252" s="169"/>
      <c r="M252" s="170">
        <f t="shared" si="30"/>
        <v>9</v>
      </c>
      <c r="N252" s="168">
        <v>20</v>
      </c>
      <c r="O252" s="169"/>
      <c r="P252" s="170">
        <f t="shared" si="31"/>
        <v>9</v>
      </c>
      <c r="Q252" s="168">
        <v>20</v>
      </c>
      <c r="R252" s="169"/>
      <c r="S252" s="170">
        <f t="shared" si="32"/>
        <v>9</v>
      </c>
      <c r="T252" s="171">
        <v>20</v>
      </c>
      <c r="U252" s="169"/>
      <c r="V252" s="170">
        <f t="shared" si="33"/>
        <v>9</v>
      </c>
      <c r="W252" s="2"/>
    </row>
    <row r="253" spans="1:23" ht="15" customHeight="1">
      <c r="A253" s="49">
        <v>96</v>
      </c>
      <c r="B253" s="50" t="s">
        <v>19</v>
      </c>
      <c r="C253" s="49" t="s">
        <v>300</v>
      </c>
      <c r="D253" s="49">
        <v>20</v>
      </c>
      <c r="E253" s="49">
        <v>20</v>
      </c>
      <c r="F253" s="50">
        <f t="shared" si="34"/>
        <v>20</v>
      </c>
      <c r="G253" s="47" t="s">
        <v>715</v>
      </c>
      <c r="H253" s="168">
        <v>30</v>
      </c>
      <c r="I253" s="169"/>
      <c r="J253" s="170">
        <f t="shared" si="29"/>
        <v>10</v>
      </c>
      <c r="K253" s="168">
        <v>30</v>
      </c>
      <c r="L253" s="169"/>
      <c r="M253" s="170">
        <f t="shared" si="30"/>
        <v>10</v>
      </c>
      <c r="N253" s="168">
        <v>30</v>
      </c>
      <c r="O253" s="169"/>
      <c r="P253" s="170">
        <f t="shared" si="31"/>
        <v>10</v>
      </c>
      <c r="Q253" s="168">
        <v>25</v>
      </c>
      <c r="R253" s="169"/>
      <c r="S253" s="170">
        <f t="shared" si="32"/>
        <v>5</v>
      </c>
      <c r="T253" s="171">
        <v>20</v>
      </c>
      <c r="U253" s="169"/>
      <c r="V253" s="170">
        <f t="shared" si="33"/>
        <v>0</v>
      </c>
      <c r="W253" s="2"/>
    </row>
    <row r="254" spans="1:23" ht="15" customHeight="1">
      <c r="A254" s="51">
        <v>97</v>
      </c>
      <c r="B254" s="50" t="s">
        <v>19</v>
      </c>
      <c r="C254" s="50" t="s">
        <v>303</v>
      </c>
      <c r="D254" s="49">
        <v>10</v>
      </c>
      <c r="E254" s="49">
        <v>10</v>
      </c>
      <c r="F254" s="50">
        <f t="shared" si="34"/>
        <v>10</v>
      </c>
      <c r="G254" s="47" t="s">
        <v>716</v>
      </c>
      <c r="H254" s="168">
        <v>20</v>
      </c>
      <c r="I254" s="169"/>
      <c r="J254" s="170">
        <f t="shared" si="29"/>
        <v>10</v>
      </c>
      <c r="K254" s="168">
        <v>25</v>
      </c>
      <c r="L254" s="169"/>
      <c r="M254" s="170">
        <f t="shared" si="30"/>
        <v>15</v>
      </c>
      <c r="N254" s="168">
        <v>20</v>
      </c>
      <c r="O254" s="169"/>
      <c r="P254" s="170">
        <f t="shared" si="31"/>
        <v>10</v>
      </c>
      <c r="Q254" s="168">
        <v>25</v>
      </c>
      <c r="R254" s="169"/>
      <c r="S254" s="170">
        <f t="shared" si="32"/>
        <v>15</v>
      </c>
      <c r="T254" s="171">
        <v>20</v>
      </c>
      <c r="U254" s="169"/>
      <c r="V254" s="170">
        <f t="shared" si="33"/>
        <v>10</v>
      </c>
      <c r="W254" s="2"/>
    </row>
    <row r="255" spans="1:23" ht="15" customHeight="1">
      <c r="A255" s="49">
        <v>98</v>
      </c>
      <c r="B255" s="50" t="s">
        <v>19</v>
      </c>
      <c r="C255" s="50" t="s">
        <v>306</v>
      </c>
      <c r="D255" s="49">
        <v>35</v>
      </c>
      <c r="E255" s="49">
        <v>40</v>
      </c>
      <c r="F255" s="50">
        <f t="shared" si="34"/>
        <v>37.5</v>
      </c>
      <c r="G255" s="47" t="s">
        <v>717</v>
      </c>
      <c r="H255" s="168">
        <v>30</v>
      </c>
      <c r="I255" s="169"/>
      <c r="J255" s="170">
        <f t="shared" si="29"/>
        <v>7.5</v>
      </c>
      <c r="K255" s="168">
        <v>40</v>
      </c>
      <c r="L255" s="169"/>
      <c r="M255" s="170">
        <f t="shared" si="30"/>
        <v>2.5</v>
      </c>
      <c r="N255" s="168">
        <v>40</v>
      </c>
      <c r="O255" s="169"/>
      <c r="P255" s="170">
        <f t="shared" si="31"/>
        <v>2.5</v>
      </c>
      <c r="Q255" s="168">
        <v>35</v>
      </c>
      <c r="R255" s="169"/>
      <c r="S255" s="170">
        <f t="shared" si="32"/>
        <v>2.5</v>
      </c>
      <c r="T255" s="171">
        <v>40</v>
      </c>
      <c r="U255" s="169"/>
      <c r="V255" s="170">
        <f t="shared" si="33"/>
        <v>2.5</v>
      </c>
      <c r="W255" s="2"/>
    </row>
    <row r="256" spans="1:23" ht="15" customHeight="1">
      <c r="A256" s="49">
        <v>99</v>
      </c>
      <c r="B256" s="50" t="s">
        <v>19</v>
      </c>
      <c r="C256" s="50" t="s">
        <v>309</v>
      </c>
      <c r="D256" s="49">
        <v>30</v>
      </c>
      <c r="E256" s="49">
        <v>30</v>
      </c>
      <c r="F256" s="50">
        <f t="shared" si="34"/>
        <v>30</v>
      </c>
      <c r="G256" s="47" t="s">
        <v>718</v>
      </c>
      <c r="H256" s="168">
        <v>30</v>
      </c>
      <c r="I256" s="169"/>
      <c r="J256" s="170">
        <f t="shared" si="29"/>
        <v>0</v>
      </c>
      <c r="K256" s="168">
        <v>30</v>
      </c>
      <c r="L256" s="169"/>
      <c r="M256" s="170">
        <f t="shared" si="30"/>
        <v>0</v>
      </c>
      <c r="N256" s="168">
        <v>30</v>
      </c>
      <c r="O256" s="169"/>
      <c r="P256" s="170">
        <f t="shared" si="31"/>
        <v>0</v>
      </c>
      <c r="Q256" s="168">
        <v>25</v>
      </c>
      <c r="R256" s="169"/>
      <c r="S256" s="170">
        <f t="shared" si="32"/>
        <v>5</v>
      </c>
      <c r="T256" s="171">
        <v>25</v>
      </c>
      <c r="U256" s="169"/>
      <c r="V256" s="170">
        <f t="shared" si="33"/>
        <v>5</v>
      </c>
      <c r="W256" s="2"/>
    </row>
    <row r="257" spans="1:23" ht="15" customHeight="1">
      <c r="A257" s="43">
        <v>100</v>
      </c>
      <c r="B257" s="49" t="s">
        <v>19</v>
      </c>
      <c r="C257" s="50" t="s">
        <v>312</v>
      </c>
      <c r="D257" s="49">
        <v>20</v>
      </c>
      <c r="E257" s="49">
        <v>20</v>
      </c>
      <c r="F257" s="50">
        <f t="shared" si="34"/>
        <v>20</v>
      </c>
      <c r="G257" s="47" t="s">
        <v>719</v>
      </c>
      <c r="H257" s="168">
        <v>30</v>
      </c>
      <c r="I257" s="169"/>
      <c r="J257" s="170">
        <f t="shared" si="29"/>
        <v>10</v>
      </c>
      <c r="K257" s="168">
        <v>25</v>
      </c>
      <c r="L257" s="169"/>
      <c r="M257" s="170">
        <f t="shared" si="30"/>
        <v>5</v>
      </c>
      <c r="N257" s="168">
        <v>15</v>
      </c>
      <c r="O257" s="169"/>
      <c r="P257" s="170">
        <f t="shared" si="31"/>
        <v>5</v>
      </c>
      <c r="Q257" s="168">
        <v>30</v>
      </c>
      <c r="R257" s="169"/>
      <c r="S257" s="170">
        <f t="shared" si="32"/>
        <v>10</v>
      </c>
      <c r="T257" s="171">
        <v>30</v>
      </c>
      <c r="U257" s="169"/>
      <c r="V257" s="170">
        <f t="shared" si="33"/>
        <v>10</v>
      </c>
      <c r="W257" s="2"/>
    </row>
    <row r="258" spans="1:23" ht="15" customHeight="1">
      <c r="A258" s="49">
        <v>101</v>
      </c>
      <c r="B258" s="50" t="s">
        <v>19</v>
      </c>
      <c r="C258" s="50" t="s">
        <v>315</v>
      </c>
      <c r="D258" s="49">
        <v>10</v>
      </c>
      <c r="E258" s="49">
        <v>7</v>
      </c>
      <c r="F258" s="50">
        <f t="shared" si="34"/>
        <v>8.5</v>
      </c>
      <c r="G258" s="47" t="s">
        <v>720</v>
      </c>
      <c r="H258" s="168">
        <v>20</v>
      </c>
      <c r="I258" s="169"/>
      <c r="J258" s="170">
        <f t="shared" si="29"/>
        <v>11.5</v>
      </c>
      <c r="K258" s="168">
        <v>15</v>
      </c>
      <c r="L258" s="169"/>
      <c r="M258" s="170">
        <f t="shared" si="30"/>
        <v>6.5</v>
      </c>
      <c r="N258" s="168">
        <v>10</v>
      </c>
      <c r="O258" s="169"/>
      <c r="P258" s="170">
        <f t="shared" si="31"/>
        <v>1.5</v>
      </c>
      <c r="Q258" s="168">
        <v>25</v>
      </c>
      <c r="R258" s="169"/>
      <c r="S258" s="170">
        <f t="shared" si="32"/>
        <v>16.5</v>
      </c>
      <c r="T258" s="171">
        <v>35</v>
      </c>
      <c r="U258" s="169"/>
      <c r="V258" s="170">
        <f t="shared" si="33"/>
        <v>26.5</v>
      </c>
      <c r="W258" s="2"/>
    </row>
    <row r="259" spans="1:23" ht="15" customHeight="1">
      <c r="A259" s="49">
        <v>102</v>
      </c>
      <c r="B259" s="50" t="s">
        <v>19</v>
      </c>
      <c r="C259" s="49" t="s">
        <v>318</v>
      </c>
      <c r="D259" s="49">
        <v>20</v>
      </c>
      <c r="E259" s="49">
        <v>20</v>
      </c>
      <c r="F259" s="50">
        <f t="shared" si="34"/>
        <v>20</v>
      </c>
      <c r="G259" s="47" t="s">
        <v>721</v>
      </c>
      <c r="H259" s="168">
        <v>30</v>
      </c>
      <c r="I259" s="169"/>
      <c r="J259" s="170">
        <f t="shared" si="29"/>
        <v>10</v>
      </c>
      <c r="K259" s="168">
        <v>25</v>
      </c>
      <c r="L259" s="169"/>
      <c r="M259" s="170">
        <f t="shared" si="30"/>
        <v>5</v>
      </c>
      <c r="N259" s="168">
        <v>30</v>
      </c>
      <c r="O259" s="169"/>
      <c r="P259" s="170">
        <f t="shared" si="31"/>
        <v>10</v>
      </c>
      <c r="Q259" s="168">
        <v>30</v>
      </c>
      <c r="R259" s="169"/>
      <c r="S259" s="170">
        <f t="shared" si="32"/>
        <v>10</v>
      </c>
      <c r="T259" s="171">
        <v>30</v>
      </c>
      <c r="U259" s="169"/>
      <c r="V259" s="170">
        <f t="shared" si="33"/>
        <v>10</v>
      </c>
      <c r="W259" s="2"/>
    </row>
    <row r="260" spans="1:23" ht="15" customHeight="1">
      <c r="A260" s="51">
        <v>103</v>
      </c>
      <c r="B260" s="50" t="s">
        <v>19</v>
      </c>
      <c r="C260" s="50" t="s">
        <v>321</v>
      </c>
      <c r="D260" s="49">
        <v>30</v>
      </c>
      <c r="E260" s="49">
        <v>40</v>
      </c>
      <c r="F260" s="50">
        <f t="shared" si="34"/>
        <v>35</v>
      </c>
      <c r="G260" s="47" t="s">
        <v>722</v>
      </c>
      <c r="H260" s="168">
        <v>30</v>
      </c>
      <c r="I260" s="169"/>
      <c r="J260" s="170">
        <f t="shared" si="29"/>
        <v>5</v>
      </c>
      <c r="K260" s="168">
        <v>30</v>
      </c>
      <c r="L260" s="169"/>
      <c r="M260" s="170">
        <f t="shared" si="30"/>
        <v>5</v>
      </c>
      <c r="N260" s="168">
        <v>25</v>
      </c>
      <c r="O260" s="169"/>
      <c r="P260" s="170">
        <f t="shared" si="31"/>
        <v>10</v>
      </c>
      <c r="Q260" s="168">
        <v>25</v>
      </c>
      <c r="R260" s="169"/>
      <c r="S260" s="170">
        <f t="shared" si="32"/>
        <v>10</v>
      </c>
      <c r="T260" s="171">
        <v>40</v>
      </c>
      <c r="U260" s="169"/>
      <c r="V260" s="170">
        <f t="shared" si="33"/>
        <v>5</v>
      </c>
      <c r="W260" s="2"/>
    </row>
    <row r="261" spans="1:23" ht="15" customHeight="1">
      <c r="A261" s="49">
        <v>104</v>
      </c>
      <c r="B261" s="50" t="s">
        <v>19</v>
      </c>
      <c r="C261" s="50" t="s">
        <v>324</v>
      </c>
      <c r="D261" s="49">
        <v>40</v>
      </c>
      <c r="E261" s="49">
        <v>40</v>
      </c>
      <c r="F261" s="50">
        <f t="shared" si="34"/>
        <v>40</v>
      </c>
      <c r="G261" s="47" t="s">
        <v>723</v>
      </c>
      <c r="H261" s="168">
        <v>30</v>
      </c>
      <c r="I261" s="169"/>
      <c r="J261" s="170">
        <f t="shared" si="29"/>
        <v>10</v>
      </c>
      <c r="K261" s="168">
        <v>30</v>
      </c>
      <c r="L261" s="169"/>
      <c r="M261" s="170">
        <f t="shared" si="30"/>
        <v>10</v>
      </c>
      <c r="N261" s="168">
        <v>35</v>
      </c>
      <c r="O261" s="169"/>
      <c r="P261" s="170">
        <f t="shared" si="31"/>
        <v>5</v>
      </c>
      <c r="Q261" s="168">
        <v>25</v>
      </c>
      <c r="R261" s="169"/>
      <c r="S261" s="170">
        <f t="shared" si="32"/>
        <v>15</v>
      </c>
      <c r="T261" s="171">
        <v>20</v>
      </c>
      <c r="U261" s="169"/>
      <c r="V261" s="170">
        <f t="shared" si="33"/>
        <v>20</v>
      </c>
      <c r="W261" s="2"/>
    </row>
    <row r="262" spans="1:23" ht="15" customHeight="1">
      <c r="A262" s="49">
        <v>105</v>
      </c>
      <c r="B262" s="50" t="s">
        <v>19</v>
      </c>
      <c r="C262" s="49" t="s">
        <v>327</v>
      </c>
      <c r="D262" s="49">
        <v>25</v>
      </c>
      <c r="E262" s="49">
        <v>27</v>
      </c>
      <c r="F262" s="50">
        <f t="shared" si="34"/>
        <v>26</v>
      </c>
      <c r="G262" s="47" t="s">
        <v>724</v>
      </c>
      <c r="H262" s="168">
        <v>20</v>
      </c>
      <c r="I262" s="169"/>
      <c r="J262" s="170">
        <f t="shared" si="29"/>
        <v>6</v>
      </c>
      <c r="K262" s="168">
        <v>30</v>
      </c>
      <c r="L262" s="169"/>
      <c r="M262" s="170">
        <f t="shared" si="30"/>
        <v>4</v>
      </c>
      <c r="N262" s="168">
        <v>30</v>
      </c>
      <c r="O262" s="169"/>
      <c r="P262" s="170">
        <f t="shared" si="31"/>
        <v>4</v>
      </c>
      <c r="Q262" s="168">
        <v>30</v>
      </c>
      <c r="R262" s="169"/>
      <c r="S262" s="170">
        <f t="shared" si="32"/>
        <v>4</v>
      </c>
      <c r="T262" s="171">
        <v>30</v>
      </c>
      <c r="U262" s="169"/>
      <c r="V262" s="170">
        <f t="shared" si="33"/>
        <v>4</v>
      </c>
      <c r="W262" s="2"/>
    </row>
    <row r="263" spans="1:23" ht="15" customHeight="1">
      <c r="A263" s="43">
        <v>106</v>
      </c>
      <c r="B263" s="50" t="s">
        <v>19</v>
      </c>
      <c r="C263" s="50" t="s">
        <v>330</v>
      </c>
      <c r="D263" s="49">
        <v>40</v>
      </c>
      <c r="E263" s="49">
        <v>35</v>
      </c>
      <c r="F263" s="50">
        <f t="shared" si="34"/>
        <v>37.5</v>
      </c>
      <c r="G263" s="47" t="s">
        <v>725</v>
      </c>
      <c r="H263" s="168">
        <v>30</v>
      </c>
      <c r="I263" s="169"/>
      <c r="J263" s="170">
        <f t="shared" si="29"/>
        <v>7.5</v>
      </c>
      <c r="K263" s="168">
        <v>25</v>
      </c>
      <c r="L263" s="169"/>
      <c r="M263" s="170">
        <f t="shared" si="30"/>
        <v>12.5</v>
      </c>
      <c r="N263" s="168">
        <v>35</v>
      </c>
      <c r="O263" s="169"/>
      <c r="P263" s="170">
        <f t="shared" si="31"/>
        <v>2.5</v>
      </c>
      <c r="Q263" s="168">
        <v>25</v>
      </c>
      <c r="R263" s="169"/>
      <c r="S263" s="170">
        <f t="shared" si="32"/>
        <v>12.5</v>
      </c>
      <c r="T263" s="171">
        <v>30</v>
      </c>
      <c r="U263" s="169"/>
      <c r="V263" s="170">
        <f t="shared" si="33"/>
        <v>7.5</v>
      </c>
      <c r="W263" s="2"/>
    </row>
    <row r="264" spans="1:23" ht="15" customHeight="1">
      <c r="A264" s="49">
        <v>107</v>
      </c>
      <c r="B264" s="50" t="s">
        <v>19</v>
      </c>
      <c r="C264" s="50" t="s">
        <v>333</v>
      </c>
      <c r="D264" s="49">
        <v>10</v>
      </c>
      <c r="E264" s="49">
        <v>25</v>
      </c>
      <c r="F264" s="50">
        <f t="shared" si="34"/>
        <v>17.5</v>
      </c>
      <c r="G264" s="47" t="s">
        <v>726</v>
      </c>
      <c r="H264" s="168">
        <v>30</v>
      </c>
      <c r="I264" s="169"/>
      <c r="J264" s="170">
        <f t="shared" si="29"/>
        <v>12.5</v>
      </c>
      <c r="K264" s="168">
        <v>35</v>
      </c>
      <c r="L264" s="169"/>
      <c r="M264" s="170">
        <f t="shared" si="30"/>
        <v>17.5</v>
      </c>
      <c r="N264" s="168">
        <v>35</v>
      </c>
      <c r="O264" s="169"/>
      <c r="P264" s="170">
        <f t="shared" si="31"/>
        <v>17.5</v>
      </c>
      <c r="Q264" s="168">
        <v>35</v>
      </c>
      <c r="R264" s="169"/>
      <c r="S264" s="170">
        <f t="shared" si="32"/>
        <v>17.5</v>
      </c>
      <c r="T264" s="171">
        <v>40</v>
      </c>
      <c r="U264" s="169"/>
      <c r="V264" s="170">
        <f t="shared" si="33"/>
        <v>22.5</v>
      </c>
      <c r="W264" s="2"/>
    </row>
    <row r="265" spans="1:23" ht="15" customHeight="1">
      <c r="A265" s="49">
        <v>108</v>
      </c>
      <c r="B265" s="50" t="s">
        <v>19</v>
      </c>
      <c r="C265" s="49" t="s">
        <v>336</v>
      </c>
      <c r="D265" s="49">
        <v>25</v>
      </c>
      <c r="E265" s="49">
        <v>25</v>
      </c>
      <c r="F265" s="50">
        <f t="shared" si="34"/>
        <v>25</v>
      </c>
      <c r="G265" s="47" t="s">
        <v>727</v>
      </c>
      <c r="H265" s="168">
        <v>30</v>
      </c>
      <c r="I265" s="169"/>
      <c r="J265" s="170">
        <f t="shared" si="29"/>
        <v>5</v>
      </c>
      <c r="K265" s="168">
        <v>30</v>
      </c>
      <c r="L265" s="169"/>
      <c r="M265" s="170">
        <f t="shared" si="30"/>
        <v>5</v>
      </c>
      <c r="N265" s="168">
        <v>30</v>
      </c>
      <c r="O265" s="169"/>
      <c r="P265" s="170">
        <f t="shared" si="31"/>
        <v>5</v>
      </c>
      <c r="Q265" s="168">
        <v>25</v>
      </c>
      <c r="R265" s="169"/>
      <c r="S265" s="170">
        <f t="shared" si="32"/>
        <v>0</v>
      </c>
      <c r="T265" s="171">
        <v>35</v>
      </c>
      <c r="U265" s="169"/>
      <c r="V265" s="170">
        <f t="shared" si="33"/>
        <v>10</v>
      </c>
      <c r="W265" s="2"/>
    </row>
    <row r="266" spans="1:23" ht="15" customHeight="1">
      <c r="A266" s="51">
        <v>109</v>
      </c>
      <c r="B266" s="50" t="s">
        <v>19</v>
      </c>
      <c r="C266" s="50" t="s">
        <v>339</v>
      </c>
      <c r="D266" s="49">
        <v>35</v>
      </c>
      <c r="E266" s="49">
        <v>35</v>
      </c>
      <c r="F266" s="50">
        <f t="shared" si="34"/>
        <v>35</v>
      </c>
      <c r="G266" s="47" t="s">
        <v>728</v>
      </c>
      <c r="H266" s="168">
        <v>30</v>
      </c>
      <c r="I266" s="169"/>
      <c r="J266" s="170">
        <f t="shared" si="29"/>
        <v>5</v>
      </c>
      <c r="K266" s="168">
        <v>30</v>
      </c>
      <c r="L266" s="169"/>
      <c r="M266" s="170">
        <f t="shared" si="30"/>
        <v>5</v>
      </c>
      <c r="N266" s="168">
        <v>30</v>
      </c>
      <c r="O266" s="169"/>
      <c r="P266" s="170">
        <f t="shared" si="31"/>
        <v>5</v>
      </c>
      <c r="Q266" s="168">
        <v>25</v>
      </c>
      <c r="R266" s="169"/>
      <c r="S266" s="170">
        <f t="shared" si="32"/>
        <v>10</v>
      </c>
      <c r="T266" s="171">
        <v>30</v>
      </c>
      <c r="U266" s="169"/>
      <c r="V266" s="170">
        <f t="shared" si="33"/>
        <v>5</v>
      </c>
      <c r="W266" s="2"/>
    </row>
    <row r="267" spans="1:23" ht="15" customHeight="1">
      <c r="A267" s="49">
        <v>110</v>
      </c>
      <c r="B267" s="50" t="s">
        <v>19</v>
      </c>
      <c r="C267" s="50" t="s">
        <v>342</v>
      </c>
      <c r="D267" s="49">
        <v>30</v>
      </c>
      <c r="E267" s="49">
        <v>35</v>
      </c>
      <c r="F267" s="50">
        <f t="shared" si="34"/>
        <v>32.5</v>
      </c>
      <c r="G267" s="47" t="s">
        <v>729</v>
      </c>
      <c r="H267" s="168">
        <v>30</v>
      </c>
      <c r="I267" s="169"/>
      <c r="J267" s="170">
        <f t="shared" si="29"/>
        <v>2.5</v>
      </c>
      <c r="K267" s="168">
        <v>40</v>
      </c>
      <c r="L267" s="169"/>
      <c r="M267" s="170">
        <f t="shared" si="30"/>
        <v>7.5</v>
      </c>
      <c r="N267" s="168">
        <v>35</v>
      </c>
      <c r="O267" s="169"/>
      <c r="P267" s="170">
        <f t="shared" si="31"/>
        <v>2.5</v>
      </c>
      <c r="Q267" s="168">
        <v>40</v>
      </c>
      <c r="R267" s="169"/>
      <c r="S267" s="170">
        <f t="shared" si="32"/>
        <v>7.5</v>
      </c>
      <c r="T267" s="171">
        <v>30</v>
      </c>
      <c r="U267" s="169"/>
      <c r="V267" s="170">
        <f t="shared" si="33"/>
        <v>2.5</v>
      </c>
      <c r="W267" s="2"/>
    </row>
    <row r="268" spans="1:23" ht="15" customHeight="1">
      <c r="A268" s="49">
        <v>111</v>
      </c>
      <c r="B268" s="50" t="s">
        <v>19</v>
      </c>
      <c r="C268" s="50" t="s">
        <v>345</v>
      </c>
      <c r="D268" s="49">
        <v>10</v>
      </c>
      <c r="E268" s="49">
        <v>5</v>
      </c>
      <c r="F268" s="50">
        <f t="shared" si="34"/>
        <v>7.5</v>
      </c>
      <c r="G268" s="47" t="s">
        <v>730</v>
      </c>
      <c r="H268" s="168">
        <v>10</v>
      </c>
      <c r="I268" s="169"/>
      <c r="J268" s="170">
        <f t="shared" si="29"/>
        <v>2.5</v>
      </c>
      <c r="K268" s="168">
        <v>10</v>
      </c>
      <c r="L268" s="169"/>
      <c r="M268" s="170">
        <f t="shared" si="30"/>
        <v>2.5</v>
      </c>
      <c r="N268" s="168">
        <v>15</v>
      </c>
      <c r="O268" s="169"/>
      <c r="P268" s="170">
        <f t="shared" si="31"/>
        <v>7.5</v>
      </c>
      <c r="Q268" s="168">
        <v>15</v>
      </c>
      <c r="R268" s="169"/>
      <c r="S268" s="170">
        <f t="shared" si="32"/>
        <v>7.5</v>
      </c>
      <c r="T268" s="171">
        <v>15</v>
      </c>
      <c r="U268" s="169"/>
      <c r="V268" s="170">
        <f t="shared" si="33"/>
        <v>7.5</v>
      </c>
      <c r="W268" s="2"/>
    </row>
    <row r="269" spans="1:23" ht="15" customHeight="1">
      <c r="A269" s="43">
        <v>112</v>
      </c>
      <c r="B269" s="50" t="s">
        <v>19</v>
      </c>
      <c r="C269" s="49" t="s">
        <v>348</v>
      </c>
      <c r="D269" s="49">
        <v>12</v>
      </c>
      <c r="E269" s="49">
        <v>10</v>
      </c>
      <c r="F269" s="50">
        <f t="shared" si="34"/>
        <v>11</v>
      </c>
      <c r="G269" s="47" t="s">
        <v>731</v>
      </c>
      <c r="H269" s="168">
        <v>30</v>
      </c>
      <c r="I269" s="169"/>
      <c r="J269" s="170">
        <f t="shared" si="29"/>
        <v>19</v>
      </c>
      <c r="K269" s="168">
        <v>20</v>
      </c>
      <c r="L269" s="169"/>
      <c r="M269" s="170">
        <f t="shared" si="30"/>
        <v>9</v>
      </c>
      <c r="N269" s="168">
        <v>20</v>
      </c>
      <c r="O269" s="169"/>
      <c r="P269" s="170">
        <f t="shared" si="31"/>
        <v>9</v>
      </c>
      <c r="Q269" s="168">
        <v>25</v>
      </c>
      <c r="R269" s="169"/>
      <c r="S269" s="170">
        <f t="shared" si="32"/>
        <v>14</v>
      </c>
      <c r="T269" s="171">
        <v>20</v>
      </c>
      <c r="U269" s="169"/>
      <c r="V269" s="170">
        <f t="shared" si="33"/>
        <v>9</v>
      </c>
      <c r="W269" s="2"/>
    </row>
    <row r="270" spans="1:23" ht="15" customHeight="1">
      <c r="A270" s="49">
        <v>113</v>
      </c>
      <c r="B270" s="50" t="s">
        <v>19</v>
      </c>
      <c r="C270" s="49" t="s">
        <v>351</v>
      </c>
      <c r="D270" s="49">
        <v>25</v>
      </c>
      <c r="E270" s="49">
        <v>20</v>
      </c>
      <c r="F270" s="50">
        <f t="shared" si="34"/>
        <v>22.5</v>
      </c>
      <c r="G270" s="47" t="s">
        <v>732</v>
      </c>
      <c r="H270" s="168">
        <v>20</v>
      </c>
      <c r="I270" s="169"/>
      <c r="J270" s="170">
        <f t="shared" si="29"/>
        <v>2.5</v>
      </c>
      <c r="K270" s="168">
        <v>30</v>
      </c>
      <c r="L270" s="169"/>
      <c r="M270" s="170">
        <f t="shared" si="30"/>
        <v>7.5</v>
      </c>
      <c r="N270" s="168">
        <v>10</v>
      </c>
      <c r="O270" s="169"/>
      <c r="P270" s="170">
        <f t="shared" si="31"/>
        <v>12.5</v>
      </c>
      <c r="Q270" s="168">
        <v>30</v>
      </c>
      <c r="R270" s="169"/>
      <c r="S270" s="170">
        <f t="shared" si="32"/>
        <v>7.5</v>
      </c>
      <c r="T270" s="171">
        <v>40</v>
      </c>
      <c r="U270" s="169"/>
      <c r="V270" s="170">
        <f t="shared" si="33"/>
        <v>17.5</v>
      </c>
      <c r="W270" s="2"/>
    </row>
    <row r="271" spans="1:23" ht="15" customHeight="1">
      <c r="A271" s="49">
        <v>114</v>
      </c>
      <c r="B271" s="50" t="s">
        <v>19</v>
      </c>
      <c r="C271" s="50" t="s">
        <v>354</v>
      </c>
      <c r="D271" s="49">
        <v>10</v>
      </c>
      <c r="E271" s="49">
        <v>20</v>
      </c>
      <c r="F271" s="50">
        <f t="shared" si="34"/>
        <v>15</v>
      </c>
      <c r="G271" s="47" t="s">
        <v>733</v>
      </c>
      <c r="H271" s="168">
        <v>30</v>
      </c>
      <c r="I271" s="169"/>
      <c r="J271" s="170">
        <f t="shared" si="29"/>
        <v>15</v>
      </c>
      <c r="K271" s="168">
        <v>25</v>
      </c>
      <c r="L271" s="169"/>
      <c r="M271" s="170">
        <f t="shared" si="30"/>
        <v>10</v>
      </c>
      <c r="N271" s="168">
        <v>30</v>
      </c>
      <c r="O271" s="169"/>
      <c r="P271" s="170">
        <f t="shared" si="31"/>
        <v>15</v>
      </c>
      <c r="Q271" s="168">
        <v>35</v>
      </c>
      <c r="R271" s="169"/>
      <c r="S271" s="170">
        <f t="shared" si="32"/>
        <v>20</v>
      </c>
      <c r="T271" s="171">
        <v>40</v>
      </c>
      <c r="U271" s="169"/>
      <c r="V271" s="170">
        <f t="shared" si="33"/>
        <v>25</v>
      </c>
      <c r="W271" s="2"/>
    </row>
    <row r="272" spans="1:23" ht="15" customHeight="1">
      <c r="A272" s="51">
        <v>115</v>
      </c>
      <c r="B272" s="50" t="s">
        <v>19</v>
      </c>
      <c r="C272" s="50" t="s">
        <v>357</v>
      </c>
      <c r="D272" s="49">
        <v>30</v>
      </c>
      <c r="E272" s="49">
        <v>35</v>
      </c>
      <c r="F272" s="50">
        <f t="shared" si="34"/>
        <v>32.5</v>
      </c>
      <c r="G272" s="47" t="s">
        <v>734</v>
      </c>
      <c r="H272" s="168">
        <v>30</v>
      </c>
      <c r="I272" s="169"/>
      <c r="J272" s="170">
        <f t="shared" si="29"/>
        <v>2.5</v>
      </c>
      <c r="K272" s="168">
        <v>30</v>
      </c>
      <c r="L272" s="169"/>
      <c r="M272" s="170">
        <f t="shared" si="30"/>
        <v>2.5</v>
      </c>
      <c r="N272" s="168">
        <v>30</v>
      </c>
      <c r="O272" s="169"/>
      <c r="P272" s="170">
        <f t="shared" si="31"/>
        <v>2.5</v>
      </c>
      <c r="Q272" s="168">
        <v>30</v>
      </c>
      <c r="R272" s="169"/>
      <c r="S272" s="170">
        <f t="shared" si="32"/>
        <v>2.5</v>
      </c>
      <c r="T272" s="171">
        <v>35</v>
      </c>
      <c r="U272" s="169"/>
      <c r="V272" s="170">
        <f t="shared" si="33"/>
        <v>2.5</v>
      </c>
      <c r="W272" s="2"/>
    </row>
    <row r="273" spans="1:23" ht="15" customHeight="1">
      <c r="A273" s="49">
        <v>116</v>
      </c>
      <c r="B273" s="50" t="s">
        <v>19</v>
      </c>
      <c r="C273" s="50" t="s">
        <v>360</v>
      </c>
      <c r="D273" s="49">
        <v>20</v>
      </c>
      <c r="E273" s="49">
        <v>20</v>
      </c>
      <c r="F273" s="50">
        <f t="shared" si="34"/>
        <v>20</v>
      </c>
      <c r="G273" s="47" t="s">
        <v>735</v>
      </c>
      <c r="H273" s="168">
        <v>30</v>
      </c>
      <c r="I273" s="169"/>
      <c r="J273" s="170">
        <f t="shared" si="29"/>
        <v>10</v>
      </c>
      <c r="K273" s="168">
        <v>25</v>
      </c>
      <c r="L273" s="169"/>
      <c r="M273" s="170">
        <f t="shared" si="30"/>
        <v>5</v>
      </c>
      <c r="N273" s="168">
        <v>15</v>
      </c>
      <c r="O273" s="169"/>
      <c r="P273" s="170">
        <f t="shared" si="31"/>
        <v>5</v>
      </c>
      <c r="Q273" s="168">
        <v>30</v>
      </c>
      <c r="R273" s="169"/>
      <c r="S273" s="170">
        <f t="shared" si="32"/>
        <v>10</v>
      </c>
      <c r="T273" s="171">
        <v>20</v>
      </c>
      <c r="U273" s="169"/>
      <c r="V273" s="170">
        <f t="shared" si="33"/>
        <v>0</v>
      </c>
      <c r="W273" s="2"/>
    </row>
    <row r="274" spans="1:23" ht="15" customHeight="1">
      <c r="A274" s="49">
        <v>117</v>
      </c>
      <c r="B274" s="50" t="s">
        <v>19</v>
      </c>
      <c r="C274" s="50" t="s">
        <v>363</v>
      </c>
      <c r="D274" s="49">
        <v>10</v>
      </c>
      <c r="E274" s="49">
        <v>10</v>
      </c>
      <c r="F274" s="50">
        <f t="shared" si="34"/>
        <v>10</v>
      </c>
      <c r="G274" s="47" t="s">
        <v>736</v>
      </c>
      <c r="H274" s="168">
        <v>30</v>
      </c>
      <c r="I274" s="169"/>
      <c r="J274" s="170">
        <f t="shared" si="29"/>
        <v>20</v>
      </c>
      <c r="K274" s="168">
        <v>30</v>
      </c>
      <c r="L274" s="169"/>
      <c r="M274" s="170">
        <f t="shared" si="30"/>
        <v>20</v>
      </c>
      <c r="N274" s="168">
        <v>25</v>
      </c>
      <c r="O274" s="169"/>
      <c r="P274" s="170">
        <f t="shared" si="31"/>
        <v>15</v>
      </c>
      <c r="Q274" s="168">
        <v>25</v>
      </c>
      <c r="R274" s="169"/>
      <c r="S274" s="170">
        <f t="shared" si="32"/>
        <v>15</v>
      </c>
      <c r="T274" s="171">
        <v>40</v>
      </c>
      <c r="U274" s="169"/>
      <c r="V274" s="170">
        <f t="shared" si="33"/>
        <v>30</v>
      </c>
      <c r="W274" s="2"/>
    </row>
    <row r="275" spans="1:23" ht="15" customHeight="1">
      <c r="A275" s="43">
        <v>118</v>
      </c>
      <c r="B275" s="50" t="s">
        <v>19</v>
      </c>
      <c r="C275" s="50" t="s">
        <v>366</v>
      </c>
      <c r="D275" s="49">
        <v>40</v>
      </c>
      <c r="E275" s="49">
        <v>40</v>
      </c>
      <c r="F275" s="50">
        <f t="shared" si="34"/>
        <v>40</v>
      </c>
      <c r="G275" s="47" t="s">
        <v>737</v>
      </c>
      <c r="H275" s="168">
        <v>30</v>
      </c>
      <c r="I275" s="169"/>
      <c r="J275" s="170">
        <f t="shared" si="29"/>
        <v>10</v>
      </c>
      <c r="K275" s="168">
        <v>40</v>
      </c>
      <c r="L275" s="169"/>
      <c r="M275" s="170">
        <f t="shared" si="30"/>
        <v>0</v>
      </c>
      <c r="N275" s="168">
        <v>30</v>
      </c>
      <c r="O275" s="169"/>
      <c r="P275" s="170">
        <f t="shared" si="31"/>
        <v>10</v>
      </c>
      <c r="Q275" s="168">
        <v>35</v>
      </c>
      <c r="R275" s="169"/>
      <c r="S275" s="170">
        <f t="shared" si="32"/>
        <v>5</v>
      </c>
      <c r="T275" s="171">
        <v>35</v>
      </c>
      <c r="U275" s="169"/>
      <c r="V275" s="170">
        <f t="shared" si="33"/>
        <v>5</v>
      </c>
      <c r="W275" s="2"/>
    </row>
    <row r="276" spans="1:23" ht="15" customHeight="1">
      <c r="A276" s="49">
        <v>119</v>
      </c>
      <c r="B276" s="49" t="s">
        <v>19</v>
      </c>
      <c r="C276" s="49" t="s">
        <v>369</v>
      </c>
      <c r="D276" s="49">
        <v>20</v>
      </c>
      <c r="E276" s="49">
        <v>20</v>
      </c>
      <c r="F276" s="50">
        <f t="shared" si="34"/>
        <v>20</v>
      </c>
      <c r="G276" s="47" t="s">
        <v>738</v>
      </c>
      <c r="H276" s="168">
        <v>20</v>
      </c>
      <c r="I276" s="169"/>
      <c r="J276" s="170">
        <f t="shared" si="29"/>
        <v>0</v>
      </c>
      <c r="K276" s="168">
        <v>25</v>
      </c>
      <c r="L276" s="169"/>
      <c r="M276" s="170">
        <f t="shared" si="30"/>
        <v>5</v>
      </c>
      <c r="N276" s="168">
        <v>25</v>
      </c>
      <c r="O276" s="169"/>
      <c r="P276" s="170">
        <f t="shared" si="31"/>
        <v>5</v>
      </c>
      <c r="Q276" s="168">
        <v>30</v>
      </c>
      <c r="R276" s="169"/>
      <c r="S276" s="170">
        <f t="shared" si="32"/>
        <v>10</v>
      </c>
      <c r="T276" s="171">
        <v>30</v>
      </c>
      <c r="U276" s="169"/>
      <c r="V276" s="170">
        <f t="shared" si="33"/>
        <v>10</v>
      </c>
      <c r="W276" s="2"/>
    </row>
    <row r="277" spans="1:23" ht="15" customHeight="1">
      <c r="A277" s="49">
        <v>120</v>
      </c>
      <c r="B277" s="50" t="s">
        <v>19</v>
      </c>
      <c r="C277" s="49" t="s">
        <v>372</v>
      </c>
      <c r="D277" s="49">
        <v>20</v>
      </c>
      <c r="E277" s="49">
        <v>22</v>
      </c>
      <c r="F277" s="50">
        <f t="shared" si="34"/>
        <v>21</v>
      </c>
      <c r="G277" s="47" t="s">
        <v>739</v>
      </c>
      <c r="H277" s="168">
        <v>20</v>
      </c>
      <c r="I277" s="169"/>
      <c r="J277" s="170">
        <f t="shared" si="29"/>
        <v>1</v>
      </c>
      <c r="K277" s="168">
        <v>20</v>
      </c>
      <c r="L277" s="169"/>
      <c r="M277" s="170">
        <f t="shared" si="30"/>
        <v>1</v>
      </c>
      <c r="N277" s="168">
        <v>20</v>
      </c>
      <c r="O277" s="169"/>
      <c r="P277" s="170">
        <f t="shared" si="31"/>
        <v>1</v>
      </c>
      <c r="Q277" s="168">
        <v>25</v>
      </c>
      <c r="R277" s="169"/>
      <c r="S277" s="170">
        <f t="shared" si="32"/>
        <v>4</v>
      </c>
      <c r="T277" s="171">
        <v>20</v>
      </c>
      <c r="U277" s="169"/>
      <c r="V277" s="170">
        <f t="shared" si="33"/>
        <v>1</v>
      </c>
      <c r="W277" s="2"/>
    </row>
    <row r="278" spans="1:23" ht="15" customHeight="1">
      <c r="A278" s="51">
        <v>121</v>
      </c>
      <c r="B278" s="50" t="s">
        <v>19</v>
      </c>
      <c r="C278" s="50" t="s">
        <v>375</v>
      </c>
      <c r="D278" s="49">
        <v>20</v>
      </c>
      <c r="E278" s="49">
        <v>20</v>
      </c>
      <c r="F278" s="50">
        <f t="shared" si="34"/>
        <v>20</v>
      </c>
      <c r="G278" s="47" t="s">
        <v>740</v>
      </c>
      <c r="H278" s="168">
        <v>20</v>
      </c>
      <c r="I278" s="169"/>
      <c r="J278" s="170">
        <f t="shared" si="29"/>
        <v>0</v>
      </c>
      <c r="K278" s="168">
        <v>20</v>
      </c>
      <c r="L278" s="169"/>
      <c r="M278" s="170">
        <f t="shared" si="30"/>
        <v>0</v>
      </c>
      <c r="N278" s="168">
        <v>15</v>
      </c>
      <c r="O278" s="169"/>
      <c r="P278" s="170">
        <f t="shared" si="31"/>
        <v>5</v>
      </c>
      <c r="Q278" s="168">
        <v>20</v>
      </c>
      <c r="R278" s="169"/>
      <c r="S278" s="170">
        <f t="shared" si="32"/>
        <v>0</v>
      </c>
      <c r="T278" s="171">
        <v>20</v>
      </c>
      <c r="U278" s="169"/>
      <c r="V278" s="170">
        <f t="shared" si="33"/>
        <v>0</v>
      </c>
      <c r="W278" s="2"/>
    </row>
    <row r="279" spans="1:23" ht="15" customHeight="1">
      <c r="A279" s="49">
        <v>122</v>
      </c>
      <c r="B279" s="50" t="s">
        <v>19</v>
      </c>
      <c r="C279" s="50" t="s">
        <v>378</v>
      </c>
      <c r="D279" s="49">
        <v>25</v>
      </c>
      <c r="E279" s="49">
        <v>40</v>
      </c>
      <c r="F279" s="50">
        <f t="shared" si="34"/>
        <v>32.5</v>
      </c>
      <c r="G279" s="47" t="s">
        <v>741</v>
      </c>
      <c r="H279" s="168">
        <v>20</v>
      </c>
      <c r="I279" s="169"/>
      <c r="J279" s="170">
        <f t="shared" si="29"/>
        <v>12.5</v>
      </c>
      <c r="K279" s="168">
        <v>30</v>
      </c>
      <c r="L279" s="169"/>
      <c r="M279" s="170">
        <f t="shared" si="30"/>
        <v>2.5</v>
      </c>
      <c r="N279" s="168">
        <v>30</v>
      </c>
      <c r="O279" s="169"/>
      <c r="P279" s="170">
        <f t="shared" si="31"/>
        <v>2.5</v>
      </c>
      <c r="Q279" s="168">
        <v>35</v>
      </c>
      <c r="R279" s="169"/>
      <c r="S279" s="170">
        <f t="shared" si="32"/>
        <v>2.5</v>
      </c>
      <c r="T279" s="171">
        <v>35</v>
      </c>
      <c r="U279" s="169"/>
      <c r="V279" s="170">
        <f t="shared" si="33"/>
        <v>2.5</v>
      </c>
      <c r="W279" s="2"/>
    </row>
    <row r="280" spans="1:23" ht="15" customHeight="1">
      <c r="A280" s="49">
        <v>123</v>
      </c>
      <c r="B280" s="50" t="s">
        <v>19</v>
      </c>
      <c r="C280" s="50" t="s">
        <v>381</v>
      </c>
      <c r="D280" s="49">
        <v>40</v>
      </c>
      <c r="E280" s="49">
        <v>40</v>
      </c>
      <c r="F280" s="50">
        <f t="shared" si="34"/>
        <v>40</v>
      </c>
      <c r="G280" s="47" t="s">
        <v>742</v>
      </c>
      <c r="H280" s="168">
        <v>30</v>
      </c>
      <c r="I280" s="169"/>
      <c r="J280" s="170">
        <f t="shared" si="29"/>
        <v>10</v>
      </c>
      <c r="K280" s="168">
        <v>40</v>
      </c>
      <c r="L280" s="169"/>
      <c r="M280" s="170">
        <f t="shared" si="30"/>
        <v>0</v>
      </c>
      <c r="N280" s="168">
        <v>40</v>
      </c>
      <c r="O280" s="169"/>
      <c r="P280" s="170">
        <f t="shared" si="31"/>
        <v>0</v>
      </c>
      <c r="Q280" s="168">
        <v>35</v>
      </c>
      <c r="R280" s="169"/>
      <c r="S280" s="170">
        <f t="shared" si="32"/>
        <v>5</v>
      </c>
      <c r="T280" s="171">
        <v>40</v>
      </c>
      <c r="U280" s="169"/>
      <c r="V280" s="170">
        <f t="shared" si="33"/>
        <v>0</v>
      </c>
      <c r="W280" s="2"/>
    </row>
    <row r="281" spans="1:23" ht="15" customHeight="1">
      <c r="A281" s="43">
        <v>124</v>
      </c>
      <c r="B281" s="50" t="s">
        <v>19</v>
      </c>
      <c r="C281" s="49" t="s">
        <v>384</v>
      </c>
      <c r="D281" s="49">
        <v>40</v>
      </c>
      <c r="E281" s="49">
        <v>40</v>
      </c>
      <c r="F281" s="50">
        <f t="shared" si="34"/>
        <v>40</v>
      </c>
      <c r="G281" s="47" t="s">
        <v>743</v>
      </c>
      <c r="H281" s="168">
        <v>30</v>
      </c>
      <c r="I281" s="169"/>
      <c r="J281" s="170">
        <f t="shared" si="29"/>
        <v>10</v>
      </c>
      <c r="K281" s="168">
        <v>40</v>
      </c>
      <c r="L281" s="169"/>
      <c r="M281" s="170">
        <f t="shared" si="30"/>
        <v>0</v>
      </c>
      <c r="N281" s="168">
        <v>40</v>
      </c>
      <c r="O281" s="169"/>
      <c r="P281" s="170">
        <f t="shared" si="31"/>
        <v>0</v>
      </c>
      <c r="Q281" s="168">
        <v>35</v>
      </c>
      <c r="R281" s="169"/>
      <c r="S281" s="170">
        <f t="shared" si="32"/>
        <v>5</v>
      </c>
      <c r="T281" s="171">
        <v>40</v>
      </c>
      <c r="U281" s="169"/>
      <c r="V281" s="170">
        <f t="shared" si="33"/>
        <v>0</v>
      </c>
      <c r="W281" s="2"/>
    </row>
    <row r="282" spans="1:23" ht="15" customHeight="1">
      <c r="A282" s="49">
        <v>125</v>
      </c>
      <c r="B282" s="50" t="s">
        <v>19</v>
      </c>
      <c r="C282" s="50" t="s">
        <v>387</v>
      </c>
      <c r="D282" s="49">
        <v>10</v>
      </c>
      <c r="E282" s="49">
        <v>0</v>
      </c>
      <c r="F282" s="50">
        <f t="shared" si="34"/>
        <v>5</v>
      </c>
      <c r="G282" s="47" t="s">
        <v>744</v>
      </c>
      <c r="H282" s="168">
        <v>10</v>
      </c>
      <c r="I282" s="169"/>
      <c r="J282" s="170">
        <f t="shared" si="29"/>
        <v>5</v>
      </c>
      <c r="K282" s="168">
        <v>15</v>
      </c>
      <c r="L282" s="169"/>
      <c r="M282" s="170">
        <f t="shared" si="30"/>
        <v>10</v>
      </c>
      <c r="N282" s="168">
        <v>15</v>
      </c>
      <c r="O282" s="169"/>
      <c r="P282" s="170">
        <f t="shared" si="31"/>
        <v>10</v>
      </c>
      <c r="Q282" s="168">
        <v>25</v>
      </c>
      <c r="R282" s="169"/>
      <c r="S282" s="170">
        <f t="shared" si="32"/>
        <v>20</v>
      </c>
      <c r="T282" s="171">
        <v>25</v>
      </c>
      <c r="U282" s="169"/>
      <c r="V282" s="170">
        <f t="shared" si="33"/>
        <v>20</v>
      </c>
      <c r="W282" s="2"/>
    </row>
    <row r="283" spans="1:23" ht="15" customHeight="1">
      <c r="A283" s="49">
        <v>126</v>
      </c>
      <c r="B283" s="50" t="s">
        <v>19</v>
      </c>
      <c r="C283" s="50" t="s">
        <v>390</v>
      </c>
      <c r="D283" s="49">
        <v>20</v>
      </c>
      <c r="E283" s="49">
        <v>30</v>
      </c>
      <c r="F283" s="50">
        <f t="shared" si="34"/>
        <v>25</v>
      </c>
      <c r="G283" s="47" t="s">
        <v>745</v>
      </c>
      <c r="H283" s="168">
        <v>30</v>
      </c>
      <c r="I283" s="169"/>
      <c r="J283" s="170">
        <f t="shared" si="29"/>
        <v>5</v>
      </c>
      <c r="K283" s="168">
        <v>30</v>
      </c>
      <c r="L283" s="169"/>
      <c r="M283" s="170">
        <f t="shared" si="30"/>
        <v>5</v>
      </c>
      <c r="N283" s="168">
        <v>35</v>
      </c>
      <c r="O283" s="169"/>
      <c r="P283" s="170">
        <f t="shared" si="31"/>
        <v>10</v>
      </c>
      <c r="Q283" s="168">
        <v>30</v>
      </c>
      <c r="R283" s="169"/>
      <c r="S283" s="170">
        <f t="shared" si="32"/>
        <v>5</v>
      </c>
      <c r="T283" s="171">
        <v>40</v>
      </c>
      <c r="U283" s="169"/>
      <c r="V283" s="170">
        <f t="shared" si="33"/>
        <v>15</v>
      </c>
      <c r="W283" s="2"/>
    </row>
    <row r="284" spans="1:23" ht="15" customHeight="1">
      <c r="A284" s="51">
        <v>127</v>
      </c>
      <c r="B284" s="50" t="s">
        <v>19</v>
      </c>
      <c r="C284" s="50" t="s">
        <v>393</v>
      </c>
      <c r="D284" s="49">
        <v>10</v>
      </c>
      <c r="E284" s="49">
        <v>10</v>
      </c>
      <c r="F284" s="50">
        <f t="shared" si="34"/>
        <v>10</v>
      </c>
      <c r="G284" s="47" t="s">
        <v>746</v>
      </c>
      <c r="H284" s="168">
        <v>20</v>
      </c>
      <c r="I284" s="169"/>
      <c r="J284" s="170">
        <f t="shared" si="29"/>
        <v>10</v>
      </c>
      <c r="K284" s="168">
        <v>10</v>
      </c>
      <c r="L284" s="169"/>
      <c r="M284" s="170">
        <f t="shared" si="30"/>
        <v>0</v>
      </c>
      <c r="N284" s="168">
        <v>10</v>
      </c>
      <c r="O284" s="169"/>
      <c r="P284" s="170">
        <f t="shared" si="31"/>
        <v>0</v>
      </c>
      <c r="Q284" s="168">
        <v>15</v>
      </c>
      <c r="R284" s="169"/>
      <c r="S284" s="170">
        <f t="shared" si="32"/>
        <v>5</v>
      </c>
      <c r="T284" s="171">
        <v>20</v>
      </c>
      <c r="U284" s="169"/>
      <c r="V284" s="170">
        <f t="shared" si="33"/>
        <v>10</v>
      </c>
      <c r="W284" s="2"/>
    </row>
    <row r="285" spans="1:23" ht="15" customHeight="1">
      <c r="A285" s="49">
        <v>128</v>
      </c>
      <c r="B285" s="50" t="s">
        <v>19</v>
      </c>
      <c r="C285" s="50" t="s">
        <v>396</v>
      </c>
      <c r="D285" s="49">
        <v>0</v>
      </c>
      <c r="E285" s="49">
        <v>0</v>
      </c>
      <c r="F285" s="50">
        <f t="shared" si="34"/>
        <v>0</v>
      </c>
      <c r="G285" s="47" t="s">
        <v>747</v>
      </c>
      <c r="H285" s="168">
        <v>10</v>
      </c>
      <c r="I285" s="169"/>
      <c r="J285" s="170">
        <f t="shared" si="29"/>
        <v>10</v>
      </c>
      <c r="K285" s="168">
        <v>15</v>
      </c>
      <c r="L285" s="169"/>
      <c r="M285" s="170">
        <f t="shared" si="30"/>
        <v>15</v>
      </c>
      <c r="N285" s="168">
        <v>5</v>
      </c>
      <c r="O285" s="169"/>
      <c r="P285" s="170">
        <f t="shared" si="31"/>
        <v>5</v>
      </c>
      <c r="Q285" s="168">
        <v>15</v>
      </c>
      <c r="R285" s="169"/>
      <c r="S285" s="170">
        <f t="shared" si="32"/>
        <v>15</v>
      </c>
      <c r="T285" s="171">
        <v>35</v>
      </c>
      <c r="U285" s="169"/>
      <c r="V285" s="170">
        <f t="shared" si="33"/>
        <v>35</v>
      </c>
      <c r="W285" s="2"/>
    </row>
    <row r="286" spans="1:23" ht="15" customHeight="1">
      <c r="A286" s="49">
        <v>129</v>
      </c>
      <c r="B286" s="50" t="s">
        <v>19</v>
      </c>
      <c r="C286" s="49" t="s">
        <v>399</v>
      </c>
      <c r="D286" s="49">
        <v>25</v>
      </c>
      <c r="E286" s="49">
        <v>25</v>
      </c>
      <c r="F286" s="50">
        <f t="shared" si="34"/>
        <v>25</v>
      </c>
      <c r="G286" s="47" t="s">
        <v>748</v>
      </c>
      <c r="H286" s="168">
        <v>30</v>
      </c>
      <c r="I286" s="169"/>
      <c r="J286" s="170">
        <f t="shared" si="29"/>
        <v>5</v>
      </c>
      <c r="K286" s="168">
        <v>25</v>
      </c>
      <c r="L286" s="169"/>
      <c r="M286" s="170">
        <f t="shared" si="30"/>
        <v>0</v>
      </c>
      <c r="N286" s="168">
        <v>15</v>
      </c>
      <c r="O286" s="169"/>
      <c r="P286" s="170">
        <f t="shared" si="31"/>
        <v>10</v>
      </c>
      <c r="Q286" s="168">
        <v>30</v>
      </c>
      <c r="R286" s="169"/>
      <c r="S286" s="170">
        <f t="shared" si="32"/>
        <v>5</v>
      </c>
      <c r="T286" s="171">
        <v>25</v>
      </c>
      <c r="U286" s="169"/>
      <c r="V286" s="170">
        <f t="shared" si="33"/>
        <v>0</v>
      </c>
      <c r="W286" s="2"/>
    </row>
    <row r="287" spans="1:23" ht="15" customHeight="1">
      <c r="A287" s="43">
        <v>130</v>
      </c>
      <c r="B287" s="50" t="s">
        <v>19</v>
      </c>
      <c r="C287" s="49" t="s">
        <v>402</v>
      </c>
      <c r="D287" s="49">
        <v>10</v>
      </c>
      <c r="E287" s="49">
        <v>10</v>
      </c>
      <c r="F287" s="50">
        <f t="shared" si="34"/>
        <v>10</v>
      </c>
      <c r="G287" s="47" t="s">
        <v>749</v>
      </c>
      <c r="H287" s="168">
        <v>20</v>
      </c>
      <c r="I287" s="169"/>
      <c r="J287" s="170">
        <f t="shared" si="29"/>
        <v>10</v>
      </c>
      <c r="K287" s="168">
        <v>20</v>
      </c>
      <c r="L287" s="169"/>
      <c r="M287" s="170">
        <f t="shared" si="30"/>
        <v>10</v>
      </c>
      <c r="N287" s="168">
        <v>20</v>
      </c>
      <c r="O287" s="169"/>
      <c r="P287" s="170">
        <f t="shared" si="31"/>
        <v>10</v>
      </c>
      <c r="Q287" s="168">
        <v>25</v>
      </c>
      <c r="R287" s="169"/>
      <c r="S287" s="170">
        <f t="shared" si="32"/>
        <v>15</v>
      </c>
      <c r="T287" s="171">
        <v>20</v>
      </c>
      <c r="U287" s="169"/>
      <c r="V287" s="170">
        <f t="shared" si="33"/>
        <v>10</v>
      </c>
      <c r="W287" s="2"/>
    </row>
    <row r="288" spans="1:23" ht="15" customHeight="1">
      <c r="A288" s="49">
        <v>131</v>
      </c>
      <c r="B288" s="50" t="s">
        <v>19</v>
      </c>
      <c r="C288" s="50" t="s">
        <v>405</v>
      </c>
      <c r="D288" s="49">
        <v>40</v>
      </c>
      <c r="E288" s="49">
        <v>40</v>
      </c>
      <c r="F288" s="50">
        <f t="shared" si="34"/>
        <v>40</v>
      </c>
      <c r="G288" s="47" t="s">
        <v>750</v>
      </c>
      <c r="H288" s="168">
        <v>30</v>
      </c>
      <c r="I288" s="169"/>
      <c r="J288" s="170">
        <f t="shared" si="29"/>
        <v>10</v>
      </c>
      <c r="K288" s="168">
        <v>40</v>
      </c>
      <c r="L288" s="169"/>
      <c r="M288" s="170">
        <f t="shared" si="30"/>
        <v>0</v>
      </c>
      <c r="N288" s="168">
        <v>35</v>
      </c>
      <c r="O288" s="169"/>
      <c r="P288" s="170">
        <f t="shared" si="31"/>
        <v>5</v>
      </c>
      <c r="Q288" s="168">
        <v>35</v>
      </c>
      <c r="R288" s="169"/>
      <c r="S288" s="170">
        <f t="shared" si="32"/>
        <v>5</v>
      </c>
      <c r="T288" s="171">
        <v>40</v>
      </c>
      <c r="U288" s="169"/>
      <c r="V288" s="170">
        <f t="shared" si="33"/>
        <v>0</v>
      </c>
      <c r="W288" s="2"/>
    </row>
    <row r="289" spans="1:29" ht="15" customHeight="1">
      <c r="A289" s="49">
        <v>132</v>
      </c>
      <c r="B289" s="50" t="s">
        <v>19</v>
      </c>
      <c r="C289" s="50" t="s">
        <v>408</v>
      </c>
      <c r="D289" s="49">
        <v>0</v>
      </c>
      <c r="E289" s="49">
        <v>0</v>
      </c>
      <c r="F289" s="50">
        <f t="shared" si="34"/>
        <v>0</v>
      </c>
      <c r="G289" s="47" t="s">
        <v>751</v>
      </c>
      <c r="H289" s="168">
        <v>20</v>
      </c>
      <c r="I289" s="169"/>
      <c r="J289" s="170">
        <f t="shared" si="29"/>
        <v>20</v>
      </c>
      <c r="K289" s="168">
        <v>20</v>
      </c>
      <c r="L289" s="169"/>
      <c r="M289" s="170">
        <f t="shared" si="30"/>
        <v>20</v>
      </c>
      <c r="N289" s="168">
        <v>15</v>
      </c>
      <c r="O289" s="169"/>
      <c r="P289" s="170">
        <f t="shared" si="31"/>
        <v>15</v>
      </c>
      <c r="Q289" s="168">
        <v>20</v>
      </c>
      <c r="R289" s="169"/>
      <c r="S289" s="170">
        <f t="shared" si="32"/>
        <v>20</v>
      </c>
      <c r="T289" s="171">
        <v>20</v>
      </c>
      <c r="U289" s="169"/>
      <c r="V289" s="170">
        <f t="shared" si="33"/>
        <v>20</v>
      </c>
      <c r="W289" s="2"/>
    </row>
    <row r="290" spans="1:29" ht="15" customHeight="1">
      <c r="A290" s="51">
        <v>133</v>
      </c>
      <c r="B290" s="50" t="s">
        <v>19</v>
      </c>
      <c r="C290" s="50" t="s">
        <v>411</v>
      </c>
      <c r="D290" s="49">
        <v>20</v>
      </c>
      <c r="E290" s="49">
        <v>10</v>
      </c>
      <c r="F290" s="50">
        <f t="shared" si="34"/>
        <v>15</v>
      </c>
      <c r="G290" s="47" t="s">
        <v>752</v>
      </c>
      <c r="H290" s="168">
        <v>30</v>
      </c>
      <c r="I290" s="169"/>
      <c r="J290" s="170">
        <f t="shared" si="29"/>
        <v>15</v>
      </c>
      <c r="K290" s="168">
        <v>35</v>
      </c>
      <c r="L290" s="169"/>
      <c r="M290" s="170">
        <f t="shared" si="30"/>
        <v>20</v>
      </c>
      <c r="N290" s="168">
        <v>25</v>
      </c>
      <c r="O290" s="169"/>
      <c r="P290" s="170">
        <f t="shared" si="31"/>
        <v>10</v>
      </c>
      <c r="Q290" s="168">
        <v>35</v>
      </c>
      <c r="R290" s="169"/>
      <c r="S290" s="170">
        <f t="shared" si="32"/>
        <v>20</v>
      </c>
      <c r="T290" s="171">
        <v>35</v>
      </c>
      <c r="U290" s="169"/>
      <c r="V290" s="170">
        <f t="shared" si="33"/>
        <v>20</v>
      </c>
      <c r="W290" s="2"/>
    </row>
    <row r="291" spans="1:29" ht="15" customHeight="1">
      <c r="A291" s="49">
        <v>134</v>
      </c>
      <c r="B291" s="50" t="s">
        <v>19</v>
      </c>
      <c r="C291" s="50" t="s">
        <v>414</v>
      </c>
      <c r="D291" s="49">
        <v>10</v>
      </c>
      <c r="E291" s="49">
        <v>10</v>
      </c>
      <c r="F291" s="49">
        <v>10</v>
      </c>
      <c r="G291" s="47" t="s">
        <v>753</v>
      </c>
      <c r="H291" s="168">
        <v>30</v>
      </c>
      <c r="I291" s="169"/>
      <c r="J291" s="170">
        <f t="shared" si="29"/>
        <v>20</v>
      </c>
      <c r="K291" s="168">
        <v>25</v>
      </c>
      <c r="L291" s="169"/>
      <c r="M291" s="170">
        <f t="shared" si="30"/>
        <v>15</v>
      </c>
      <c r="N291" s="168">
        <v>10</v>
      </c>
      <c r="O291" s="169"/>
      <c r="P291" s="170">
        <f t="shared" si="31"/>
        <v>0</v>
      </c>
      <c r="Q291" s="168">
        <v>25</v>
      </c>
      <c r="R291" s="169"/>
      <c r="S291" s="170">
        <f t="shared" si="32"/>
        <v>15</v>
      </c>
      <c r="T291" s="171">
        <v>35</v>
      </c>
      <c r="U291" s="169"/>
      <c r="V291" s="170">
        <f t="shared" si="33"/>
        <v>25</v>
      </c>
      <c r="W291" s="2"/>
    </row>
    <row r="292" spans="1:29">
      <c r="A292" s="47"/>
      <c r="B292" s="47"/>
      <c r="C292" s="47"/>
      <c r="D292" s="47"/>
      <c r="E292" s="47"/>
      <c r="F292" s="47"/>
      <c r="G292" s="47"/>
      <c r="H292" s="46"/>
      <c r="I292" s="47"/>
      <c r="J292" s="48"/>
      <c r="K292" s="46"/>
      <c r="L292" s="47"/>
      <c r="M292" s="48"/>
      <c r="N292" s="46"/>
      <c r="O292" s="47"/>
      <c r="P292" s="48"/>
      <c r="Q292" s="46"/>
      <c r="R292" s="47"/>
      <c r="S292" s="48"/>
      <c r="T292" s="2"/>
      <c r="U292" s="2"/>
      <c r="V292" s="2"/>
      <c r="W292" s="2"/>
    </row>
    <row r="293" spans="1:29">
      <c r="A293" s="136"/>
      <c r="B293" s="136"/>
      <c r="C293" s="136"/>
      <c r="D293" s="136"/>
      <c r="E293" s="136"/>
      <c r="F293" s="136"/>
      <c r="G293" s="136"/>
      <c r="H293" s="137"/>
      <c r="I293" s="136"/>
      <c r="J293" s="138"/>
      <c r="K293" s="137"/>
      <c r="L293" s="136"/>
      <c r="M293" s="138"/>
      <c r="N293" s="137"/>
      <c r="O293" s="136"/>
      <c r="P293" s="138"/>
      <c r="Q293" s="137"/>
      <c r="R293" s="136"/>
      <c r="S293" s="138"/>
      <c r="T293" s="140"/>
      <c r="U293" s="140"/>
      <c r="V293" s="140"/>
      <c r="W293" s="140"/>
    </row>
    <row r="294" spans="1:29">
      <c r="A294" s="1" t="s">
        <v>620</v>
      </c>
      <c r="B294" s="1" t="s">
        <v>621</v>
      </c>
      <c r="C294" s="47"/>
      <c r="D294" s="40" t="s">
        <v>622</v>
      </c>
      <c r="E294" s="47"/>
      <c r="F294" s="47"/>
      <c r="G294" s="47"/>
      <c r="H294" s="46"/>
      <c r="I294" s="47"/>
      <c r="J294" s="48"/>
      <c r="K294" s="46"/>
      <c r="L294" s="47"/>
      <c r="M294" s="48"/>
      <c r="N294" s="46"/>
      <c r="O294" s="47"/>
      <c r="P294" s="48"/>
      <c r="Q294" s="46"/>
      <c r="R294" s="47"/>
      <c r="S294" s="48"/>
      <c r="T294" s="2"/>
      <c r="U294" s="2"/>
      <c r="V294" s="2"/>
      <c r="W294" s="2"/>
    </row>
    <row r="295" spans="1:29">
      <c r="A295" s="2"/>
      <c r="B295" s="47" t="s">
        <v>8</v>
      </c>
      <c r="C295" s="2"/>
      <c r="D295" s="2" t="s">
        <v>3</v>
      </c>
      <c r="E295" s="47"/>
      <c r="F295" s="47"/>
      <c r="G295" s="47" t="s">
        <v>455</v>
      </c>
      <c r="H295" s="46"/>
      <c r="I295" s="47"/>
      <c r="J295" s="48"/>
      <c r="K295" s="46"/>
      <c r="L295" s="47"/>
      <c r="M295" s="48"/>
      <c r="N295" s="46"/>
      <c r="O295" s="47"/>
      <c r="P295" s="48"/>
      <c r="Q295" s="46"/>
      <c r="R295" s="47"/>
      <c r="S295" s="48"/>
      <c r="T295" s="2"/>
      <c r="U295" s="2"/>
      <c r="V295" s="2"/>
      <c r="W295" s="2"/>
    </row>
    <row r="296" spans="1:29">
      <c r="A296" s="142" t="s">
        <v>456</v>
      </c>
      <c r="B296" s="142" t="s">
        <v>457</v>
      </c>
      <c r="C296" s="142" t="s">
        <v>458</v>
      </c>
      <c r="D296" s="143" t="s">
        <v>15</v>
      </c>
      <c r="E296" s="143" t="s">
        <v>16</v>
      </c>
      <c r="F296" s="143" t="s">
        <v>17</v>
      </c>
      <c r="G296" s="144"/>
      <c r="H296" s="145"/>
      <c r="I296" s="144"/>
      <c r="J296" s="146"/>
      <c r="K296" s="145"/>
      <c r="L296" s="144"/>
      <c r="M296" s="146"/>
      <c r="N296" s="145"/>
      <c r="O296" s="144"/>
      <c r="P296" s="146"/>
      <c r="Q296" s="145"/>
      <c r="R296" s="144"/>
      <c r="S296" s="146"/>
      <c r="T296" s="148"/>
      <c r="U296" s="148"/>
      <c r="V296" s="148"/>
      <c r="W296" s="148"/>
      <c r="X296" s="150"/>
      <c r="Y296" s="150"/>
      <c r="Z296" s="150"/>
      <c r="AA296" s="150"/>
      <c r="AB296" s="150"/>
      <c r="AC296" s="150"/>
    </row>
    <row r="297" spans="1:29" ht="15" customHeight="1">
      <c r="A297" s="43">
        <v>1</v>
      </c>
      <c r="B297" s="43" t="s">
        <v>19</v>
      </c>
      <c r="C297" s="43" t="s">
        <v>20</v>
      </c>
      <c r="D297" s="43">
        <v>0</v>
      </c>
      <c r="E297" s="43">
        <v>0</v>
      </c>
      <c r="F297" s="44">
        <f t="shared" ref="F297:F335" si="35">SUM(D297:E297)/2</f>
        <v>0</v>
      </c>
      <c r="G297" s="47" t="s">
        <v>455</v>
      </c>
      <c r="H297" s="46" t="str">
        <f t="shared" ref="H297:H430" si="36">SUBSTITUTE(SUBSTITUTE(SUBSTITUTE($D$295,"&lt;TEXTO_BASE&gt;",$B$295),"&lt;ENUNCIADO_QUESTAO&gt;",B297),"&lt;RESPOSTA_ALUNO&gt;",C297)</f>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Esse recurso deve auxiliar a pessoa que o está usando, enquanto este pode focar em outras coisas além de planejar rota.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297" s="47"/>
      <c r="J297" s="48"/>
      <c r="K297" s="46"/>
      <c r="L297" s="47"/>
      <c r="M297" s="48"/>
      <c r="N297" s="46"/>
      <c r="O297" s="47"/>
      <c r="P297" s="48"/>
      <c r="Q297" s="46"/>
      <c r="R297" s="47"/>
      <c r="S297" s="48"/>
      <c r="T297" s="2"/>
      <c r="U297" s="2"/>
      <c r="V297" s="2"/>
      <c r="W297" s="2"/>
    </row>
    <row r="298" spans="1:29" ht="15" customHeight="1">
      <c r="A298" s="49">
        <v>2</v>
      </c>
      <c r="B298" s="49" t="s">
        <v>19</v>
      </c>
      <c r="C298" s="49" t="s">
        <v>23</v>
      </c>
      <c r="D298" s="49">
        <v>20</v>
      </c>
      <c r="E298" s="49">
        <v>0</v>
      </c>
      <c r="F298" s="50">
        <f t="shared" si="35"/>
        <v>10</v>
      </c>
      <c r="G298" s="47" t="s">
        <v>455</v>
      </c>
      <c r="H29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é uma ferramenta utilizada para facilitar o dia a dia, nós repassamos a origem e o destino e os algoritmo calcula a rota mais fácil, para que não tenhamos que ficar pensando um problemas como semáforos, buracos, trânsito.. e com o algoritmo fazendo esse trabalho por nós, não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298" s="47"/>
      <c r="J298" s="48"/>
      <c r="K298" s="46"/>
      <c r="L298" s="47"/>
      <c r="M298" s="48"/>
      <c r="N298" s="46"/>
      <c r="O298" s="47"/>
      <c r="P298" s="48"/>
      <c r="Q298" s="46"/>
      <c r="R298" s="47"/>
      <c r="S298" s="48"/>
      <c r="T298" s="2"/>
      <c r="U298" s="2"/>
      <c r="V298" s="2"/>
      <c r="W298" s="2"/>
    </row>
    <row r="299" spans="1:29" ht="15" customHeight="1">
      <c r="A299" s="49">
        <v>3</v>
      </c>
      <c r="B299" s="49" t="s">
        <v>19</v>
      </c>
      <c r="C299" s="49" t="s">
        <v>26</v>
      </c>
      <c r="D299" s="49">
        <v>20</v>
      </c>
      <c r="E299" s="49">
        <v>15</v>
      </c>
      <c r="F299" s="50">
        <f t="shared" si="35"/>
        <v>17.5</v>
      </c>
      <c r="G299" s="47" t="s">
        <v>455</v>
      </c>
      <c r="H29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calculadores inteligentes de rotas, pois consideram o que é mais facil para o usuário.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299" s="152"/>
      <c r="J299" s="152"/>
      <c r="K299" s="153"/>
      <c r="L299" s="152"/>
      <c r="M299" s="152"/>
      <c r="N299" s="153"/>
      <c r="O299" s="152"/>
      <c r="P299" s="152"/>
      <c r="Q299" s="154"/>
    </row>
    <row r="300" spans="1:29" ht="15" customHeight="1">
      <c r="A300" s="51">
        <v>4</v>
      </c>
      <c r="B300" s="49" t="s">
        <v>19</v>
      </c>
      <c r="C300" s="50" t="s">
        <v>29</v>
      </c>
      <c r="D300" s="49">
        <v>40</v>
      </c>
      <c r="E300" s="49">
        <v>30</v>
      </c>
      <c r="F300" s="50">
        <f t="shared" si="35"/>
        <v>35</v>
      </c>
      <c r="G300" s="47" t="s">
        <v>455</v>
      </c>
      <c r="H30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está aqui por um bom tempo e serve para ajudar o ser humano (mas não escolher por ele)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0" s="152"/>
      <c r="J300" s="152"/>
      <c r="K300" s="153"/>
      <c r="L300" s="152"/>
      <c r="M300" s="152"/>
      <c r="N300" s="153"/>
      <c r="O300" s="152"/>
      <c r="P300" s="152"/>
      <c r="Q300" s="154"/>
    </row>
    <row r="301" spans="1:29" ht="15" customHeight="1">
      <c r="A301" s="49">
        <v>5</v>
      </c>
      <c r="B301" s="49" t="s">
        <v>19</v>
      </c>
      <c r="C301" s="49" t="s">
        <v>32</v>
      </c>
      <c r="D301" s="49">
        <v>5</v>
      </c>
      <c r="E301" s="49">
        <v>10</v>
      </c>
      <c r="F301" s="50">
        <f t="shared" si="35"/>
        <v>7.5</v>
      </c>
      <c r="G301" s="152"/>
      <c r="H30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Utilizar técnicas que nos ajudam, pode ser um ponto positivo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1" s="152"/>
      <c r="J301" s="152"/>
      <c r="K301" s="153"/>
      <c r="L301" s="152"/>
      <c r="M301" s="152"/>
      <c r="N301" s="153"/>
      <c r="O301" s="152"/>
      <c r="P301" s="152"/>
      <c r="Q301" s="154"/>
    </row>
    <row r="302" spans="1:29" ht="15" customHeight="1">
      <c r="A302" s="49">
        <v>6</v>
      </c>
      <c r="B302" s="50" t="s">
        <v>19</v>
      </c>
      <c r="C302" s="50" t="s">
        <v>35</v>
      </c>
      <c r="D302" s="49">
        <v>5</v>
      </c>
      <c r="E302" s="49">
        <v>10</v>
      </c>
      <c r="F302" s="50">
        <f t="shared" si="35"/>
        <v>7.5</v>
      </c>
      <c r="G302" s="152"/>
      <c r="H30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algorítimos contribuem de forma positiva para as rotas de transito.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2" s="152"/>
      <c r="J302" s="152"/>
      <c r="K302" s="153"/>
      <c r="L302" s="152"/>
      <c r="M302" s="152"/>
      <c r="N302" s="153"/>
      <c r="O302" s="152"/>
      <c r="P302" s="152"/>
      <c r="Q302" s="154"/>
    </row>
    <row r="303" spans="1:29" ht="15" customHeight="1">
      <c r="A303" s="43">
        <v>7</v>
      </c>
      <c r="B303" s="49" t="s">
        <v>19</v>
      </c>
      <c r="C303" s="49" t="s">
        <v>37</v>
      </c>
      <c r="D303" s="49">
        <v>15</v>
      </c>
      <c r="E303" s="49">
        <v>15</v>
      </c>
      <c r="F303" s="50">
        <f t="shared" si="35"/>
        <v>15</v>
      </c>
      <c r="G303" s="152"/>
      <c r="H30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ferramenta que, por meio do auxilio com a escolha do melhor trajeto, facilita nossa vida e nos poupa tempo, ao contrário de outros algoritmos que atrasam nossas vidas e não contribuem para uma produção efetiva.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3" s="152"/>
      <c r="J303" s="152"/>
      <c r="K303" s="153"/>
      <c r="L303" s="152"/>
      <c r="M303" s="152"/>
      <c r="N303" s="153"/>
      <c r="O303" s="152"/>
      <c r="P303" s="152"/>
      <c r="Q303" s="154"/>
    </row>
    <row r="304" spans="1:29" ht="15" customHeight="1">
      <c r="A304" s="49">
        <v>8</v>
      </c>
      <c r="B304" s="49" t="s">
        <v>19</v>
      </c>
      <c r="C304" s="50" t="s">
        <v>40</v>
      </c>
      <c r="D304" s="49">
        <v>25</v>
      </c>
      <c r="E304" s="49">
        <v>10</v>
      </c>
      <c r="F304" s="50">
        <f t="shared" si="35"/>
        <v>17.5</v>
      </c>
      <c r="G304" s="152"/>
      <c r="H30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Autora usa o gps como exemplo para dizer que a tecnologia é uma ferramenta extremamente importante que se usada de maneira correta pode nós auxiliar em vários aspectos. Mas é preciso saber o que se busca na internet e saber selecionar os conteúdos é de extrema importância.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4" s="152"/>
      <c r="J304" s="152"/>
      <c r="K304" s="153"/>
      <c r="L304" s="152"/>
      <c r="M304" s="152"/>
      <c r="N304" s="153"/>
      <c r="O304" s="152"/>
      <c r="P304" s="152"/>
      <c r="Q304" s="154"/>
    </row>
    <row r="305" spans="1:17" ht="15" customHeight="1">
      <c r="A305" s="49">
        <v>9</v>
      </c>
      <c r="B305" s="49" t="s">
        <v>19</v>
      </c>
      <c r="C305" s="49" t="s">
        <v>43</v>
      </c>
      <c r="D305" s="49">
        <v>25</v>
      </c>
      <c r="E305" s="49">
        <v>25</v>
      </c>
      <c r="F305" s="50">
        <f t="shared" si="35"/>
        <v>25</v>
      </c>
      <c r="G305" s="152"/>
      <c r="H30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optimiza o tempo, poupa esforço, e tem resultados satisfatórios.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5" s="152"/>
      <c r="J305" s="152"/>
      <c r="K305" s="153"/>
      <c r="L305" s="152"/>
      <c r="M305" s="152"/>
      <c r="N305" s="153"/>
      <c r="O305" s="152"/>
      <c r="P305" s="152"/>
      <c r="Q305" s="154"/>
    </row>
    <row r="306" spans="1:17" ht="15" customHeight="1">
      <c r="A306" s="51">
        <v>10</v>
      </c>
      <c r="B306" s="49" t="s">
        <v>19</v>
      </c>
      <c r="C306" s="49" t="s">
        <v>46</v>
      </c>
      <c r="D306" s="49">
        <v>40</v>
      </c>
      <c r="E306" s="49">
        <v>40</v>
      </c>
      <c r="F306" s="50">
        <f t="shared" si="35"/>
        <v>40</v>
      </c>
      <c r="G306" s="152"/>
      <c r="H30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auxilia o homem nas escolhas das decisões práticas do cotidiano enquanto ele se ocupa de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6" s="152"/>
      <c r="J306" s="152"/>
      <c r="K306" s="153"/>
      <c r="L306" s="152"/>
      <c r="M306" s="152"/>
      <c r="N306" s="153"/>
      <c r="O306" s="152"/>
      <c r="P306" s="152"/>
      <c r="Q306" s="154"/>
    </row>
    <row r="307" spans="1:17" ht="15" customHeight="1">
      <c r="A307" s="49">
        <v>11</v>
      </c>
      <c r="B307" s="50" t="s">
        <v>19</v>
      </c>
      <c r="C307" s="49" t="s">
        <v>49</v>
      </c>
      <c r="D307" s="49">
        <v>0</v>
      </c>
      <c r="E307" s="49">
        <v>0</v>
      </c>
      <c r="F307" s="50">
        <f t="shared" si="35"/>
        <v>0</v>
      </c>
      <c r="G307" s="152"/>
      <c r="H30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 meio rápido e simplificado de solucionar problemas, poupando o tempo do usuario- que tem outras coisas com que se preocupar.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7" s="152"/>
      <c r="J307" s="152"/>
      <c r="K307" s="153"/>
      <c r="L307" s="152"/>
      <c r="M307" s="152"/>
      <c r="N307" s="153"/>
      <c r="O307" s="152"/>
      <c r="P307" s="152"/>
      <c r="Q307" s="154"/>
    </row>
    <row r="308" spans="1:17" ht="15" customHeight="1">
      <c r="A308" s="49">
        <v>12</v>
      </c>
      <c r="B308" s="49" t="s">
        <v>19</v>
      </c>
      <c r="C308" s="49" t="s">
        <v>52</v>
      </c>
      <c r="D308" s="49">
        <v>40</v>
      </c>
      <c r="E308" s="49">
        <v>40</v>
      </c>
      <c r="F308" s="50">
        <f t="shared" si="35"/>
        <v>40</v>
      </c>
      <c r="G308" s="152"/>
      <c r="H30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está na humanidade há muito tempo e ela pode servir como auxilio para tomada de decisões, guiando o usuário para soluções inteligentes.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8" s="152"/>
      <c r="J308" s="152"/>
      <c r="K308" s="153"/>
      <c r="L308" s="152"/>
      <c r="M308" s="152"/>
      <c r="N308" s="153"/>
      <c r="O308" s="152"/>
      <c r="P308" s="152"/>
      <c r="Q308" s="154"/>
    </row>
    <row r="309" spans="1:17" ht="15" customHeight="1">
      <c r="A309" s="43">
        <v>13</v>
      </c>
      <c r="B309" s="50" t="s">
        <v>19</v>
      </c>
      <c r="C309" s="50" t="s">
        <v>55</v>
      </c>
      <c r="D309" s="49">
        <v>0</v>
      </c>
      <c r="E309" s="49">
        <v>10</v>
      </c>
      <c r="F309" s="50">
        <f t="shared" si="35"/>
        <v>5</v>
      </c>
      <c r="G309" s="152"/>
      <c r="H30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GPS, são aplicativos que ajudam seus usuários, calculando rotas de acordo com a preferência do mesmo.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9" s="152"/>
      <c r="J309" s="152"/>
      <c r="K309" s="153"/>
      <c r="L309" s="152"/>
      <c r="M309" s="152"/>
      <c r="N309" s="153"/>
      <c r="O309" s="152"/>
      <c r="P309" s="152"/>
      <c r="Q309" s="154"/>
    </row>
    <row r="310" spans="1:17" ht="15" customHeight="1">
      <c r="A310" s="49">
        <v>14</v>
      </c>
      <c r="B310" s="155" t="s">
        <v>19</v>
      </c>
      <c r="C310" s="155" t="s">
        <v>58</v>
      </c>
      <c r="D310" s="156">
        <v>35</v>
      </c>
      <c r="E310" s="156">
        <v>30</v>
      </c>
      <c r="F310" s="155">
        <f t="shared" si="35"/>
        <v>32.5</v>
      </c>
      <c r="G310" s="152"/>
      <c r="H31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calcula a rota mais rápida ou uma melhor e assim você pode-se preocupar com outros problemas que não sejam exatamente o caminho.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0" s="152"/>
      <c r="J310" s="152"/>
      <c r="K310" s="153"/>
      <c r="L310" s="152"/>
      <c r="M310" s="152"/>
      <c r="N310" s="153"/>
      <c r="O310" s="152"/>
      <c r="P310" s="152"/>
      <c r="Q310" s="154"/>
    </row>
    <row r="311" spans="1:17" ht="15" customHeight="1">
      <c r="A311" s="49">
        <v>15</v>
      </c>
      <c r="B311" s="50" t="s">
        <v>19</v>
      </c>
      <c r="C311" s="49" t="s">
        <v>61</v>
      </c>
      <c r="D311" s="49">
        <v>27</v>
      </c>
      <c r="E311" s="49">
        <v>25</v>
      </c>
      <c r="F311" s="50">
        <f t="shared" si="35"/>
        <v>26</v>
      </c>
      <c r="G311" s="152"/>
      <c r="H31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ideia de que eles podem agilizar os processos humanos diarios enquanto nós podemso focar em problemas mais importantes diários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1" s="152"/>
      <c r="J311" s="152"/>
      <c r="K311" s="153"/>
      <c r="L311" s="152"/>
      <c r="M311" s="152"/>
      <c r="N311" s="153"/>
      <c r="O311" s="152"/>
      <c r="P311" s="152"/>
      <c r="Q311" s="154"/>
    </row>
    <row r="312" spans="1:17" ht="15" customHeight="1">
      <c r="A312" s="51">
        <v>16</v>
      </c>
      <c r="B312" s="50" t="s">
        <v>19</v>
      </c>
      <c r="C312" s="50" t="s">
        <v>64</v>
      </c>
      <c r="D312" s="49">
        <v>38</v>
      </c>
      <c r="E312" s="49">
        <v>35</v>
      </c>
      <c r="F312" s="50">
        <f t="shared" si="35"/>
        <v>36.5</v>
      </c>
      <c r="G312" s="152"/>
      <c r="H31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articifial se porta, mais especificamente, como uma alternativa ao usuário e, não, como algo definitivo e impassível de interferências, ou que diminui a autonomia do sujeito: seria realmente uma ferramenta, com o propósito de auxiliar e permitir um aproveitamento maior do tempo empregado em certa atividade.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2" s="152"/>
      <c r="J312" s="152"/>
      <c r="K312" s="153"/>
      <c r="L312" s="152"/>
      <c r="M312" s="152"/>
      <c r="N312" s="153"/>
      <c r="O312" s="152"/>
      <c r="P312" s="152"/>
      <c r="Q312" s="154"/>
    </row>
    <row r="313" spans="1:17" ht="15" customHeight="1">
      <c r="A313" s="49">
        <v>17</v>
      </c>
      <c r="B313" s="50" t="s">
        <v>19</v>
      </c>
      <c r="C313" s="50" t="s">
        <v>67</v>
      </c>
      <c r="D313" s="49">
        <v>20</v>
      </c>
      <c r="E313" s="49">
        <v>20</v>
      </c>
      <c r="F313" s="50">
        <f t="shared" si="35"/>
        <v>20</v>
      </c>
      <c r="G313" s="152"/>
      <c r="H31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oferece a resolução rápida de um “problema” que o ser humano poderia “perder” tempo tendo que resolver (por isso a continuação: “resolver OUTROS problemas”). Diferentemente dos outros algoritmos que a autora cita mais adiante no texto, o GPS sim seria um aplicativo inteligente, não apenas por otimizar tempo mas também por oferecer ao consumidor outras rotas considerando TAMBÉM as suas preferências, mas não somente elas (além de que o GPS seria uma rede integrada, considerando também o feedback e as experiências/preferências de outros usuários).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3" s="152"/>
      <c r="J313" s="152"/>
      <c r="K313" s="153"/>
      <c r="L313" s="152"/>
      <c r="M313" s="152"/>
      <c r="N313" s="153"/>
      <c r="O313" s="152"/>
      <c r="P313" s="152"/>
      <c r="Q313" s="154"/>
    </row>
    <row r="314" spans="1:17" ht="15" customHeight="1">
      <c r="A314" s="49">
        <v>18</v>
      </c>
      <c r="B314" s="50" t="s">
        <v>19</v>
      </c>
      <c r="C314" s="49" t="s">
        <v>70</v>
      </c>
      <c r="D314" s="49">
        <v>10</v>
      </c>
      <c r="E314" s="49">
        <v>15</v>
      </c>
      <c r="F314" s="50">
        <f t="shared" si="35"/>
        <v>12.5</v>
      </c>
      <c r="G314" s="152"/>
      <c r="H31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utiliza o exemplo da ferramenta GPS para confirmar a ideia de que são opções viáveis e que podem beneficiar e auxiliar o ser humano.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4" s="152"/>
      <c r="J314" s="152"/>
      <c r="K314" s="153"/>
      <c r="L314" s="152"/>
      <c r="M314" s="152"/>
      <c r="N314" s="153"/>
      <c r="O314" s="152"/>
      <c r="P314" s="152"/>
      <c r="Q314" s="154"/>
    </row>
    <row r="315" spans="1:17" ht="15" customHeight="1">
      <c r="A315" s="43">
        <v>19</v>
      </c>
      <c r="B315" s="50" t="s">
        <v>19</v>
      </c>
      <c r="C315" s="50" t="s">
        <v>73</v>
      </c>
      <c r="D315" s="49">
        <v>20</v>
      </c>
      <c r="E315" s="49">
        <v>0</v>
      </c>
      <c r="F315" s="50">
        <f t="shared" si="35"/>
        <v>10</v>
      </c>
      <c r="G315" s="152"/>
      <c r="H31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como calculadoras inteligente de rotas , considerando o ponto de partida  e destino , facilitando para o usuário.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5" s="152"/>
      <c r="J315" s="152"/>
      <c r="K315" s="153"/>
      <c r="L315" s="152"/>
      <c r="M315" s="152"/>
      <c r="N315" s="153"/>
      <c r="O315" s="152"/>
      <c r="P315" s="152"/>
      <c r="Q315" s="154"/>
    </row>
    <row r="316" spans="1:17" ht="15" customHeight="1">
      <c r="A316" s="49">
        <v>20</v>
      </c>
      <c r="B316" s="50" t="s">
        <v>19</v>
      </c>
      <c r="C316" s="50" t="s">
        <v>76</v>
      </c>
      <c r="D316" s="49">
        <v>30</v>
      </c>
      <c r="E316" s="49">
        <v>25</v>
      </c>
      <c r="F316" s="50">
        <f t="shared" si="35"/>
        <v>27.5</v>
      </c>
      <c r="G316" s="152"/>
      <c r="H31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não acha ruim o uso de ferramentas como o GPS no dia a dia, muito pelo contrário. Se existe, que seja utilizado, ainda mais pela facilidade e utilidade que uma calculadora de rota customizavel pode ter. Isso tudo reforça e defende a ideia de que a tecnologia é uma extensão da nossa inteligencia que pode e deve nos ajudar a manter um caminho evolutivo constante. "de portas abertas ao futuro".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6" s="152"/>
      <c r="J316" s="152"/>
      <c r="K316" s="153"/>
      <c r="L316" s="152"/>
      <c r="M316" s="152"/>
      <c r="N316" s="153"/>
      <c r="O316" s="152"/>
      <c r="P316" s="152"/>
      <c r="Q316" s="154"/>
    </row>
    <row r="317" spans="1:17" ht="15" customHeight="1">
      <c r="A317" s="49">
        <v>21</v>
      </c>
      <c r="B317" s="50" t="s">
        <v>19</v>
      </c>
      <c r="C317" s="50" t="s">
        <v>79</v>
      </c>
      <c r="D317" s="49">
        <v>20</v>
      </c>
      <c r="E317" s="49">
        <v>10</v>
      </c>
      <c r="F317" s="50">
        <f t="shared" si="35"/>
        <v>15</v>
      </c>
      <c r="G317" s="152"/>
      <c r="H31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Este está ali como forma de auxílio ao ser humano, não para substitui-lo.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7" s="152"/>
      <c r="J317" s="152"/>
      <c r="K317" s="153"/>
      <c r="L317" s="152"/>
      <c r="M317" s="152"/>
      <c r="N317" s="153"/>
      <c r="O317" s="152"/>
      <c r="P317" s="152"/>
      <c r="Q317" s="154"/>
    </row>
    <row r="318" spans="1:17" ht="15" customHeight="1">
      <c r="A318" s="51">
        <v>22</v>
      </c>
      <c r="B318" s="49" t="s">
        <v>19</v>
      </c>
      <c r="C318" s="50" t="s">
        <v>82</v>
      </c>
      <c r="D318" s="49">
        <v>20</v>
      </c>
      <c r="E318" s="49">
        <v>20</v>
      </c>
      <c r="F318" s="50">
        <f t="shared" si="35"/>
        <v>20</v>
      </c>
      <c r="G318" s="152"/>
      <c r="H31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Defende a ideia de que é muito útil para optimização do tempo, pois as pessoas podem usar o tempo que gastariam escolhendo rotas, pensando em outros problemas do cotidiano.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8" s="152"/>
      <c r="J318" s="152"/>
      <c r="K318" s="153"/>
      <c r="L318" s="152"/>
      <c r="M318" s="152"/>
      <c r="N318" s="153"/>
      <c r="O318" s="152"/>
      <c r="P318" s="152"/>
      <c r="Q318" s="154"/>
    </row>
    <row r="319" spans="1:17" ht="15" customHeight="1">
      <c r="A319" s="49">
        <v>23</v>
      </c>
      <c r="B319" s="50" t="s">
        <v>19</v>
      </c>
      <c r="C319" s="50" t="s">
        <v>85</v>
      </c>
      <c r="D319" s="49">
        <v>40</v>
      </c>
      <c r="E319" s="49">
        <v>35</v>
      </c>
      <c r="F319" s="50">
        <f t="shared" si="35"/>
        <v>37.5</v>
      </c>
      <c r="G319" s="152"/>
      <c r="H31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Ela defende que a inteligência é capaz de facilitar a vida das pessoas, pois como o GPS calcula rotas com mais facilidade e agilidade, a inteligência artificial pode nos ajudar a minimizar o tempo em ações do dia a dia.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9" s="152"/>
      <c r="J319" s="152"/>
      <c r="K319" s="153"/>
      <c r="L319" s="152"/>
      <c r="M319" s="152"/>
      <c r="N319" s="153"/>
      <c r="O319" s="152"/>
      <c r="P319" s="152"/>
      <c r="Q319" s="154"/>
    </row>
    <row r="320" spans="1:17" ht="15" customHeight="1">
      <c r="A320" s="49">
        <v>24</v>
      </c>
      <c r="B320" s="50" t="s">
        <v>19</v>
      </c>
      <c r="C320" s="50" t="s">
        <v>88</v>
      </c>
      <c r="D320" s="49">
        <v>15</v>
      </c>
      <c r="E320" s="49">
        <v>20</v>
      </c>
      <c r="F320" s="50">
        <f t="shared" si="35"/>
        <v>17.5</v>
      </c>
      <c r="G320" s="152"/>
      <c r="H32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 tecnologia pode sim nos ajudar, GPS funcionam como calculadoras, que mostram a melhor rota a mais rápida, assim você pode focar em outros problemas, que não achar o melhor caminho.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0" s="152"/>
      <c r="J320" s="152"/>
      <c r="K320" s="153"/>
      <c r="L320" s="152"/>
      <c r="M320" s="152"/>
      <c r="N320" s="153"/>
      <c r="O320" s="152"/>
      <c r="P320" s="152"/>
      <c r="Q320" s="154"/>
    </row>
    <row r="321" spans="1:17" ht="15" customHeight="1">
      <c r="A321" s="43">
        <v>25</v>
      </c>
      <c r="B321" s="50" t="s">
        <v>19</v>
      </c>
      <c r="C321" s="49" t="s">
        <v>91</v>
      </c>
      <c r="D321" s="49">
        <v>40</v>
      </c>
      <c r="E321" s="49">
        <v>40</v>
      </c>
      <c r="F321" s="50">
        <f t="shared" si="35"/>
        <v>40</v>
      </c>
      <c r="G321" s="152"/>
      <c r="H32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pode ser usada para ajudar os seres humanos na tomada de decisão de forma mais simples.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1" s="152"/>
      <c r="J321" s="152"/>
      <c r="K321" s="153"/>
      <c r="L321" s="152"/>
      <c r="M321" s="152"/>
      <c r="N321" s="153"/>
      <c r="O321" s="152"/>
      <c r="P321" s="152"/>
      <c r="Q321" s="154"/>
    </row>
    <row r="322" spans="1:17" ht="15" customHeight="1">
      <c r="A322" s="49">
        <v>26</v>
      </c>
      <c r="B322" s="50" t="s">
        <v>19</v>
      </c>
      <c r="C322" s="49" t="s">
        <v>94</v>
      </c>
      <c r="D322" s="49">
        <v>40</v>
      </c>
      <c r="E322" s="49">
        <v>40</v>
      </c>
      <c r="F322" s="50">
        <f t="shared" si="35"/>
        <v>40</v>
      </c>
      <c r="G322" s="152"/>
      <c r="H32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Nesse caso a inteligência artificial auxilia o usário e otimiza seu tempo, fazendo com que ele tenha respostas das suas necessidades de rota enquanto utiliza seu pensamento para resolucionar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2" s="152"/>
      <c r="J322" s="152"/>
      <c r="K322" s="153"/>
      <c r="L322" s="152"/>
      <c r="M322" s="152"/>
      <c r="N322" s="153"/>
      <c r="O322" s="152"/>
      <c r="P322" s="152"/>
      <c r="Q322" s="154"/>
    </row>
    <row r="323" spans="1:17" ht="15" customHeight="1">
      <c r="A323" s="49">
        <v>27</v>
      </c>
      <c r="B323" s="155" t="s">
        <v>19</v>
      </c>
      <c r="C323" s="155" t="s">
        <v>97</v>
      </c>
      <c r="D323" s="156">
        <v>30</v>
      </c>
      <c r="E323" s="156">
        <v>20</v>
      </c>
      <c r="F323" s="155">
        <f t="shared" si="35"/>
        <v>25</v>
      </c>
      <c r="G323" s="152"/>
      <c r="H32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Navegadores como o GPS já fazem parte do nosso dia a dia e são exemplo de inteligência artificial, visto que conseguem, por exemplo, recalcular rotas e torná-las diferentes, inclusive podendo ser recalculadas caso não sigamos o seu comando.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3" s="152"/>
      <c r="J323" s="152"/>
      <c r="K323" s="153"/>
      <c r="L323" s="152"/>
      <c r="M323" s="152"/>
      <c r="N323" s="153"/>
      <c r="O323" s="152"/>
      <c r="P323" s="152"/>
      <c r="Q323" s="154"/>
    </row>
    <row r="324" spans="1:17" ht="15" customHeight="1">
      <c r="A324" s="51">
        <v>28</v>
      </c>
      <c r="B324" s="49" t="s">
        <v>19</v>
      </c>
      <c r="C324" s="50" t="s">
        <v>100</v>
      </c>
      <c r="D324" s="49">
        <v>20</v>
      </c>
      <c r="E324" s="49">
        <v>35</v>
      </c>
      <c r="F324" s="50">
        <f t="shared" si="35"/>
        <v>27.5</v>
      </c>
      <c r="G324" s="152"/>
      <c r="H32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ela não acha ruim a IA, desde que utilizada de uma maneira em que ajude o usuario a ter mais um leque de possibilidades em suas mãos e que não o limite.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4" s="152"/>
      <c r="J324" s="152"/>
      <c r="K324" s="153"/>
      <c r="L324" s="152"/>
      <c r="M324" s="152"/>
      <c r="N324" s="153"/>
      <c r="O324" s="152"/>
      <c r="P324" s="152"/>
      <c r="Q324" s="154"/>
    </row>
    <row r="325" spans="1:17" ht="15" customHeight="1">
      <c r="A325" s="49">
        <v>29</v>
      </c>
      <c r="B325" s="50" t="s">
        <v>19</v>
      </c>
      <c r="C325" s="49" t="s">
        <v>103</v>
      </c>
      <c r="D325" s="49">
        <v>20</v>
      </c>
      <c r="E325" s="49">
        <v>25</v>
      </c>
      <c r="F325" s="50">
        <f t="shared" si="35"/>
        <v>22.5</v>
      </c>
      <c r="G325" s="152"/>
      <c r="H32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tecnologias úteis que se tornaram imprescindíveis, embora nem todas sejam, ainda mais relacionadas às redes sociais.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5" s="152"/>
      <c r="J325" s="152"/>
      <c r="K325" s="153"/>
      <c r="L325" s="152"/>
      <c r="M325" s="152"/>
      <c r="N325" s="153"/>
      <c r="O325" s="152"/>
      <c r="P325" s="152"/>
      <c r="Q325" s="154"/>
    </row>
    <row r="326" spans="1:17" ht="15" customHeight="1">
      <c r="A326" s="49">
        <v>30</v>
      </c>
      <c r="B326" s="50" t="s">
        <v>19</v>
      </c>
      <c r="C326" s="49" t="s">
        <v>106</v>
      </c>
      <c r="D326" s="49">
        <v>35</v>
      </c>
      <c r="E326" s="49">
        <v>30</v>
      </c>
      <c r="F326" s="50">
        <f t="shared" si="35"/>
        <v>32.5</v>
      </c>
      <c r="G326" s="152"/>
      <c r="H32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Podemos usar a inteligência artificial para otimizar as tarefas, como utilizar o GPS para calcular a rota mais rápida ou a sem semáforo.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6" s="152"/>
      <c r="J326" s="152"/>
      <c r="K326" s="153"/>
      <c r="L326" s="152"/>
      <c r="M326" s="152"/>
      <c r="N326" s="153"/>
      <c r="O326" s="152"/>
      <c r="P326" s="152"/>
      <c r="Q326" s="154"/>
    </row>
    <row r="327" spans="1:17" ht="15" customHeight="1">
      <c r="A327" s="43">
        <v>31</v>
      </c>
      <c r="B327" s="50" t="s">
        <v>19</v>
      </c>
      <c r="C327" s="49" t="s">
        <v>109</v>
      </c>
      <c r="D327" s="49">
        <v>30</v>
      </c>
      <c r="E327" s="49">
        <v>35</v>
      </c>
      <c r="F327" s="50">
        <f t="shared" si="35"/>
        <v>32.5</v>
      </c>
      <c r="G327" s="152"/>
      <c r="H32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ferramentas tecnológicas permeam as diversas esferas do nosso cotidiano, nos auxiliando nas atividades do dia a dia.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7" s="152"/>
      <c r="J327" s="152"/>
      <c r="K327" s="153"/>
      <c r="L327" s="152"/>
      <c r="M327" s="152"/>
      <c r="N327" s="153"/>
      <c r="O327" s="152"/>
      <c r="P327" s="152"/>
      <c r="Q327" s="154"/>
    </row>
    <row r="328" spans="1:17" ht="15" customHeight="1">
      <c r="A328" s="49">
        <v>32</v>
      </c>
      <c r="B328" s="50" t="s">
        <v>19</v>
      </c>
      <c r="C328" s="49" t="s">
        <v>112</v>
      </c>
      <c r="D328" s="49">
        <v>20</v>
      </c>
      <c r="E328" s="49">
        <v>25</v>
      </c>
      <c r="F328" s="50">
        <f t="shared" si="35"/>
        <v>22.5</v>
      </c>
      <c r="G328" s="152"/>
      <c r="H32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as ferramentas tecnológicas estão presentes no mundo moderno para facilitar a vida do homem, auxiliar para que as pessoas possam pensar em outros assuntos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8" s="152"/>
      <c r="J328" s="152"/>
      <c r="K328" s="153"/>
      <c r="L328" s="152"/>
      <c r="M328" s="152"/>
      <c r="N328" s="153"/>
      <c r="O328" s="152"/>
      <c r="P328" s="152"/>
      <c r="Q328" s="154"/>
    </row>
    <row r="329" spans="1:17" ht="15" customHeight="1">
      <c r="A329" s="49">
        <v>33</v>
      </c>
      <c r="B329" s="50" t="s">
        <v>19</v>
      </c>
      <c r="C329" s="50" t="s">
        <v>115</v>
      </c>
      <c r="D329" s="49">
        <v>10</v>
      </c>
      <c r="E329" s="49">
        <v>10</v>
      </c>
      <c r="F329" s="50">
        <f t="shared" si="35"/>
        <v>10</v>
      </c>
      <c r="G329" s="152"/>
      <c r="H32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 que oferecem soluções melhores e rápidas são úteis para as pessoas, sendo diferentes das burrices artificiais que induzem as pessoas a tomarem decisões.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9" s="152"/>
      <c r="J329" s="152"/>
      <c r="K329" s="153"/>
      <c r="L329" s="152"/>
      <c r="M329" s="152"/>
      <c r="N329" s="153"/>
      <c r="O329" s="152"/>
      <c r="P329" s="152"/>
      <c r="Q329" s="154"/>
    </row>
    <row r="330" spans="1:17" ht="15" customHeight="1">
      <c r="A330" s="51">
        <v>34</v>
      </c>
      <c r="B330" s="50" t="s">
        <v>19</v>
      </c>
      <c r="C330" s="49" t="s">
        <v>118</v>
      </c>
      <c r="D330" s="49">
        <v>0</v>
      </c>
      <c r="E330" s="49">
        <v>0</v>
      </c>
      <c r="F330" s="50">
        <f t="shared" si="35"/>
        <v>0</v>
      </c>
      <c r="G330" s="152"/>
      <c r="H33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inteligência artificial que auxilia, mas que também é Passível de configuração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0" s="152"/>
      <c r="J330" s="152"/>
      <c r="K330" s="153"/>
      <c r="L330" s="152"/>
      <c r="M330" s="152"/>
      <c r="N330" s="153"/>
      <c r="O330" s="152"/>
      <c r="P330" s="152"/>
      <c r="Q330" s="154"/>
    </row>
    <row r="331" spans="1:17" ht="15" customHeight="1">
      <c r="A331" s="49">
        <v>35</v>
      </c>
      <c r="B331" s="50" t="s">
        <v>19</v>
      </c>
      <c r="C331" s="50" t="s">
        <v>121</v>
      </c>
      <c r="D331" s="49">
        <v>40</v>
      </c>
      <c r="E331" s="49">
        <v>40</v>
      </c>
      <c r="F331" s="50">
        <f t="shared" si="35"/>
        <v>40</v>
      </c>
      <c r="G331" s="152"/>
      <c r="H33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auxilia de uma maneira positiva em muitos sentidos, escolhendo por exemplo, o caminho mais rápido até o seu destino, possibilitando assim que o ser humano foque em outros problemas já que o do trânsito estaria resolvido pelo GPS.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1" s="152"/>
      <c r="J331" s="152"/>
      <c r="K331" s="153"/>
      <c r="L331" s="152"/>
      <c r="M331" s="152"/>
      <c r="N331" s="153"/>
      <c r="O331" s="152"/>
      <c r="P331" s="152"/>
      <c r="Q331" s="154"/>
    </row>
    <row r="332" spans="1:17" ht="15" customHeight="1">
      <c r="A332" s="49">
        <v>36</v>
      </c>
      <c r="B332" s="50" t="s">
        <v>19</v>
      </c>
      <c r="C332" s="49" t="s">
        <v>124</v>
      </c>
      <c r="D332" s="49">
        <v>40</v>
      </c>
      <c r="E332" s="49">
        <v>40</v>
      </c>
      <c r="F332" s="50">
        <f t="shared" si="35"/>
        <v>40</v>
      </c>
      <c r="G332" s="152"/>
      <c r="H33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tecnologias/inteligências são boas e não restringe as escolhas dos humanos.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2" s="152"/>
      <c r="J332" s="152"/>
      <c r="K332" s="153"/>
      <c r="L332" s="152"/>
      <c r="M332" s="152"/>
      <c r="N332" s="153"/>
      <c r="O332" s="152"/>
      <c r="P332" s="152"/>
      <c r="Q332" s="154"/>
    </row>
    <row r="333" spans="1:17" ht="15" customHeight="1">
      <c r="A333" s="43">
        <v>37</v>
      </c>
      <c r="B333" s="155" t="s">
        <v>19</v>
      </c>
      <c r="C333" s="155" t="s">
        <v>127</v>
      </c>
      <c r="D333" s="156">
        <v>20</v>
      </c>
      <c r="E333" s="156">
        <v>25</v>
      </c>
      <c r="F333" s="155">
        <f t="shared" si="35"/>
        <v>22.5</v>
      </c>
      <c r="G333" s="152"/>
      <c r="H33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vem pra auxiliar o ser humano, dando lhe, mais tempo para realização de outras tarefas.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3" s="152"/>
      <c r="J333" s="152"/>
      <c r="K333" s="153"/>
      <c r="L333" s="152"/>
      <c r="M333" s="152"/>
      <c r="N333" s="153"/>
      <c r="O333" s="152"/>
      <c r="P333" s="152"/>
      <c r="Q333" s="154"/>
    </row>
    <row r="334" spans="1:17" ht="15" customHeight="1">
      <c r="A334" s="49">
        <v>38</v>
      </c>
      <c r="B334" s="49" t="s">
        <v>19</v>
      </c>
      <c r="C334" s="50" t="s">
        <v>129</v>
      </c>
      <c r="D334" s="49">
        <v>40</v>
      </c>
      <c r="E334" s="49">
        <v>30</v>
      </c>
      <c r="F334" s="50">
        <f t="shared" si="35"/>
        <v>35</v>
      </c>
      <c r="G334" s="152"/>
      <c r="H33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inteligências artificiais que otimizam o tempo no dia-a-dia.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4" s="152"/>
      <c r="J334" s="152"/>
      <c r="K334" s="153"/>
      <c r="L334" s="152"/>
      <c r="M334" s="152"/>
      <c r="N334" s="153"/>
      <c r="O334" s="152"/>
      <c r="P334" s="152"/>
      <c r="Q334" s="154"/>
    </row>
    <row r="335" spans="1:17" ht="15" customHeight="1">
      <c r="A335" s="49">
        <v>39</v>
      </c>
      <c r="B335" s="49" t="s">
        <v>19</v>
      </c>
      <c r="C335" s="49" t="s">
        <v>132</v>
      </c>
      <c r="D335" s="49">
        <v>10</v>
      </c>
      <c r="E335" s="49">
        <v>10</v>
      </c>
      <c r="F335" s="50">
        <f t="shared" si="35"/>
        <v>10</v>
      </c>
      <c r="G335" s="152"/>
      <c r="H33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mesmos sao legítimos calculadores inteligentes de rotas.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5" s="152"/>
      <c r="J335" s="152"/>
      <c r="K335" s="153"/>
      <c r="L335" s="152"/>
      <c r="M335" s="152"/>
      <c r="N335" s="153"/>
      <c r="O335" s="152"/>
      <c r="P335" s="152"/>
      <c r="Q335" s="154"/>
    </row>
    <row r="336" spans="1:17" ht="15" customHeight="1">
      <c r="A336" s="51">
        <v>40</v>
      </c>
      <c r="B336" s="49" t="s">
        <v>19</v>
      </c>
      <c r="C336" s="49" t="s">
        <v>135</v>
      </c>
      <c r="D336" s="49">
        <v>0</v>
      </c>
      <c r="E336" s="49">
        <v>0</v>
      </c>
      <c r="F336" s="49">
        <v>0</v>
      </c>
      <c r="G336" s="152"/>
      <c r="H33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Eles analisam o ponto de saída e de chegada, considerando a preferência do usuário e rotas alternativas.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6" s="152"/>
      <c r="J336" s="152"/>
      <c r="K336" s="153"/>
      <c r="L336" s="152"/>
      <c r="M336" s="152"/>
      <c r="N336" s="153"/>
      <c r="O336" s="152"/>
      <c r="P336" s="152"/>
      <c r="Q336" s="154"/>
    </row>
    <row r="337" spans="1:17" ht="15" customHeight="1">
      <c r="A337" s="49">
        <v>41</v>
      </c>
      <c r="B337" s="50" t="s">
        <v>19</v>
      </c>
      <c r="C337" s="50" t="s">
        <v>138</v>
      </c>
      <c r="D337" s="49">
        <v>0</v>
      </c>
      <c r="E337" s="49">
        <v>0</v>
      </c>
      <c r="F337" s="50">
        <f t="shared" ref="F337:F429" si="37">SUM(D337:E337)/2</f>
        <v>0</v>
      </c>
      <c r="G337" s="152"/>
      <c r="H33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Porque eles calculam a rota de partida e destino dos usuários, e otimizam o trajeto do motorista. Dessa maneira, eles podem focar em outros problemas dentro do seu deslocamento.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7" s="152"/>
      <c r="J337" s="152"/>
      <c r="K337" s="153"/>
      <c r="L337" s="152"/>
      <c r="M337" s="152"/>
      <c r="N337" s="153"/>
      <c r="O337" s="152"/>
      <c r="P337" s="152"/>
      <c r="Q337" s="154"/>
    </row>
    <row r="338" spans="1:17" ht="15" customHeight="1">
      <c r="A338" s="49">
        <v>42</v>
      </c>
      <c r="B338" s="50" t="s">
        <v>19</v>
      </c>
      <c r="C338" s="50" t="s">
        <v>141</v>
      </c>
      <c r="D338" s="49">
        <v>15</v>
      </c>
      <c r="E338" s="49">
        <v>15</v>
      </c>
      <c r="F338" s="50">
        <f t="shared" si="37"/>
        <v>15</v>
      </c>
      <c r="G338" s="152"/>
      <c r="H33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automatização de algumas ferramentas pode facilitar o dia a dia de todos, a autora usou de exemplo o GPS que facilita nossa locomoção pelo mundo, montando rotas e facilitando nosso deslocamento como um guia.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8" s="152"/>
      <c r="J338" s="152"/>
      <c r="K338" s="153"/>
      <c r="L338" s="152"/>
      <c r="M338" s="152"/>
      <c r="N338" s="153"/>
      <c r="O338" s="152"/>
      <c r="P338" s="152"/>
      <c r="Q338" s="154"/>
    </row>
    <row r="339" spans="1:17" ht="15" customHeight="1">
      <c r="A339" s="43">
        <v>43</v>
      </c>
      <c r="B339" s="50" t="s">
        <v>19</v>
      </c>
      <c r="C339" s="50" t="s">
        <v>144</v>
      </c>
      <c r="D339" s="49">
        <v>40</v>
      </c>
      <c r="E339" s="49">
        <v>40</v>
      </c>
      <c r="F339" s="50">
        <f t="shared" si="37"/>
        <v>40</v>
      </c>
      <c r="G339" s="152"/>
      <c r="H33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pode ser utilizada para facilitar a análise das opções possíveis e ajudar a tomarmos decisões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9" s="152"/>
      <c r="J339" s="152"/>
      <c r="K339" s="153"/>
      <c r="L339" s="152"/>
      <c r="M339" s="152"/>
      <c r="N339" s="153"/>
      <c r="O339" s="152"/>
      <c r="P339" s="152"/>
      <c r="Q339" s="154"/>
    </row>
    <row r="340" spans="1:17" ht="15" customHeight="1">
      <c r="A340" s="49">
        <v>44</v>
      </c>
      <c r="B340" s="50" t="s">
        <v>19</v>
      </c>
      <c r="C340" s="50" t="s">
        <v>147</v>
      </c>
      <c r="D340" s="49">
        <v>30</v>
      </c>
      <c r="E340" s="49">
        <v>20</v>
      </c>
      <c r="F340" s="50">
        <f t="shared" si="37"/>
        <v>25</v>
      </c>
      <c r="G340" s="152"/>
      <c r="H34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 exemplo de aplicativo que surgiu com o avanço da tecnologia, e que pode ser eficaz em uma perspectiva de precisar de ajuda para calcular a rota de determinado trajeto. Tratando-se então, de um recurso tecnológico positivo para a sociedade humana.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0" s="152"/>
      <c r="J340" s="152"/>
      <c r="K340" s="153"/>
      <c r="L340" s="152"/>
      <c r="M340" s="152"/>
      <c r="N340" s="153"/>
      <c r="O340" s="152"/>
      <c r="P340" s="152"/>
      <c r="Q340" s="154"/>
    </row>
    <row r="341" spans="1:17" ht="15" customHeight="1">
      <c r="A341" s="49">
        <v>45</v>
      </c>
      <c r="B341" s="50" t="s">
        <v>19</v>
      </c>
      <c r="C341" s="49" t="s">
        <v>150</v>
      </c>
      <c r="D341" s="49">
        <v>25</v>
      </c>
      <c r="E341" s="49">
        <v>20</v>
      </c>
      <c r="F341" s="50">
        <f t="shared" si="37"/>
        <v>22.5</v>
      </c>
      <c r="G341" s="152"/>
      <c r="H34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inteligências artificiais capezes de serem úteis para os seres humanos.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1" s="152"/>
      <c r="J341" s="152"/>
      <c r="K341" s="153"/>
      <c r="L341" s="152"/>
      <c r="M341" s="152"/>
      <c r="N341" s="153"/>
      <c r="O341" s="152"/>
      <c r="P341" s="152"/>
      <c r="Q341" s="154"/>
    </row>
    <row r="342" spans="1:17" ht="15" customHeight="1">
      <c r="A342" s="51">
        <v>46</v>
      </c>
      <c r="B342" s="49" t="s">
        <v>19</v>
      </c>
      <c r="C342" s="50" t="s">
        <v>153</v>
      </c>
      <c r="D342" s="49">
        <v>15</v>
      </c>
      <c r="E342" s="49">
        <v>30</v>
      </c>
      <c r="F342" s="50">
        <f t="shared" si="37"/>
        <v>22.5</v>
      </c>
      <c r="G342" s="152"/>
      <c r="H34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otimiza o tempo das pessoas, fazendo com que elas se preocupem com outras coisas enquanto o GPS resolve problemas como tráfego, acidentes, semâforos e etc.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2" s="152"/>
      <c r="J342" s="152"/>
      <c r="K342" s="153"/>
      <c r="L342" s="152"/>
      <c r="M342" s="152"/>
      <c r="N342" s="153"/>
      <c r="O342" s="152"/>
      <c r="P342" s="152"/>
      <c r="Q342" s="154"/>
    </row>
    <row r="343" spans="1:17" ht="15" customHeight="1">
      <c r="A343" s="49">
        <v>47</v>
      </c>
      <c r="B343" s="50" t="s">
        <v>19</v>
      </c>
      <c r="C343" s="49" t="s">
        <v>156</v>
      </c>
      <c r="D343" s="49">
        <v>30</v>
      </c>
      <c r="E343" s="49">
        <v>30</v>
      </c>
      <c r="F343" s="50">
        <f t="shared" si="37"/>
        <v>30</v>
      </c>
      <c r="G343" s="152"/>
      <c r="H34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NO TEXTO, A AUTORA USA O GPS COMO UM EXEMPLO PARA DEFENDER A IDEIA DE QUE ALGORITMOS QUE NOS AJUDEM SÃO ÚTEIS, QUE POSSAM FACILITAR SITUAÇÕES PARA NÓS, AJUDANDO A FOCAR EM OUTRAS PREOCUPAÇÕES OU ÁREAS DE MAIOR ATENÇÃO.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3" s="152"/>
      <c r="J343" s="152"/>
      <c r="K343" s="153"/>
      <c r="L343" s="152"/>
      <c r="M343" s="152"/>
      <c r="N343" s="153"/>
      <c r="O343" s="152"/>
      <c r="P343" s="152"/>
      <c r="Q343" s="154"/>
    </row>
    <row r="344" spans="1:17" ht="15" customHeight="1">
      <c r="A344" s="49">
        <v>48</v>
      </c>
      <c r="B344" s="50" t="s">
        <v>19</v>
      </c>
      <c r="C344" s="49" t="s">
        <v>159</v>
      </c>
      <c r="D344" s="49">
        <v>35</v>
      </c>
      <c r="E344" s="49">
        <v>35</v>
      </c>
      <c r="F344" s="50">
        <f t="shared" si="37"/>
        <v>35</v>
      </c>
      <c r="G344" s="152"/>
      <c r="H34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inteligências artificiais estão disponíveis a nosso favor, ao calcular a rota a IA, economiza o tempo do motorista que pode ser voltado a outras preocupações, como suas malas, a revisão do carro e outros, que apenas o ser humano pode fazer.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4" s="152"/>
      <c r="J344" s="152"/>
      <c r="K344" s="153"/>
      <c r="L344" s="152"/>
      <c r="M344" s="152"/>
      <c r="N344" s="153"/>
      <c r="O344" s="152"/>
      <c r="P344" s="152"/>
      <c r="Q344" s="154"/>
    </row>
    <row r="345" spans="1:17" ht="15" customHeight="1">
      <c r="A345" s="43">
        <v>49</v>
      </c>
      <c r="B345" s="50" t="s">
        <v>19</v>
      </c>
      <c r="C345" s="49" t="s">
        <v>162</v>
      </c>
      <c r="D345" s="49">
        <v>10</v>
      </c>
      <c r="E345" s="49">
        <v>10</v>
      </c>
      <c r="F345" s="50">
        <f t="shared" si="37"/>
        <v>10</v>
      </c>
      <c r="G345" s="152"/>
      <c r="H34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Eles são capazes de explorar possivilades e maximizá-las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5" s="152"/>
      <c r="J345" s="152"/>
      <c r="K345" s="153"/>
      <c r="L345" s="152"/>
      <c r="M345" s="152"/>
      <c r="N345" s="153"/>
      <c r="O345" s="152"/>
      <c r="P345" s="152"/>
      <c r="Q345" s="154"/>
    </row>
    <row r="346" spans="1:17" ht="15" customHeight="1">
      <c r="A346" s="49">
        <v>50</v>
      </c>
      <c r="B346" s="50" t="s">
        <v>19</v>
      </c>
      <c r="C346" s="50" t="s">
        <v>165</v>
      </c>
      <c r="D346" s="49">
        <v>10</v>
      </c>
      <c r="E346" s="49">
        <v>15</v>
      </c>
      <c r="F346" s="50">
        <f t="shared" si="37"/>
        <v>12.5</v>
      </c>
      <c r="G346" s="152"/>
      <c r="H34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utilizando o gps como um meio de localização, ele vai facilitar a vida da pessoa, podendo fazer outras coisas.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6" s="152"/>
      <c r="J346" s="152"/>
      <c r="K346" s="153"/>
      <c r="L346" s="152"/>
      <c r="M346" s="152"/>
      <c r="N346" s="153"/>
      <c r="O346" s="152"/>
      <c r="P346" s="152"/>
      <c r="Q346" s="154"/>
    </row>
    <row r="347" spans="1:17" ht="15" customHeight="1">
      <c r="A347" s="49">
        <v>51</v>
      </c>
      <c r="B347" s="50" t="s">
        <v>19</v>
      </c>
      <c r="C347" s="50" t="s">
        <v>168</v>
      </c>
      <c r="D347" s="49">
        <v>30</v>
      </c>
      <c r="E347" s="49">
        <v>35</v>
      </c>
      <c r="F347" s="50">
        <f t="shared" si="37"/>
        <v>32.5</v>
      </c>
      <c r="G347" s="152"/>
      <c r="H34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em sua totalidade, se usada de forma proveitosa, serve para maximizar as possibilidades que o leitor ou usuário tem em relação ao seu objetivo, funciona como meio de reduzir o tempo empregado em uma tarefa ao mesmo tempo em que maximiza seu resultado.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7" s="152"/>
      <c r="J347" s="152"/>
      <c r="K347" s="153"/>
      <c r="L347" s="152"/>
      <c r="M347" s="152"/>
      <c r="N347" s="153"/>
      <c r="O347" s="152"/>
      <c r="P347" s="152"/>
      <c r="Q347" s="154"/>
    </row>
    <row r="348" spans="1:17" ht="15" customHeight="1">
      <c r="A348" s="51">
        <v>52</v>
      </c>
      <c r="B348" s="50" t="s">
        <v>19</v>
      </c>
      <c r="C348" s="49" t="s">
        <v>171</v>
      </c>
      <c r="D348" s="49">
        <v>40</v>
      </c>
      <c r="E348" s="49">
        <v>35</v>
      </c>
      <c r="F348" s="50">
        <f t="shared" si="37"/>
        <v>37.5</v>
      </c>
      <c r="G348" s="152"/>
      <c r="H34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inteligências artificiais são um mecanismo de auxílio para as pessoas, uma vez que facilita certos racicínios humanos, porém, são uma forma de ferramenta que nos ajude, não substitua. Ao facilitar uma tarefa, a pessoa possui espaço para cuidar e analisar outras questões mais relevantes que não possam ser supridas por uma 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8" s="152"/>
      <c r="J348" s="152"/>
      <c r="K348" s="153"/>
      <c r="L348" s="152"/>
      <c r="M348" s="152"/>
      <c r="N348" s="153"/>
      <c r="O348" s="152"/>
      <c r="P348" s="152"/>
      <c r="Q348" s="154"/>
    </row>
    <row r="349" spans="1:17" ht="15" customHeight="1">
      <c r="A349" s="49">
        <v>53</v>
      </c>
      <c r="B349" s="50" t="s">
        <v>19</v>
      </c>
      <c r="C349" s="49" t="s">
        <v>174</v>
      </c>
      <c r="D349" s="49">
        <v>20</v>
      </c>
      <c r="E349" s="49">
        <v>25</v>
      </c>
      <c r="F349" s="50">
        <f t="shared" si="37"/>
        <v>22.5</v>
      </c>
      <c r="G349" s="152"/>
      <c r="H34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um RECURSO pra otimizar tempo. O GPS foi um ótimo e claro exemplo disso pois como dito no texto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9" s="152"/>
      <c r="J349" s="152"/>
      <c r="K349" s="153"/>
      <c r="L349" s="152"/>
      <c r="M349" s="152"/>
      <c r="N349" s="153"/>
      <c r="O349" s="152"/>
      <c r="P349" s="152"/>
      <c r="Q349" s="154"/>
    </row>
    <row r="350" spans="1:17" ht="15" customHeight="1">
      <c r="A350" s="49">
        <v>54</v>
      </c>
      <c r="B350" s="50" t="s">
        <v>19</v>
      </c>
      <c r="C350" s="49" t="s">
        <v>177</v>
      </c>
      <c r="D350" s="49">
        <v>27</v>
      </c>
      <c r="E350" s="49">
        <v>28</v>
      </c>
      <c r="F350" s="50">
        <f t="shared" si="37"/>
        <v>27.5</v>
      </c>
      <c r="G350" s="152"/>
      <c r="H35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 inteligencia artificial pode, e já existe, como um meio de suporte e de auxílio para nós se usada de forma correta, e não como algo que nos torne leigos ou iguinorantes, como ela citou, em se locomover de automóvel.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0" s="152"/>
      <c r="J350" s="152"/>
      <c r="K350" s="153"/>
      <c r="L350" s="152"/>
      <c r="M350" s="152"/>
      <c r="N350" s="153"/>
      <c r="O350" s="152"/>
      <c r="P350" s="152"/>
      <c r="Q350" s="154"/>
    </row>
    <row r="351" spans="1:17" ht="15" customHeight="1">
      <c r="A351" s="43">
        <v>55</v>
      </c>
      <c r="B351" s="50" t="s">
        <v>19</v>
      </c>
      <c r="C351" s="49" t="s">
        <v>180</v>
      </c>
      <c r="D351" s="49">
        <v>40</v>
      </c>
      <c r="E351" s="49">
        <v>40</v>
      </c>
      <c r="F351" s="50">
        <f t="shared" si="37"/>
        <v>40</v>
      </c>
      <c r="G351" s="152"/>
      <c r="H35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se trata de uma ferramenta de cálculo de rotas, um instrumento de análise de possibilidades de trajétos que oferece opções de escolha para o usuário. Assim, teoricamente, se estabelece a ideia de que inteligência artificial, no conceito proposto pela autora, estaria alinhado ao cálculo de possibilidades e oferecimento de opções para os usuários.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1" s="152"/>
      <c r="J351" s="152"/>
      <c r="K351" s="153"/>
      <c r="L351" s="152"/>
      <c r="M351" s="152"/>
      <c r="N351" s="153"/>
      <c r="O351" s="152"/>
      <c r="P351" s="152"/>
      <c r="Q351" s="154"/>
    </row>
    <row r="352" spans="1:17" ht="15" customHeight="1">
      <c r="A352" s="49">
        <v>56</v>
      </c>
      <c r="B352" s="50" t="s">
        <v>19</v>
      </c>
      <c r="C352" s="50" t="s">
        <v>183</v>
      </c>
      <c r="D352" s="49">
        <v>25</v>
      </c>
      <c r="E352" s="49">
        <v>20</v>
      </c>
      <c r="F352" s="50">
        <f t="shared" si="37"/>
        <v>22.5</v>
      </c>
      <c r="G352" s="152"/>
      <c r="H35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é um exemplos de ferramenta de inteligência artificial que já existe a muito tempo, ferramenta essa que contribui muito para os usuários .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2" s="152"/>
      <c r="J352" s="152"/>
      <c r="K352" s="153"/>
      <c r="L352" s="152"/>
      <c r="M352" s="152"/>
      <c r="N352" s="153"/>
      <c r="O352" s="152"/>
      <c r="P352" s="152"/>
      <c r="Q352" s="154"/>
    </row>
    <row r="353" spans="1:17" ht="15" customHeight="1">
      <c r="A353" s="49">
        <v>57</v>
      </c>
      <c r="B353" s="49" t="s">
        <v>19</v>
      </c>
      <c r="C353" s="49" t="s">
        <v>186</v>
      </c>
      <c r="D353" s="49">
        <v>30</v>
      </c>
      <c r="E353" s="49">
        <v>30</v>
      </c>
      <c r="F353" s="50">
        <f t="shared" si="37"/>
        <v>30</v>
      </c>
      <c r="G353" s="152"/>
      <c r="H35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útil, uma vez que agiliza a resolução de um problema.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3" s="152"/>
      <c r="J353" s="152"/>
      <c r="K353" s="153"/>
      <c r="L353" s="152"/>
      <c r="M353" s="152"/>
      <c r="N353" s="153"/>
      <c r="O353" s="152"/>
      <c r="P353" s="152"/>
      <c r="Q353" s="154"/>
    </row>
    <row r="354" spans="1:17" ht="15" customHeight="1">
      <c r="A354" s="51">
        <v>58</v>
      </c>
      <c r="B354" s="50" t="s">
        <v>19</v>
      </c>
      <c r="C354" s="50" t="s">
        <v>189</v>
      </c>
      <c r="D354" s="49">
        <v>0</v>
      </c>
      <c r="E354" s="49">
        <v>0</v>
      </c>
      <c r="F354" s="50">
        <f t="shared" si="37"/>
        <v>0</v>
      </c>
      <c r="G354" s="152"/>
      <c r="H35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de rota considerando ponto de partida e chegada.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4" s="152"/>
      <c r="J354" s="152"/>
      <c r="K354" s="153"/>
      <c r="L354" s="152"/>
      <c r="M354" s="152"/>
      <c r="N354" s="153"/>
      <c r="O354" s="152"/>
      <c r="P354" s="152"/>
      <c r="Q354" s="154"/>
    </row>
    <row r="355" spans="1:17" ht="15" customHeight="1">
      <c r="A355" s="49">
        <v>59</v>
      </c>
      <c r="B355" s="50" t="s">
        <v>19</v>
      </c>
      <c r="C355" s="50" t="s">
        <v>192</v>
      </c>
      <c r="D355" s="49">
        <v>30</v>
      </c>
      <c r="E355" s="49">
        <v>30</v>
      </c>
      <c r="F355" s="50">
        <f t="shared" si="37"/>
        <v>30</v>
      </c>
      <c r="G355" s="152"/>
      <c r="H35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se utilizada de uma boa maneira otimiza o tempo no dia a dia, o GPS é um bom exemplo dessa tecnologia, pois é eficiente,  facilita a localização de quem o utiliza, entre outros...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5" s="152"/>
      <c r="J355" s="152"/>
      <c r="K355" s="153"/>
      <c r="L355" s="152"/>
      <c r="M355" s="152"/>
      <c r="N355" s="153"/>
      <c r="O355" s="152"/>
      <c r="P355" s="152"/>
      <c r="Q355" s="154"/>
    </row>
    <row r="356" spans="1:17" ht="15" customHeight="1">
      <c r="A356" s="49">
        <v>60</v>
      </c>
      <c r="B356" s="50" t="s">
        <v>19</v>
      </c>
      <c r="C356" s="50" t="s">
        <v>195</v>
      </c>
      <c r="D356" s="49">
        <v>40</v>
      </c>
      <c r="E356" s="49">
        <v>40</v>
      </c>
      <c r="F356" s="50">
        <f t="shared" si="37"/>
        <v>40</v>
      </c>
      <c r="G356" s="152"/>
      <c r="H35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ajuda no processo de tomadas de decisões, enquanto usa seus próprios neurônios em resolução de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6" s="152"/>
      <c r="J356" s="152"/>
      <c r="K356" s="153"/>
      <c r="L356" s="152"/>
      <c r="M356" s="152"/>
      <c r="N356" s="153"/>
      <c r="O356" s="152"/>
      <c r="P356" s="152"/>
      <c r="Q356" s="154"/>
    </row>
    <row r="357" spans="1:17" ht="15" customHeight="1">
      <c r="A357" s="43">
        <v>61</v>
      </c>
      <c r="B357" s="50" t="s">
        <v>19</v>
      </c>
      <c r="C357" s="49" t="s">
        <v>198</v>
      </c>
      <c r="D357" s="49">
        <v>10</v>
      </c>
      <c r="E357" s="49">
        <v>10</v>
      </c>
      <c r="F357" s="50">
        <f t="shared" si="37"/>
        <v>10</v>
      </c>
      <c r="G357" s="152"/>
      <c r="H35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 que nos fornecem ajuda ou automaticamente ofereçam a melhor opção são muito úteis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7" s="152"/>
      <c r="J357" s="152"/>
      <c r="K357" s="153"/>
      <c r="L357" s="152"/>
      <c r="M357" s="152"/>
      <c r="N357" s="153"/>
      <c r="O357" s="152"/>
      <c r="P357" s="152"/>
      <c r="Q357" s="154"/>
    </row>
    <row r="358" spans="1:17" ht="15" customHeight="1">
      <c r="A358" s="49">
        <v>62</v>
      </c>
      <c r="B358" s="50" t="s">
        <v>19</v>
      </c>
      <c r="C358" s="49" t="s">
        <v>201</v>
      </c>
      <c r="D358" s="49">
        <v>10</v>
      </c>
      <c r="E358" s="49">
        <v>0</v>
      </c>
      <c r="F358" s="50">
        <f t="shared" si="37"/>
        <v>5</v>
      </c>
      <c r="G358" s="152"/>
      <c r="H35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Certos algoritmos nos ajudam, no deslocamento, com menos transtornos nas viagens.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8" s="152"/>
      <c r="J358" s="152"/>
      <c r="K358" s="153"/>
      <c r="L358" s="152"/>
      <c r="M358" s="152"/>
      <c r="N358" s="153"/>
      <c r="O358" s="152"/>
      <c r="P358" s="152"/>
      <c r="Q358" s="154"/>
    </row>
    <row r="359" spans="1:17" ht="15" customHeight="1">
      <c r="A359" s="49">
        <v>63</v>
      </c>
      <c r="B359" s="50" t="s">
        <v>19</v>
      </c>
      <c r="C359" s="50" t="s">
        <v>204</v>
      </c>
      <c r="D359" s="49">
        <v>30</v>
      </c>
      <c r="E359" s="49">
        <v>30</v>
      </c>
      <c r="F359" s="50">
        <f t="shared" si="37"/>
        <v>30</v>
      </c>
      <c r="G359" s="152"/>
      <c r="H35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ajuda na maximização e otimização do tempo. Isso nos ajuda a pensar em outras enquanto o algoritmo traça nossa rota de acordo com nossa preferencia.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9" s="152"/>
      <c r="J359" s="152"/>
      <c r="K359" s="153"/>
      <c r="L359" s="152"/>
      <c r="M359" s="152"/>
      <c r="N359" s="153"/>
      <c r="O359" s="152"/>
      <c r="P359" s="152"/>
      <c r="Q359" s="154"/>
    </row>
    <row r="360" spans="1:17" ht="15" customHeight="1">
      <c r="A360" s="51">
        <v>64</v>
      </c>
      <c r="B360" s="49" t="s">
        <v>19</v>
      </c>
      <c r="C360" s="49" t="s">
        <v>207</v>
      </c>
      <c r="D360" s="49">
        <v>25</v>
      </c>
      <c r="E360" s="49">
        <v>20</v>
      </c>
      <c r="F360" s="50">
        <f t="shared" si="37"/>
        <v>22.5</v>
      </c>
      <c r="G360" s="152"/>
      <c r="H36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Ao utilizar o GPS os usuários otimizam seu tempo para resolver outros problemas, já que a inteligência artificial estará minimizando "os neurônios" do indivíduo, ou seja, aquela pessoa não precisará de sua atenção total ao exercer a função na qual essa IA já está desempenhando.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0" s="152"/>
      <c r="J360" s="152"/>
      <c r="K360" s="153"/>
      <c r="L360" s="152"/>
      <c r="M360" s="152"/>
      <c r="N360" s="153"/>
      <c r="O360" s="152"/>
      <c r="P360" s="152"/>
      <c r="Q360" s="154"/>
    </row>
    <row r="361" spans="1:17" ht="15" customHeight="1">
      <c r="A361" s="49">
        <v>65</v>
      </c>
      <c r="B361" s="49" t="s">
        <v>19</v>
      </c>
      <c r="C361" s="49" t="s">
        <v>124</v>
      </c>
      <c r="D361" s="49">
        <v>40</v>
      </c>
      <c r="E361" s="49">
        <v>40</v>
      </c>
      <c r="F361" s="50">
        <f t="shared" si="37"/>
        <v>40</v>
      </c>
      <c r="G361" s="152"/>
      <c r="H36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tecnologias/inteligências são boas e não restringe as escolhas dos humanos.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1" s="152"/>
      <c r="J361" s="152"/>
      <c r="K361" s="153"/>
      <c r="L361" s="152"/>
      <c r="M361" s="152"/>
      <c r="N361" s="153"/>
      <c r="O361" s="152"/>
      <c r="P361" s="152"/>
      <c r="Q361" s="154"/>
    </row>
    <row r="362" spans="1:17" ht="15" customHeight="1">
      <c r="A362" s="49">
        <v>66</v>
      </c>
      <c r="B362" s="49" t="s">
        <v>19</v>
      </c>
      <c r="C362" s="50" t="s">
        <v>212</v>
      </c>
      <c r="D362" s="49">
        <v>10</v>
      </c>
      <c r="E362" s="49">
        <v>25</v>
      </c>
      <c r="F362" s="50">
        <f t="shared" si="37"/>
        <v>17.5</v>
      </c>
      <c r="G362" s="152"/>
      <c r="H36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Inteligências artificiais podem ser muito úteis.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2" s="152"/>
      <c r="J362" s="152"/>
      <c r="K362" s="153"/>
      <c r="L362" s="152"/>
      <c r="M362" s="152"/>
      <c r="N362" s="153"/>
      <c r="O362" s="152"/>
      <c r="P362" s="152"/>
      <c r="Q362" s="154"/>
    </row>
    <row r="363" spans="1:17" ht="15" customHeight="1">
      <c r="A363" s="43">
        <v>67</v>
      </c>
      <c r="B363" s="50" t="s">
        <v>19</v>
      </c>
      <c r="C363" s="50" t="s">
        <v>215</v>
      </c>
      <c r="D363" s="49">
        <v>0</v>
      </c>
      <c r="E363" s="49">
        <v>0</v>
      </c>
      <c r="F363" s="50">
        <f t="shared" si="37"/>
        <v>0</v>
      </c>
      <c r="G363" s="152"/>
      <c r="H36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é uma excelente calculadora que pode te auxiliar pensando em rotas mais rápidas, sem trânsito, semáforo enquanto você pode resolver outra tarefa.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3" s="152"/>
      <c r="J363" s="152"/>
      <c r="K363" s="153"/>
      <c r="L363" s="152"/>
      <c r="M363" s="152"/>
      <c r="N363" s="153"/>
      <c r="O363" s="152"/>
      <c r="P363" s="152"/>
      <c r="Q363" s="154"/>
    </row>
    <row r="364" spans="1:17" ht="15" customHeight="1">
      <c r="A364" s="49">
        <v>68</v>
      </c>
      <c r="B364" s="50" t="s">
        <v>19</v>
      </c>
      <c r="C364" s="50" t="s">
        <v>218</v>
      </c>
      <c r="D364" s="49">
        <v>10</v>
      </c>
      <c r="E364" s="49">
        <v>10</v>
      </c>
      <c r="F364" s="50">
        <f t="shared" si="37"/>
        <v>10</v>
      </c>
      <c r="G364" s="152"/>
      <c r="H36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calcula as melhores rotas, com base em nossas preferências pré selecionadas, enquanto colocamos nossos esforços em outras atividades.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4" s="152"/>
      <c r="J364" s="152"/>
      <c r="K364" s="153"/>
      <c r="L364" s="152"/>
      <c r="M364" s="152"/>
      <c r="N364" s="153"/>
      <c r="O364" s="152"/>
      <c r="P364" s="152"/>
      <c r="Q364" s="154"/>
    </row>
    <row r="365" spans="1:17" ht="15" customHeight="1">
      <c r="A365" s="49">
        <v>69</v>
      </c>
      <c r="B365" s="155" t="s">
        <v>19</v>
      </c>
      <c r="C365" s="155" t="s">
        <v>221</v>
      </c>
      <c r="D365" s="156">
        <v>30</v>
      </c>
      <c r="E365" s="156">
        <v>30</v>
      </c>
      <c r="F365" s="155">
        <f t="shared" si="37"/>
        <v>30</v>
      </c>
      <c r="G365" s="152"/>
      <c r="H36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usa o GPS para defender a ideia de que a Inteligência Artificial já está em uso há certo tempo e sua utilidade em processos.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5" s="152"/>
      <c r="J365" s="152"/>
      <c r="K365" s="153"/>
      <c r="L365" s="152"/>
      <c r="M365" s="152"/>
      <c r="N365" s="153"/>
      <c r="O365" s="152"/>
      <c r="P365" s="152"/>
      <c r="Q365" s="154"/>
    </row>
    <row r="366" spans="1:17" ht="15" customHeight="1">
      <c r="A366" s="51">
        <v>70</v>
      </c>
      <c r="B366" s="50" t="s">
        <v>19</v>
      </c>
      <c r="C366" s="49" t="s">
        <v>223</v>
      </c>
      <c r="D366" s="49">
        <v>20</v>
      </c>
      <c r="E366" s="49">
        <v>20</v>
      </c>
      <c r="F366" s="50">
        <f t="shared" si="37"/>
        <v>20</v>
      </c>
      <c r="G366" s="152"/>
      <c r="H36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inteligenca artificial pode nos auxiliar em diveros aspectos.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6" s="152"/>
      <c r="J366" s="152"/>
      <c r="K366" s="153"/>
      <c r="L366" s="152"/>
      <c r="M366" s="152"/>
      <c r="N366" s="153"/>
      <c r="O366" s="152"/>
      <c r="P366" s="152"/>
      <c r="Q366" s="154"/>
    </row>
    <row r="367" spans="1:17" ht="15" customHeight="1">
      <c r="A367" s="49">
        <v>71</v>
      </c>
      <c r="B367" s="50" t="s">
        <v>19</v>
      </c>
      <c r="C367" s="50" t="s">
        <v>226</v>
      </c>
      <c r="D367" s="49">
        <v>20</v>
      </c>
      <c r="E367" s="49">
        <v>30</v>
      </c>
      <c r="F367" s="50">
        <f t="shared" si="37"/>
        <v>25</v>
      </c>
      <c r="G367" s="152"/>
      <c r="H36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é muito importante para o cotidiano, mas não deve ser vislumbrada pela ideia de contaminação do algoritmo.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7" s="152"/>
      <c r="J367" s="152"/>
      <c r="K367" s="153"/>
      <c r="L367" s="152"/>
      <c r="M367" s="152"/>
      <c r="N367" s="153"/>
      <c r="O367" s="152"/>
      <c r="P367" s="152"/>
      <c r="Q367" s="154"/>
    </row>
    <row r="368" spans="1:17" ht="15" customHeight="1">
      <c r="A368" s="49">
        <v>72</v>
      </c>
      <c r="B368" s="50" t="s">
        <v>19</v>
      </c>
      <c r="C368" s="50" t="s">
        <v>229</v>
      </c>
      <c r="D368" s="49">
        <v>5</v>
      </c>
      <c r="E368" s="49">
        <v>10</v>
      </c>
      <c r="F368" s="50">
        <f t="shared" si="37"/>
        <v>7.5</v>
      </c>
      <c r="G368" s="152"/>
      <c r="H36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existem aplicativos que fazem uso de Inteligência Artificial de maneira proveitosa.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8" s="152"/>
      <c r="J368" s="152"/>
      <c r="K368" s="153"/>
      <c r="L368" s="152"/>
      <c r="M368" s="152"/>
      <c r="N368" s="153"/>
      <c r="O368" s="152"/>
      <c r="P368" s="152"/>
      <c r="Q368" s="154"/>
    </row>
    <row r="369" spans="1:17" ht="15" customHeight="1">
      <c r="A369" s="43">
        <v>73</v>
      </c>
      <c r="B369" s="50" t="s">
        <v>19</v>
      </c>
      <c r="C369" s="50" t="s">
        <v>232</v>
      </c>
      <c r="D369" s="49">
        <v>10</v>
      </c>
      <c r="E369" s="49">
        <v>20</v>
      </c>
      <c r="F369" s="50">
        <f t="shared" si="37"/>
        <v>15</v>
      </c>
      <c r="G369" s="152"/>
      <c r="H36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inteligencia artificial já está entre nós a bastante tempo, nao foi algo que chegou derrepente.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9" s="152"/>
      <c r="J369" s="152"/>
      <c r="K369" s="153"/>
      <c r="L369" s="152"/>
      <c r="M369" s="152"/>
      <c r="N369" s="153"/>
      <c r="O369" s="152"/>
      <c r="P369" s="152"/>
      <c r="Q369" s="154"/>
    </row>
    <row r="370" spans="1:17" ht="15" customHeight="1">
      <c r="A370" s="49">
        <v>74</v>
      </c>
      <c r="B370" s="50" t="s">
        <v>19</v>
      </c>
      <c r="C370" s="50" t="s">
        <v>235</v>
      </c>
      <c r="D370" s="49">
        <v>20</v>
      </c>
      <c r="E370" s="49">
        <v>20</v>
      </c>
      <c r="F370" s="50">
        <f t="shared" si="37"/>
        <v>20</v>
      </c>
      <c r="G370" s="152"/>
      <c r="H37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Defende que a ideia a inteligência nos permite identificar e optar pelos caminhos que mantêm mais portas abertas para o futuro, ou seja, esses algorítimos nos ajudam  e são muito uteis, assim você pode gastar seus neurônios para gastar com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0" s="152"/>
      <c r="J370" s="152"/>
      <c r="K370" s="153"/>
      <c r="L370" s="152"/>
      <c r="M370" s="152"/>
      <c r="N370" s="153"/>
      <c r="O370" s="152"/>
      <c r="P370" s="152"/>
      <c r="Q370" s="154"/>
    </row>
    <row r="371" spans="1:17" ht="15" customHeight="1">
      <c r="A371" s="49">
        <v>75</v>
      </c>
      <c r="B371" s="50" t="s">
        <v>19</v>
      </c>
      <c r="C371" s="50" t="s">
        <v>238</v>
      </c>
      <c r="D371" s="49">
        <v>0</v>
      </c>
      <c r="E371" s="49">
        <v>0</v>
      </c>
      <c r="F371" s="50">
        <f t="shared" si="37"/>
        <v>0</v>
      </c>
      <c r="G371" s="152"/>
      <c r="H37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inteligentes calculadores de rotas.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1" s="152"/>
      <c r="J371" s="152"/>
      <c r="K371" s="153"/>
      <c r="L371" s="152"/>
      <c r="M371" s="152"/>
      <c r="N371" s="153"/>
      <c r="O371" s="152"/>
      <c r="P371" s="152"/>
      <c r="Q371" s="154"/>
    </row>
    <row r="372" spans="1:17" ht="15" customHeight="1">
      <c r="A372" s="51">
        <v>76</v>
      </c>
      <c r="B372" s="50" t="s">
        <v>19</v>
      </c>
      <c r="C372" s="50" t="s">
        <v>241</v>
      </c>
      <c r="D372" s="49">
        <v>40</v>
      </c>
      <c r="E372" s="49">
        <v>40</v>
      </c>
      <c r="F372" s="50">
        <f t="shared" si="37"/>
        <v>40</v>
      </c>
      <c r="G372" s="152"/>
      <c r="H37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faz o trabalho humano de traçar rotas, desviar semáforos e o trânsito. Enquanto isso, as pessoas deixam de gastar neurônios com isso podendo pensar em outras coisas.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2" s="152"/>
      <c r="J372" s="152"/>
      <c r="K372" s="153"/>
      <c r="L372" s="152"/>
      <c r="M372" s="152"/>
      <c r="N372" s="153"/>
      <c r="O372" s="152"/>
      <c r="P372" s="152"/>
      <c r="Q372" s="154"/>
    </row>
    <row r="373" spans="1:17" ht="15" customHeight="1">
      <c r="A373" s="49">
        <v>77</v>
      </c>
      <c r="B373" s="50" t="s">
        <v>19</v>
      </c>
      <c r="C373" s="50" t="s">
        <v>244</v>
      </c>
      <c r="D373" s="49">
        <v>40</v>
      </c>
      <c r="E373" s="49">
        <v>40</v>
      </c>
      <c r="F373" s="50">
        <f t="shared" si="37"/>
        <v>40</v>
      </c>
      <c r="G373" s="152"/>
      <c r="H37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ser benéfica. Pois o GPS utiliza esta tecnologia para criar algorítmos que irão otimizar a sua rota e melhorar sua experiência de acordo com sua preferência. Seria um exemplo de Inteligência Artificial utilizada a seu favor, para otimizar seu tempo, ao invés de te distrair e diminuir sua capacidade de raciocínio próprio.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3" s="152"/>
      <c r="J373" s="152"/>
      <c r="K373" s="153"/>
      <c r="L373" s="152"/>
      <c r="M373" s="152"/>
      <c r="N373" s="153"/>
      <c r="O373" s="152"/>
      <c r="P373" s="152"/>
      <c r="Q373" s="154"/>
    </row>
    <row r="374" spans="1:17" ht="15" customHeight="1">
      <c r="A374" s="49">
        <v>78</v>
      </c>
      <c r="B374" s="50" t="s">
        <v>19</v>
      </c>
      <c r="C374" s="50" t="s">
        <v>247</v>
      </c>
      <c r="D374" s="49">
        <v>40</v>
      </c>
      <c r="E374" s="49">
        <v>40</v>
      </c>
      <c r="F374" s="50">
        <f t="shared" si="37"/>
        <v>40</v>
      </c>
      <c r="G374" s="152"/>
      <c r="H37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é flexível de forma positiva. Auxilia o ser humano otimizando seu tempo. A autora exemplifica que enquanto o GPS programa a melhor rota, o indivíduo pode usufruir deste tempo para resolver outras questões. Ou seja, a praticidade que a inteligência artificial oferece facilita no cotidiano do ser humano.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4" s="152"/>
      <c r="J374" s="152"/>
      <c r="K374" s="153"/>
      <c r="L374" s="152"/>
      <c r="M374" s="152"/>
      <c r="N374" s="153"/>
      <c r="O374" s="152"/>
      <c r="P374" s="152"/>
      <c r="Q374" s="154"/>
    </row>
    <row r="375" spans="1:17" ht="15" customHeight="1">
      <c r="A375" s="43">
        <v>79</v>
      </c>
      <c r="B375" s="155" t="s">
        <v>19</v>
      </c>
      <c r="C375" s="155" t="s">
        <v>250</v>
      </c>
      <c r="D375" s="156">
        <v>40</v>
      </c>
      <c r="E375" s="156">
        <v>35</v>
      </c>
      <c r="F375" s="155">
        <f t="shared" si="37"/>
        <v>37.5</v>
      </c>
      <c r="G375" s="152"/>
      <c r="H37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inteligencias são muito úteis para auxiliar no dia a dia, e ajudar o usuário, assim, podendo que ele otimize seu tempo e resolva outros tipos de situação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5" s="152"/>
      <c r="J375" s="152"/>
      <c r="K375" s="153"/>
      <c r="L375" s="152"/>
      <c r="M375" s="152"/>
      <c r="N375" s="153"/>
      <c r="O375" s="152"/>
      <c r="P375" s="152"/>
      <c r="Q375" s="154"/>
    </row>
    <row r="376" spans="1:17" ht="15" customHeight="1">
      <c r="A376" s="49">
        <v>80</v>
      </c>
      <c r="B376" s="50" t="s">
        <v>19</v>
      </c>
      <c r="C376" s="49" t="s">
        <v>252</v>
      </c>
      <c r="D376" s="49">
        <v>0</v>
      </c>
      <c r="E376" s="49">
        <v>5</v>
      </c>
      <c r="F376" s="50">
        <f t="shared" si="37"/>
        <v>2.5</v>
      </c>
      <c r="G376" s="152"/>
      <c r="H37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Que a inteligência é a flexibilidade cognitiva que nos permite identificar e optar por caminhos mais amplos. Que o GPS é uma dessa inteligências, nos auxilia.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6" s="152"/>
      <c r="J376" s="152"/>
      <c r="K376" s="153"/>
      <c r="L376" s="152"/>
      <c r="M376" s="152"/>
      <c r="N376" s="153"/>
      <c r="O376" s="152"/>
      <c r="P376" s="152"/>
      <c r="Q376" s="154"/>
    </row>
    <row r="377" spans="1:17" ht="15" customHeight="1">
      <c r="A377" s="49">
        <v>81</v>
      </c>
      <c r="B377" s="50" t="s">
        <v>19</v>
      </c>
      <c r="C377" s="49" t="s">
        <v>255</v>
      </c>
      <c r="D377" s="49">
        <v>10</v>
      </c>
      <c r="E377" s="49">
        <v>10</v>
      </c>
      <c r="F377" s="50">
        <f t="shared" si="37"/>
        <v>10</v>
      </c>
      <c r="G377" s="152"/>
      <c r="H37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inteligentes, e está presente na sociedade como inteligência artificial.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7" s="152"/>
      <c r="J377" s="152"/>
      <c r="K377" s="153"/>
      <c r="L377" s="152"/>
      <c r="M377" s="152"/>
      <c r="N377" s="153"/>
      <c r="O377" s="152"/>
      <c r="P377" s="152"/>
      <c r="Q377" s="154"/>
    </row>
    <row r="378" spans="1:17" ht="15" customHeight="1">
      <c r="A378" s="51">
        <v>82</v>
      </c>
      <c r="B378" s="50" t="s">
        <v>19</v>
      </c>
      <c r="C378" s="49" t="s">
        <v>258</v>
      </c>
      <c r="D378" s="49">
        <v>30</v>
      </c>
      <c r="E378" s="49">
        <v>32</v>
      </c>
      <c r="F378" s="50">
        <f t="shared" si="37"/>
        <v>31</v>
      </c>
      <c r="G378" s="152"/>
      <c r="H37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praticidade de ferramentas que utilizam inteligência artificial é bem-vinda e auxilia que as pessoas possam direcionar seus esforços para outras atividades.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8" s="152"/>
      <c r="J378" s="152"/>
      <c r="K378" s="153"/>
      <c r="L378" s="152"/>
      <c r="M378" s="152"/>
      <c r="N378" s="153"/>
      <c r="O378" s="152"/>
      <c r="P378" s="152"/>
      <c r="Q378" s="154"/>
    </row>
    <row r="379" spans="1:17" ht="15" customHeight="1">
      <c r="A379" s="49">
        <v>83</v>
      </c>
      <c r="B379" s="50" t="s">
        <v>19</v>
      </c>
      <c r="C379" s="50" t="s">
        <v>261</v>
      </c>
      <c r="D379" s="49">
        <v>0</v>
      </c>
      <c r="E379" s="49">
        <v>0</v>
      </c>
      <c r="F379" s="50">
        <f t="shared" si="37"/>
        <v>0</v>
      </c>
      <c r="G379" s="152"/>
      <c r="H37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calculadores inteligentes que ajudam no cálculo de rota e destino.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9" s="152"/>
      <c r="J379" s="152"/>
      <c r="K379" s="153"/>
      <c r="L379" s="152"/>
      <c r="M379" s="152"/>
      <c r="N379" s="153"/>
      <c r="O379" s="152"/>
      <c r="P379" s="152"/>
      <c r="Q379" s="154"/>
    </row>
    <row r="380" spans="1:17" ht="15" customHeight="1">
      <c r="A380" s="49">
        <v>84</v>
      </c>
      <c r="B380" s="50" t="s">
        <v>19</v>
      </c>
      <c r="C380" s="50" t="s">
        <v>264</v>
      </c>
      <c r="D380" s="49">
        <v>30</v>
      </c>
      <c r="E380" s="49">
        <v>35</v>
      </c>
      <c r="F380" s="50">
        <f t="shared" si="37"/>
        <v>32.5</v>
      </c>
      <c r="G380" s="152"/>
      <c r="H38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ferramentas dotadas de inteligência artificial podem ser úteis, contando que auxiliem nos diversos aspectos da nossa vida e as atividades que já realizamos sejam facilitadas. O GPS é um ótimo exemplo de como esses instrumentos podem ser utilizados para tornar nossa rotina mais agradável e voltada para nossos interesses, sem limitar nossas decisões.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0" s="152"/>
      <c r="J380" s="152"/>
      <c r="K380" s="153"/>
      <c r="L380" s="152"/>
      <c r="M380" s="152"/>
      <c r="N380" s="153"/>
      <c r="O380" s="152"/>
      <c r="P380" s="152"/>
      <c r="Q380" s="154"/>
    </row>
    <row r="381" spans="1:17" ht="15" customHeight="1">
      <c r="A381" s="43">
        <v>85</v>
      </c>
      <c r="B381" s="50" t="s">
        <v>19</v>
      </c>
      <c r="C381" s="50" t="s">
        <v>267</v>
      </c>
      <c r="D381" s="49">
        <v>40</v>
      </c>
      <c r="E381" s="49">
        <v>40</v>
      </c>
      <c r="F381" s="50">
        <f t="shared" si="37"/>
        <v>40</v>
      </c>
      <c r="G381" s="152"/>
      <c r="H38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expressão  "inteligência artificial", além de não ser algo "do futuro", tem a função de auxiliar na resolução de problemáticas cotidianas do ser humano, sem, no entanto, substituí-lo.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1" s="152"/>
      <c r="J381" s="152"/>
      <c r="K381" s="153"/>
      <c r="L381" s="152"/>
      <c r="M381" s="152"/>
      <c r="N381" s="153"/>
      <c r="O381" s="152"/>
      <c r="P381" s="152"/>
      <c r="Q381" s="154"/>
    </row>
    <row r="382" spans="1:17" ht="15" customHeight="1">
      <c r="A382" s="49">
        <v>86</v>
      </c>
      <c r="B382" s="49" t="s">
        <v>19</v>
      </c>
      <c r="C382" s="50" t="s">
        <v>270</v>
      </c>
      <c r="D382" s="49" t="s">
        <v>623</v>
      </c>
      <c r="E382" s="49">
        <v>0</v>
      </c>
      <c r="F382" s="50">
        <f t="shared" si="37"/>
        <v>0</v>
      </c>
      <c r="G382" s="152"/>
      <c r="H38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uso da ferramenta recalcula a rota e redirecional para o caminho inicial evitando que o motorista tente fazer por ele mesmo.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2" s="152"/>
      <c r="J382" s="152"/>
      <c r="K382" s="153"/>
      <c r="L382" s="152"/>
      <c r="M382" s="152"/>
      <c r="N382" s="153"/>
      <c r="O382" s="152"/>
      <c r="P382" s="152"/>
      <c r="Q382" s="154"/>
    </row>
    <row r="383" spans="1:17" ht="15" customHeight="1">
      <c r="A383" s="49">
        <v>87</v>
      </c>
      <c r="B383" s="50" t="s">
        <v>19</v>
      </c>
      <c r="C383" s="50" t="s">
        <v>273</v>
      </c>
      <c r="D383" s="49">
        <v>40</v>
      </c>
      <c r="E383" s="49">
        <v>40</v>
      </c>
      <c r="F383" s="50">
        <f t="shared" si="37"/>
        <v>40</v>
      </c>
      <c r="G383" s="152"/>
      <c r="H38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faz parte do nosso dia a dia há algum tempo e que a partir da ajuda que algoritmos como esse proporcionam temos tempo e neurônios para serem aplicados em outras coisas.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3" s="152"/>
      <c r="J383" s="152"/>
      <c r="K383" s="153"/>
      <c r="L383" s="152"/>
      <c r="M383" s="152"/>
      <c r="N383" s="153"/>
      <c r="O383" s="152"/>
      <c r="P383" s="152"/>
      <c r="Q383" s="154"/>
    </row>
    <row r="384" spans="1:17" ht="15" customHeight="1">
      <c r="A384" s="51">
        <v>88</v>
      </c>
      <c r="B384" s="49" t="s">
        <v>19</v>
      </c>
      <c r="C384" s="50" t="s">
        <v>276</v>
      </c>
      <c r="D384" s="49">
        <v>20</v>
      </c>
      <c r="E384" s="49">
        <v>30</v>
      </c>
      <c r="F384" s="50">
        <f t="shared" si="37"/>
        <v>25</v>
      </c>
      <c r="G384" s="152"/>
      <c r="H38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No texto, a autora usa o GPS como um exemplo para defender a ideia de que as inteligências artificiais existem para auxiliar os seres humanos nos mais diversos tipos detarefas.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4" s="152"/>
      <c r="J384" s="152"/>
      <c r="K384" s="153"/>
      <c r="L384" s="152"/>
      <c r="M384" s="152"/>
      <c r="N384" s="153"/>
      <c r="O384" s="152"/>
      <c r="P384" s="152"/>
      <c r="Q384" s="154"/>
    </row>
    <row r="385" spans="1:17" ht="15" customHeight="1">
      <c r="A385" s="49">
        <v>89</v>
      </c>
      <c r="B385" s="50" t="s">
        <v>19</v>
      </c>
      <c r="C385" s="50" t="s">
        <v>279</v>
      </c>
      <c r="D385" s="49">
        <v>0</v>
      </c>
      <c r="E385" s="49">
        <v>0</v>
      </c>
      <c r="F385" s="50">
        <f t="shared" si="37"/>
        <v>0</v>
      </c>
      <c r="G385" s="152"/>
      <c r="H38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equipamento resolve a questão de deslocamento, enquanto o indivíduo pode direcionar o raciocínio para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5" s="152"/>
      <c r="J385" s="152"/>
      <c r="K385" s="153"/>
      <c r="L385" s="152"/>
      <c r="M385" s="152"/>
      <c r="N385" s="153"/>
      <c r="O385" s="152"/>
      <c r="P385" s="152"/>
      <c r="Q385" s="154"/>
    </row>
    <row r="386" spans="1:17" ht="15" customHeight="1">
      <c r="A386" s="49">
        <v>90</v>
      </c>
      <c r="B386" s="50" t="s">
        <v>19</v>
      </c>
      <c r="C386" s="50" t="s">
        <v>282</v>
      </c>
      <c r="D386" s="49">
        <v>30</v>
      </c>
      <c r="E386" s="49">
        <v>30</v>
      </c>
      <c r="F386" s="50">
        <f t="shared" si="37"/>
        <v>30</v>
      </c>
      <c r="G386" s="152"/>
      <c r="H38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É uma ferramenta que facilita os nossos trajetos, assim possibilita podermos raciocinar em outras coisas ao invés de ficar pensando, com a nossa própria cabeça, na melhor possibilidade que podemos tomar, ela faz isso por nós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6" s="152"/>
      <c r="J386" s="152"/>
      <c r="K386" s="153"/>
      <c r="L386" s="152"/>
      <c r="M386" s="152"/>
      <c r="N386" s="153"/>
      <c r="O386" s="152"/>
      <c r="P386" s="152"/>
      <c r="Q386" s="154"/>
    </row>
    <row r="387" spans="1:17" ht="15" customHeight="1">
      <c r="A387" s="43">
        <v>91</v>
      </c>
      <c r="B387" s="50" t="s">
        <v>19</v>
      </c>
      <c r="C387" s="50" t="s">
        <v>285</v>
      </c>
      <c r="D387" s="49">
        <v>40</v>
      </c>
      <c r="E387" s="49">
        <v>40</v>
      </c>
      <c r="F387" s="50">
        <f t="shared" si="37"/>
        <v>40</v>
      </c>
      <c r="G387" s="152"/>
      <c r="H38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algoritmos, ou a inteligência artificial, já são ferramentas utilizadas pela humanidade, que ajudam e permitem que a gente use o tempo para resolver outros problemas, enquanto o GPS calcula as rotas.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7" s="152"/>
      <c r="J387" s="152"/>
      <c r="K387" s="153"/>
      <c r="L387" s="152"/>
      <c r="M387" s="152"/>
      <c r="N387" s="153"/>
      <c r="O387" s="152"/>
      <c r="P387" s="152"/>
      <c r="Q387" s="154"/>
    </row>
    <row r="388" spans="1:17" ht="15" customHeight="1">
      <c r="A388" s="49">
        <v>92</v>
      </c>
      <c r="B388" s="50" t="s">
        <v>19</v>
      </c>
      <c r="C388" s="50" t="s">
        <v>288</v>
      </c>
      <c r="D388" s="49">
        <v>30</v>
      </c>
      <c r="E388" s="49">
        <v>30</v>
      </c>
      <c r="F388" s="50">
        <f t="shared" si="37"/>
        <v>30</v>
      </c>
      <c r="G388" s="152"/>
      <c r="H38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faz parte do cotidiano das pessoas e é eficiente e útil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8" s="152"/>
      <c r="J388" s="152"/>
      <c r="K388" s="153"/>
      <c r="L388" s="152"/>
      <c r="M388" s="152"/>
      <c r="N388" s="153"/>
      <c r="O388" s="152"/>
      <c r="P388" s="152"/>
      <c r="Q388" s="154"/>
    </row>
    <row r="389" spans="1:17" ht="15" customHeight="1">
      <c r="A389" s="49">
        <v>93</v>
      </c>
      <c r="B389" s="50" t="s">
        <v>19</v>
      </c>
      <c r="C389" s="50" t="s">
        <v>291</v>
      </c>
      <c r="D389" s="49">
        <v>10</v>
      </c>
      <c r="E389" s="49">
        <v>0</v>
      </c>
      <c r="F389" s="50">
        <f t="shared" si="37"/>
        <v>5</v>
      </c>
      <c r="G389" s="152"/>
      <c r="H38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defende a ideia de que o GPS é um calculador inteligente de rotas, onde nos auxilia no caminho, desde a sua partida ate o destino final, facilitando os  menores percursos e trechos mais acessíveis para seu usuário.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9" s="152"/>
      <c r="J389" s="152"/>
      <c r="K389" s="153"/>
      <c r="L389" s="152"/>
      <c r="M389" s="152"/>
      <c r="N389" s="153"/>
      <c r="O389" s="152"/>
      <c r="P389" s="152"/>
      <c r="Q389" s="154"/>
    </row>
    <row r="390" spans="1:17" ht="15" customHeight="1">
      <c r="A390" s="51">
        <v>94</v>
      </c>
      <c r="B390" s="50" t="s">
        <v>19</v>
      </c>
      <c r="C390" s="50" t="s">
        <v>294</v>
      </c>
      <c r="D390" s="49">
        <v>30</v>
      </c>
      <c r="E390" s="49">
        <v>30</v>
      </c>
      <c r="F390" s="50">
        <f t="shared" si="37"/>
        <v>30</v>
      </c>
      <c r="G390" s="152"/>
      <c r="H39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e consequentemente a Inteligência Artificial podem simplificar ou até mesmo, solucionar questões do cotidiano que demandariam muito esforço e tempo.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0" s="152"/>
      <c r="J390" s="152"/>
      <c r="K390" s="153"/>
      <c r="L390" s="152"/>
      <c r="M390" s="152"/>
      <c r="N390" s="153"/>
      <c r="O390" s="152"/>
      <c r="P390" s="152"/>
      <c r="Q390" s="154"/>
    </row>
    <row r="391" spans="1:17" ht="15" customHeight="1">
      <c r="A391" s="49">
        <v>95</v>
      </c>
      <c r="B391" s="50" t="s">
        <v>19</v>
      </c>
      <c r="C391" s="49" t="s">
        <v>297</v>
      </c>
      <c r="D391" s="49">
        <v>12</v>
      </c>
      <c r="E391" s="49">
        <v>10</v>
      </c>
      <c r="F391" s="50">
        <f t="shared" si="37"/>
        <v>11</v>
      </c>
      <c r="G391" s="152"/>
      <c r="H39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 ele auxilia os humanos para leva-los a lugares, tornando mais simples para eles a locomoção.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1" s="152"/>
      <c r="J391" s="152"/>
      <c r="K391" s="153"/>
      <c r="L391" s="152"/>
      <c r="M391" s="152"/>
      <c r="N391" s="153"/>
      <c r="O391" s="152"/>
      <c r="P391" s="152"/>
      <c r="Q391" s="154"/>
    </row>
    <row r="392" spans="1:17" ht="15" customHeight="1">
      <c r="A392" s="49">
        <v>96</v>
      </c>
      <c r="B392" s="50" t="s">
        <v>19</v>
      </c>
      <c r="C392" s="49" t="s">
        <v>300</v>
      </c>
      <c r="D392" s="49">
        <v>20</v>
      </c>
      <c r="E392" s="49">
        <v>20</v>
      </c>
      <c r="F392" s="50">
        <f t="shared" si="37"/>
        <v>20</v>
      </c>
      <c r="G392" s="152"/>
      <c r="H39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autora defende a ideia de que o gps (inteligencia artificial), ajudam as pessoas e não as dificulta.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2" s="152"/>
      <c r="J392" s="152"/>
      <c r="K392" s="153"/>
      <c r="L392" s="152"/>
      <c r="M392" s="152"/>
      <c r="N392" s="153"/>
      <c r="O392" s="152"/>
      <c r="P392" s="152"/>
      <c r="Q392" s="154"/>
    </row>
    <row r="393" spans="1:17" ht="15" customHeight="1">
      <c r="A393" s="43">
        <v>97</v>
      </c>
      <c r="B393" s="50" t="s">
        <v>19</v>
      </c>
      <c r="C393" s="50" t="s">
        <v>303</v>
      </c>
      <c r="D393" s="49">
        <v>10</v>
      </c>
      <c r="E393" s="49">
        <v>10</v>
      </c>
      <c r="F393" s="50">
        <f t="shared" si="37"/>
        <v>10</v>
      </c>
      <c r="G393" s="152"/>
      <c r="H39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Nem tudo o que produzido pela inteligência artificial, é algo negativo, temos o exemplo do GPS que é um programa que auxilia na localização.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3" s="152"/>
      <c r="J393" s="152"/>
      <c r="K393" s="153"/>
      <c r="L393" s="152"/>
      <c r="M393" s="152"/>
      <c r="N393" s="153"/>
      <c r="O393" s="152"/>
      <c r="P393" s="152"/>
      <c r="Q393" s="154"/>
    </row>
    <row r="394" spans="1:17" ht="15" customHeight="1">
      <c r="A394" s="49">
        <v>98</v>
      </c>
      <c r="B394" s="50" t="s">
        <v>19</v>
      </c>
      <c r="C394" s="50" t="s">
        <v>306</v>
      </c>
      <c r="D394" s="49">
        <v>35</v>
      </c>
      <c r="E394" s="49">
        <v>40</v>
      </c>
      <c r="F394" s="50">
        <f t="shared" si="37"/>
        <v>37.5</v>
      </c>
      <c r="G394" s="152"/>
      <c r="H39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ferramentas de inteligência artificial podem ser muito úteis quando são algoritmos que nos ajudam no processo de identificar as melhores possibilidades.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4" s="152"/>
      <c r="J394" s="152"/>
      <c r="K394" s="153"/>
      <c r="L394" s="152"/>
      <c r="M394" s="152"/>
      <c r="N394" s="153"/>
      <c r="O394" s="152"/>
      <c r="P394" s="152"/>
      <c r="Q394" s="154"/>
    </row>
    <row r="395" spans="1:17" ht="15" customHeight="1">
      <c r="A395" s="49">
        <v>99</v>
      </c>
      <c r="B395" s="50" t="s">
        <v>19</v>
      </c>
      <c r="C395" s="50" t="s">
        <v>309</v>
      </c>
      <c r="D395" s="49">
        <v>30</v>
      </c>
      <c r="E395" s="49">
        <v>30</v>
      </c>
      <c r="F395" s="50">
        <f t="shared" si="37"/>
        <v>30</v>
      </c>
      <c r="G395" s="152"/>
      <c r="H39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foi um exemplo usado para explicar como as tecnologias podem nos ajudar, melhorando a praticidade em coisas que já conhecemos ou coisas que ainda somos leigos, e também para nos dizer o quanto podemos aproveitar, das novas tecnologias no nosso dia a dia, poupando tempo e aperfeiçoando ainda mais nosso conhecimento.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5" s="152"/>
      <c r="J395" s="152"/>
      <c r="K395" s="153"/>
      <c r="L395" s="152"/>
      <c r="M395" s="152"/>
      <c r="N395" s="153"/>
      <c r="O395" s="152"/>
      <c r="P395" s="152"/>
      <c r="Q395" s="154"/>
    </row>
    <row r="396" spans="1:17" ht="15" customHeight="1">
      <c r="A396" s="51">
        <v>100</v>
      </c>
      <c r="B396" s="49" t="s">
        <v>19</v>
      </c>
      <c r="C396" s="50" t="s">
        <v>312</v>
      </c>
      <c r="D396" s="49">
        <v>20</v>
      </c>
      <c r="E396" s="49">
        <v>20</v>
      </c>
      <c r="F396" s="50">
        <f t="shared" si="37"/>
        <v>20</v>
      </c>
      <c r="G396" s="152"/>
      <c r="H39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Enquanto o GPS resolve um problema, encontrar rotas, você tem tempo para pensar em outros assuntos e resolvê-los.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6" s="152"/>
      <c r="J396" s="152"/>
      <c r="K396" s="153"/>
      <c r="L396" s="152"/>
      <c r="M396" s="152"/>
      <c r="N396" s="153"/>
      <c r="O396" s="152"/>
      <c r="P396" s="152"/>
      <c r="Q396" s="154"/>
    </row>
    <row r="397" spans="1:17" ht="15" customHeight="1">
      <c r="A397" s="49">
        <v>101</v>
      </c>
      <c r="B397" s="50" t="s">
        <v>19</v>
      </c>
      <c r="C397" s="50" t="s">
        <v>315</v>
      </c>
      <c r="D397" s="49">
        <v>10</v>
      </c>
      <c r="E397" s="49">
        <v>7</v>
      </c>
      <c r="F397" s="50">
        <f t="shared" si="37"/>
        <v>8.5</v>
      </c>
      <c r="G397" s="152"/>
      <c r="H39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enquanto você se preocupa com outras situações ou "usa seus próprios neurônios para resolver outros problemas", um simples navegador pode resolver outra situação problemática que está acontecendo no mesmo momento, abrangendo outras oportunidades de soluções. Isso pode demonstrar que não precisamos pensar em ou tentar resolver nossos conflitos, apresentando a ideia de que a inteligência artificial pode estar limitando nossos próprios limites.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7" s="152"/>
      <c r="J397" s="152"/>
      <c r="K397" s="153"/>
      <c r="L397" s="152"/>
      <c r="M397" s="152"/>
      <c r="N397" s="153"/>
      <c r="O397" s="152"/>
      <c r="P397" s="152"/>
      <c r="Q397" s="154"/>
    </row>
    <row r="398" spans="1:17" ht="15" customHeight="1">
      <c r="A398" s="49">
        <v>102</v>
      </c>
      <c r="B398" s="50" t="s">
        <v>19</v>
      </c>
      <c r="C398" s="49" t="s">
        <v>318</v>
      </c>
      <c r="D398" s="49">
        <v>20</v>
      </c>
      <c r="E398" s="49">
        <v>20</v>
      </c>
      <c r="F398" s="50">
        <f t="shared" si="37"/>
        <v>20</v>
      </c>
      <c r="G398" s="152"/>
      <c r="H39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os algoritimos são ferramentas que auxiliam no dia a dia e tornam a vida do usuário mais fácil.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8" s="152"/>
      <c r="J398" s="152"/>
      <c r="K398" s="153"/>
      <c r="L398" s="152"/>
      <c r="M398" s="152"/>
      <c r="N398" s="153"/>
      <c r="O398" s="152"/>
      <c r="P398" s="152"/>
      <c r="Q398" s="154"/>
    </row>
    <row r="399" spans="1:17" ht="15" customHeight="1">
      <c r="A399" s="43">
        <v>103</v>
      </c>
      <c r="B399" s="50" t="s">
        <v>19</v>
      </c>
      <c r="C399" s="50" t="s">
        <v>321</v>
      </c>
      <c r="D399" s="49">
        <v>30</v>
      </c>
      <c r="E399" s="49">
        <v>40</v>
      </c>
      <c r="F399" s="50">
        <f t="shared" si="37"/>
        <v>35</v>
      </c>
      <c r="G399" s="152"/>
      <c r="H39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inteligências artificiais podem ajudar no dia a dia, no caso o GPS, pode ajudar formular rotas ajudando a pessoa se deslocar de um lugar para outro mais rápido.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9" s="152"/>
      <c r="J399" s="152"/>
      <c r="K399" s="153"/>
      <c r="L399" s="152"/>
      <c r="M399" s="152"/>
      <c r="N399" s="153"/>
      <c r="O399" s="152"/>
      <c r="P399" s="152"/>
      <c r="Q399" s="154"/>
    </row>
    <row r="400" spans="1:17" ht="15" customHeight="1">
      <c r="A400" s="49">
        <v>104</v>
      </c>
      <c r="B400" s="50" t="s">
        <v>19</v>
      </c>
      <c r="C400" s="50" t="s">
        <v>324</v>
      </c>
      <c r="D400" s="49">
        <v>40</v>
      </c>
      <c r="E400" s="49">
        <v>40</v>
      </c>
      <c r="F400" s="50">
        <f t="shared" si="37"/>
        <v>40</v>
      </c>
      <c r="G400" s="152"/>
      <c r="H40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IAs são presentes na sociedade a décadas, terceirizando tarefas simples para que o usúario possa se concentrar em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0" s="152"/>
      <c r="J400" s="152"/>
      <c r="K400" s="153"/>
      <c r="L400" s="152"/>
      <c r="M400" s="152"/>
      <c r="N400" s="153"/>
      <c r="O400" s="152"/>
      <c r="P400" s="152"/>
      <c r="Q400" s="154"/>
    </row>
    <row r="401" spans="1:17" ht="15" customHeight="1">
      <c r="A401" s="49">
        <v>105</v>
      </c>
      <c r="B401" s="50" t="s">
        <v>19</v>
      </c>
      <c r="C401" s="49" t="s">
        <v>327</v>
      </c>
      <c r="D401" s="49">
        <v>25</v>
      </c>
      <c r="E401" s="49">
        <v>27</v>
      </c>
      <c r="F401" s="50">
        <f t="shared" si="37"/>
        <v>26</v>
      </c>
      <c r="G401" s="152"/>
      <c r="H40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,relacionando-o com a IA, devemos agir como a tecnologia do exemplo: considerar as possibilidades para maximizar o resultado.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1" s="152"/>
      <c r="J401" s="152"/>
      <c r="K401" s="153"/>
      <c r="L401" s="152"/>
      <c r="M401" s="152"/>
      <c r="N401" s="153"/>
      <c r="O401" s="152"/>
      <c r="P401" s="152"/>
      <c r="Q401" s="154"/>
    </row>
    <row r="402" spans="1:17" ht="15" customHeight="1">
      <c r="A402" s="51">
        <v>106</v>
      </c>
      <c r="B402" s="50" t="s">
        <v>19</v>
      </c>
      <c r="C402" s="50" t="s">
        <v>330</v>
      </c>
      <c r="D402" s="49">
        <v>40</v>
      </c>
      <c r="E402" s="49">
        <v>35</v>
      </c>
      <c r="F402" s="50">
        <f t="shared" si="37"/>
        <v>37.5</v>
      </c>
      <c r="G402" s="152"/>
      <c r="H40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Algoritmos,IA devem ser utilizados como ferramenta de auxílio para nós seres humanos a resolver questões complexas, cálculos e outras funções que nosso cerébro não consegue produzir,compreender ou criar uma nova idéia. Porém o uso da IA fora do que ela foi proposta, acarreta na chamada ''burrice artificial'' devido ao uso excessivo para ''quebrar um galho'' ou para finalizar algo que deve ser entregue em uma data que está perto, o resultado é que a pessoa que utiliza o ChatGPT nesse quesito por vezes nem lê o que a ferramenta escreveu.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2" s="152"/>
      <c r="J402" s="152"/>
      <c r="K402" s="153"/>
      <c r="L402" s="152"/>
      <c r="M402" s="152"/>
      <c r="N402" s="153"/>
      <c r="O402" s="152"/>
      <c r="P402" s="152"/>
      <c r="Q402" s="154"/>
    </row>
    <row r="403" spans="1:17" ht="15" customHeight="1">
      <c r="A403" s="49">
        <v>107</v>
      </c>
      <c r="B403" s="50" t="s">
        <v>19</v>
      </c>
      <c r="C403" s="50" t="s">
        <v>333</v>
      </c>
      <c r="D403" s="49">
        <v>10</v>
      </c>
      <c r="E403" s="49">
        <v>25</v>
      </c>
      <c r="F403" s="50">
        <f t="shared" si="37"/>
        <v>17.5</v>
      </c>
      <c r="G403" s="152"/>
      <c r="H40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 inteligência artificial abre porta para o ser humano e que deixe os neurônios com um problema a menos para poder focar em outras questões.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3" s="152"/>
      <c r="J403" s="152"/>
      <c r="K403" s="153"/>
      <c r="L403" s="152"/>
      <c r="M403" s="152"/>
      <c r="N403" s="153"/>
      <c r="O403" s="152"/>
      <c r="P403" s="152"/>
      <c r="Q403" s="154"/>
    </row>
    <row r="404" spans="1:17" ht="15" customHeight="1">
      <c r="A404" s="49">
        <v>108</v>
      </c>
      <c r="B404" s="50" t="s">
        <v>19</v>
      </c>
      <c r="C404" s="49" t="s">
        <v>336</v>
      </c>
      <c r="D404" s="49">
        <v>25</v>
      </c>
      <c r="E404" s="49">
        <v>25</v>
      </c>
      <c r="F404" s="50">
        <f t="shared" si="37"/>
        <v>25</v>
      </c>
      <c r="G404" s="152"/>
      <c r="H40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apesar de utilizar uma ferramenta que nos oferta uma resposta pronta, ainda sim, precisamos unir esta resposta aos "nossos próprios neurônios", conforme cita a autora.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4" s="152"/>
      <c r="J404" s="152"/>
      <c r="K404" s="153"/>
      <c r="L404" s="152"/>
      <c r="M404" s="152"/>
      <c r="N404" s="153"/>
      <c r="O404" s="152"/>
      <c r="P404" s="152"/>
      <c r="Q404" s="154"/>
    </row>
    <row r="405" spans="1:17" ht="15" customHeight="1">
      <c r="A405" s="43">
        <v>109</v>
      </c>
      <c r="B405" s="50" t="s">
        <v>19</v>
      </c>
      <c r="C405" s="50" t="s">
        <v>339</v>
      </c>
      <c r="D405" s="49">
        <v>35</v>
      </c>
      <c r="E405" s="49">
        <v>35</v>
      </c>
      <c r="F405" s="50">
        <f t="shared" si="37"/>
        <v>35</v>
      </c>
      <c r="G405" s="152"/>
      <c r="H40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Ferramentas de IA podem ajudar o usuário com tarefas minúsculas e repetitivas para que possa se concentrar em coisas mais importantes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5" s="152"/>
      <c r="J405" s="152"/>
      <c r="K405" s="153"/>
      <c r="L405" s="152"/>
      <c r="M405" s="152"/>
      <c r="N405" s="153"/>
      <c r="O405" s="152"/>
      <c r="P405" s="152"/>
      <c r="Q405" s="154"/>
    </row>
    <row r="406" spans="1:17" ht="15" customHeight="1">
      <c r="A406" s="49">
        <v>110</v>
      </c>
      <c r="B406" s="50" t="s">
        <v>19</v>
      </c>
      <c r="C406" s="50" t="s">
        <v>342</v>
      </c>
      <c r="D406" s="49">
        <v>30</v>
      </c>
      <c r="E406" s="49">
        <v>35</v>
      </c>
      <c r="F406" s="50">
        <f t="shared" si="37"/>
        <v>32.5</v>
      </c>
      <c r="G406" s="152"/>
      <c r="H40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tarefas podem ser otimizadas pela Inteligência Artificial enquanto os neurônios dos seus usuários podem-se engajar em outras atividades.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6" s="152"/>
      <c r="J406" s="152"/>
      <c r="K406" s="153"/>
      <c r="L406" s="152"/>
      <c r="M406" s="152"/>
      <c r="N406" s="153"/>
      <c r="O406" s="152"/>
      <c r="P406" s="152"/>
      <c r="Q406" s="154"/>
    </row>
    <row r="407" spans="1:17" ht="15" customHeight="1">
      <c r="A407" s="49">
        <v>111</v>
      </c>
      <c r="B407" s="50" t="s">
        <v>19</v>
      </c>
      <c r="C407" s="50" t="s">
        <v>345</v>
      </c>
      <c r="D407" s="49">
        <v>10</v>
      </c>
      <c r="E407" s="49">
        <v>5</v>
      </c>
      <c r="F407" s="50">
        <f t="shared" si="37"/>
        <v>7.5</v>
      </c>
      <c r="G407" s="152"/>
      <c r="H40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não é algo que surgiu agora, mas que sempre esteve presente no nosso meio.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7" s="152"/>
      <c r="J407" s="152"/>
      <c r="K407" s="153"/>
      <c r="L407" s="152"/>
      <c r="M407" s="152"/>
      <c r="N407" s="153"/>
      <c r="O407" s="152"/>
      <c r="P407" s="152"/>
      <c r="Q407" s="154"/>
    </row>
    <row r="408" spans="1:17" ht="15" customHeight="1">
      <c r="A408" s="51">
        <v>112</v>
      </c>
      <c r="B408" s="50" t="s">
        <v>19</v>
      </c>
      <c r="C408" s="49" t="s">
        <v>348</v>
      </c>
      <c r="D408" s="49">
        <v>12</v>
      </c>
      <c r="E408" s="49">
        <v>10</v>
      </c>
      <c r="F408" s="50">
        <f t="shared" si="37"/>
        <v>11</v>
      </c>
      <c r="G408" s="152"/>
      <c r="H40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usuário ocupar seus neurônios para outras atividades, enquanto o GPS se preocupa em cálcular a rota, evitar semáforos.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8" s="152"/>
      <c r="J408" s="152"/>
      <c r="K408" s="153"/>
      <c r="L408" s="152"/>
      <c r="M408" s="152"/>
      <c r="N408" s="153"/>
      <c r="O408" s="152"/>
      <c r="P408" s="152"/>
      <c r="Q408" s="154"/>
    </row>
    <row r="409" spans="1:17" ht="15" customHeight="1">
      <c r="A409" s="49">
        <v>113</v>
      </c>
      <c r="B409" s="50" t="s">
        <v>19</v>
      </c>
      <c r="C409" s="49" t="s">
        <v>351</v>
      </c>
      <c r="D409" s="49">
        <v>25</v>
      </c>
      <c r="E409" s="49">
        <v>20</v>
      </c>
      <c r="F409" s="50">
        <f t="shared" si="37"/>
        <v>22.5</v>
      </c>
      <c r="G409" s="152"/>
      <c r="H40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Devemos utilizar tecnologia para auxiliar no desenvolvimento, não para o substituir.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9" s="152"/>
      <c r="J409" s="152"/>
      <c r="K409" s="153"/>
      <c r="L409" s="152"/>
      <c r="M409" s="152"/>
      <c r="N409" s="153"/>
      <c r="O409" s="152"/>
      <c r="P409" s="152"/>
      <c r="Q409" s="154"/>
    </row>
    <row r="410" spans="1:17" ht="15" customHeight="1">
      <c r="A410" s="49">
        <v>114</v>
      </c>
      <c r="B410" s="50" t="s">
        <v>19</v>
      </c>
      <c r="C410" s="50" t="s">
        <v>354</v>
      </c>
      <c r="D410" s="49">
        <v>10</v>
      </c>
      <c r="E410" s="49">
        <v>20</v>
      </c>
      <c r="F410" s="50">
        <f t="shared" si="37"/>
        <v>15</v>
      </c>
      <c r="G410" s="152"/>
      <c r="H41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 pessoas podem utilizar os recursos tecnológicos, como os algoritmos, como forma de facilitação da vida do ser humano.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0" s="152"/>
      <c r="J410" s="152"/>
      <c r="K410" s="153"/>
      <c r="L410" s="152"/>
      <c r="M410" s="152"/>
      <c r="N410" s="153"/>
      <c r="O410" s="152"/>
      <c r="P410" s="152"/>
      <c r="Q410" s="154"/>
    </row>
    <row r="411" spans="1:17" ht="15" customHeight="1">
      <c r="A411" s="43">
        <v>115</v>
      </c>
      <c r="B411" s="50" t="s">
        <v>19</v>
      </c>
      <c r="C411" s="50" t="s">
        <v>357</v>
      </c>
      <c r="D411" s="49">
        <v>30</v>
      </c>
      <c r="E411" s="49">
        <v>35</v>
      </c>
      <c r="F411" s="50">
        <f t="shared" si="37"/>
        <v>32.5</v>
      </c>
      <c r="G411" s="152"/>
      <c r="H41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já é presente no dia a dia, e pode ajudar a resolver coisas simples, que normalmente demandam muito mais tempo quando o ser humano precisa fazer.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1" s="152"/>
      <c r="J411" s="152"/>
      <c r="K411" s="153"/>
      <c r="L411" s="152"/>
      <c r="M411" s="152"/>
      <c r="N411" s="153"/>
      <c r="O411" s="152"/>
      <c r="P411" s="152"/>
      <c r="Q411" s="154"/>
    </row>
    <row r="412" spans="1:17" ht="15" customHeight="1">
      <c r="A412" s="49">
        <v>116</v>
      </c>
      <c r="B412" s="50" t="s">
        <v>19</v>
      </c>
      <c r="C412" s="50" t="s">
        <v>360</v>
      </c>
      <c r="D412" s="49">
        <v>20</v>
      </c>
      <c r="E412" s="49">
        <v>20</v>
      </c>
      <c r="F412" s="50">
        <f t="shared" si="37"/>
        <v>20</v>
      </c>
      <c r="G412" s="152"/>
      <c r="H41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Calculadores inteligentes de rotas (GPS) nos ajudam a fazer mais de uma coisa em um momento só, maximizam nosso tempo para realizarmos mais coisas em menos tempo, atendendo as nossas prioridades e preferências.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2" s="152"/>
      <c r="J412" s="152"/>
      <c r="K412" s="153"/>
      <c r="L412" s="152"/>
      <c r="M412" s="152"/>
      <c r="N412" s="153"/>
      <c r="O412" s="152"/>
      <c r="P412" s="152"/>
      <c r="Q412" s="154"/>
    </row>
    <row r="413" spans="1:17" ht="15" customHeight="1">
      <c r="A413" s="49">
        <v>117</v>
      </c>
      <c r="B413" s="50" t="s">
        <v>19</v>
      </c>
      <c r="C413" s="50" t="s">
        <v>363</v>
      </c>
      <c r="D413" s="49">
        <v>10</v>
      </c>
      <c r="E413" s="49">
        <v>10</v>
      </c>
      <c r="F413" s="50">
        <f t="shared" si="37"/>
        <v>10</v>
      </c>
      <c r="G413" s="152"/>
      <c r="H41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certos tipos de tecnologia que estão presentes em nossas vidas podem nos ajudar muito, quando bem utilizadas.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3" s="152"/>
      <c r="J413" s="152"/>
      <c r="K413" s="153"/>
      <c r="L413" s="152"/>
      <c r="M413" s="152"/>
      <c r="N413" s="153"/>
      <c r="O413" s="152"/>
      <c r="P413" s="152"/>
      <c r="Q413" s="154"/>
    </row>
    <row r="414" spans="1:17" ht="15" customHeight="1">
      <c r="A414" s="51">
        <v>118</v>
      </c>
      <c r="B414" s="50" t="s">
        <v>19</v>
      </c>
      <c r="C414" s="50" t="s">
        <v>366</v>
      </c>
      <c r="D414" s="49">
        <v>40</v>
      </c>
      <c r="E414" s="49">
        <v>40</v>
      </c>
      <c r="F414" s="50">
        <f t="shared" si="37"/>
        <v>40</v>
      </c>
      <c r="G414" s="152"/>
      <c r="H41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Assim como o GPS usa seu sitema para calcular as melhores rotas para que o usuário chegue ao seu destido,de forma eficiente. A autora defende o fato de que a Inteligência Artificial também consegue facilitar a vida de seu usuário, utilizando seus algorítimos e dados internos para esse fim.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4" s="152"/>
      <c r="J414" s="152"/>
      <c r="K414" s="153"/>
      <c r="L414" s="152"/>
      <c r="M414" s="152"/>
      <c r="N414" s="153"/>
      <c r="O414" s="152"/>
      <c r="P414" s="152"/>
      <c r="Q414" s="154"/>
    </row>
    <row r="415" spans="1:17" ht="15" customHeight="1">
      <c r="A415" s="49">
        <v>119</v>
      </c>
      <c r="B415" s="49" t="s">
        <v>19</v>
      </c>
      <c r="C415" s="49" t="s">
        <v>369</v>
      </c>
      <c r="D415" s="49">
        <v>20</v>
      </c>
      <c r="E415" s="49">
        <v>20</v>
      </c>
      <c r="F415" s="50">
        <f t="shared" si="37"/>
        <v>20</v>
      </c>
      <c r="G415" s="152"/>
      <c r="H41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O GPS nos ajuda e muito calculando o ponto de partida, de destino, a melhor e mais curta rota, ou seja, ele faz todo o trabalho por nós, otimizando o nosso tempo para que possamos usá-lo em outras prioridades.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5" s="152"/>
      <c r="J415" s="152"/>
      <c r="K415" s="153"/>
      <c r="L415" s="152"/>
      <c r="M415" s="152"/>
      <c r="N415" s="153"/>
      <c r="O415" s="152"/>
      <c r="P415" s="152"/>
      <c r="Q415" s="154"/>
    </row>
    <row r="416" spans="1:17" ht="15" customHeight="1">
      <c r="A416" s="49">
        <v>120</v>
      </c>
      <c r="B416" s="50" t="s">
        <v>19</v>
      </c>
      <c r="C416" s="49" t="s">
        <v>372</v>
      </c>
      <c r="D416" s="49">
        <v>20</v>
      </c>
      <c r="E416" s="49">
        <v>22</v>
      </c>
      <c r="F416" s="50">
        <f t="shared" si="37"/>
        <v>21</v>
      </c>
      <c r="G416" s="152"/>
      <c r="H41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do GPS facilita ao usuario uma otimização de tempo e maior satisfação, já que este não mais precisa utilizar de um mapa manual para encontrar seu local de destino.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6" s="152"/>
      <c r="J416" s="152"/>
      <c r="K416" s="153"/>
      <c r="L416" s="152"/>
      <c r="M416" s="152"/>
      <c r="N416" s="153"/>
      <c r="O416" s="152"/>
      <c r="P416" s="152"/>
      <c r="Q416" s="154"/>
    </row>
    <row r="417" spans="1:17" ht="15" customHeight="1">
      <c r="A417" s="43">
        <v>121</v>
      </c>
      <c r="B417" s="50" t="s">
        <v>19</v>
      </c>
      <c r="C417" s="50" t="s">
        <v>375</v>
      </c>
      <c r="D417" s="49">
        <v>20</v>
      </c>
      <c r="E417" s="49">
        <v>20</v>
      </c>
      <c r="F417" s="50">
        <f t="shared" si="37"/>
        <v>20</v>
      </c>
      <c r="G417" s="152"/>
      <c r="H41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legítimos calculadores de rotas e retornam a escolha optimizada enquanto você usa seus próprios neurônios para resolver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7" s="152"/>
      <c r="J417" s="152"/>
      <c r="K417" s="153"/>
      <c r="L417" s="152"/>
      <c r="M417" s="152"/>
      <c r="N417" s="153"/>
      <c r="O417" s="152"/>
      <c r="P417" s="152"/>
      <c r="Q417" s="154"/>
    </row>
    <row r="418" spans="1:17" ht="15" customHeight="1">
      <c r="A418" s="49">
        <v>122</v>
      </c>
      <c r="B418" s="50" t="s">
        <v>19</v>
      </c>
      <c r="C418" s="50" t="s">
        <v>378</v>
      </c>
      <c r="D418" s="49">
        <v>25</v>
      </c>
      <c r="E418" s="49">
        <v>40</v>
      </c>
      <c r="F418" s="50">
        <f t="shared" si="37"/>
        <v>32.5</v>
      </c>
      <c r="G418" s="152"/>
      <c r="H41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nos abre o leque de opções, mas nós tomamos a decisão final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8" s="152"/>
      <c r="J418" s="152"/>
      <c r="K418" s="153"/>
      <c r="L418" s="152"/>
      <c r="M418" s="152"/>
      <c r="N418" s="153"/>
      <c r="O418" s="152"/>
      <c r="P418" s="152"/>
      <c r="Q418" s="154"/>
    </row>
    <row r="419" spans="1:17" ht="15" customHeight="1">
      <c r="A419" s="49">
        <v>123</v>
      </c>
      <c r="B419" s="50" t="s">
        <v>19</v>
      </c>
      <c r="C419" s="50" t="s">
        <v>381</v>
      </c>
      <c r="D419" s="49">
        <v>40</v>
      </c>
      <c r="E419" s="49">
        <v>40</v>
      </c>
      <c r="F419" s="50">
        <f t="shared" si="37"/>
        <v>40</v>
      </c>
      <c r="G419" s="152"/>
      <c r="H41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algumas ferramentas de IA são favoráveis ao usuário porque o ajudam a resolver problemas e achar soluções, porque ao invés de limitar sua capacidade cognitiva, ele o auxilia para que sua cabeça se mantenha livre para resolucionar outros problemas.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9" s="152"/>
      <c r="J419" s="152"/>
      <c r="K419" s="153"/>
      <c r="L419" s="152"/>
      <c r="M419" s="152"/>
      <c r="N419" s="153"/>
      <c r="O419" s="152"/>
      <c r="P419" s="152"/>
      <c r="Q419" s="154"/>
    </row>
    <row r="420" spans="1:17" ht="15" customHeight="1">
      <c r="A420" s="51">
        <v>124</v>
      </c>
      <c r="B420" s="50" t="s">
        <v>19</v>
      </c>
      <c r="C420" s="49" t="s">
        <v>384</v>
      </c>
      <c r="D420" s="49">
        <v>40</v>
      </c>
      <c r="E420" s="49">
        <v>40</v>
      </c>
      <c r="F420" s="50">
        <f t="shared" si="37"/>
        <v>40</v>
      </c>
      <c r="G420" s="152"/>
      <c r="H42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ser uma excelente aliada nas decisões, facilitando e simplificando processos que tomariam tempo e esforço mental se feito analógicamente, tendo a máquina em função do humano, ao invés de limitar as possibilidades de caminhos - ou seja, o humano em função da máquina.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0" s="152"/>
      <c r="J420" s="152"/>
      <c r="K420" s="153"/>
      <c r="L420" s="152"/>
      <c r="M420" s="152"/>
      <c r="N420" s="153"/>
      <c r="O420" s="152"/>
      <c r="P420" s="152"/>
      <c r="Q420" s="154"/>
    </row>
    <row r="421" spans="1:17" ht="15" customHeight="1">
      <c r="A421" s="49">
        <v>125</v>
      </c>
      <c r="B421" s="50" t="s">
        <v>19</v>
      </c>
      <c r="C421" s="50" t="s">
        <v>387</v>
      </c>
      <c r="D421" s="49">
        <v>10</v>
      </c>
      <c r="E421" s="49">
        <v>0</v>
      </c>
      <c r="F421" s="50">
        <f t="shared" si="37"/>
        <v>5</v>
      </c>
      <c r="G421" s="152"/>
      <c r="H421"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tem muito utilidade e tem nos ajudado muito no dia a dia.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1" s="152"/>
      <c r="J421" s="152"/>
      <c r="K421" s="153"/>
      <c r="L421" s="152"/>
      <c r="M421" s="152"/>
      <c r="N421" s="153"/>
      <c r="O421" s="152"/>
      <c r="P421" s="152"/>
      <c r="Q421" s="154"/>
    </row>
    <row r="422" spans="1:17" ht="15" customHeight="1">
      <c r="A422" s="49">
        <v>126</v>
      </c>
      <c r="B422" s="50" t="s">
        <v>19</v>
      </c>
      <c r="C422" s="50" t="s">
        <v>390</v>
      </c>
      <c r="D422" s="49">
        <v>20</v>
      </c>
      <c r="E422" s="49">
        <v>30</v>
      </c>
      <c r="F422" s="50">
        <f t="shared" si="37"/>
        <v>25</v>
      </c>
      <c r="G422" s="152"/>
      <c r="H422"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deve ser usada para auxiliar as pessoas e não deixar as pessoas burras sem deixar com que elas explorem os horizontes e vão além de seus limites.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2" s="152"/>
      <c r="J422" s="152"/>
      <c r="K422" s="153"/>
      <c r="L422" s="152"/>
      <c r="M422" s="152"/>
      <c r="N422" s="153"/>
      <c r="O422" s="152"/>
      <c r="P422" s="152"/>
      <c r="Q422" s="154"/>
    </row>
    <row r="423" spans="1:17" ht="15" customHeight="1">
      <c r="A423" s="43">
        <v>127</v>
      </c>
      <c r="B423" s="50" t="s">
        <v>19</v>
      </c>
      <c r="C423" s="50" t="s">
        <v>393</v>
      </c>
      <c r="D423" s="49">
        <v>10</v>
      </c>
      <c r="E423" s="49">
        <v>10</v>
      </c>
      <c r="F423" s="50">
        <f t="shared" si="37"/>
        <v>10</v>
      </c>
      <c r="G423" s="152"/>
      <c r="H423"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De que assim como o GPS podemos utilizar nossos neurônios para nos lembrar de rotas ou até mesmo de outras situações que acabam nos fugindo da memoria, assim como o GPS podemos sempre de alguma forma reforçar os pensamentos.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3" s="152"/>
      <c r="J423" s="152"/>
      <c r="K423" s="153"/>
      <c r="L423" s="152"/>
      <c r="M423" s="152"/>
      <c r="N423" s="153"/>
      <c r="O423" s="152"/>
      <c r="P423" s="152"/>
      <c r="Q423" s="154"/>
    </row>
    <row r="424" spans="1:17" ht="15" customHeight="1">
      <c r="A424" s="49">
        <v>128</v>
      </c>
      <c r="B424" s="50" t="s">
        <v>19</v>
      </c>
      <c r="C424" s="50" t="s">
        <v>396</v>
      </c>
      <c r="D424" s="49">
        <v>0</v>
      </c>
      <c r="E424" s="49">
        <v>0</v>
      </c>
      <c r="F424" s="50">
        <f t="shared" si="37"/>
        <v>0</v>
      </c>
      <c r="G424" s="152"/>
      <c r="H424"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Não podemos ficar dependentes somente das tecnologias artificiais esperando respostas prontas sem usar a nossa própia capacidade .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4" s="152"/>
      <c r="J424" s="152"/>
      <c r="K424" s="153"/>
      <c r="L424" s="152"/>
      <c r="M424" s="152"/>
      <c r="N424" s="153"/>
      <c r="O424" s="152"/>
      <c r="P424" s="152"/>
      <c r="Q424" s="154"/>
    </row>
    <row r="425" spans="1:17" ht="15" customHeight="1">
      <c r="A425" s="49">
        <v>129</v>
      </c>
      <c r="B425" s="50" t="s">
        <v>19</v>
      </c>
      <c r="C425" s="49" t="s">
        <v>399</v>
      </c>
      <c r="D425" s="49">
        <v>25</v>
      </c>
      <c r="E425" s="49">
        <v>25</v>
      </c>
      <c r="F425" s="50">
        <f t="shared" si="37"/>
        <v>25</v>
      </c>
      <c r="G425" s="152"/>
      <c r="H425"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Não só a inteligência artificial é algo que pode ser utilizado de forma inteligente e eficaz, que realmente pode facilitar a nossa vida, como também a importância de seu aprimoramento para que esta tecnologia continue a ser utilizada de forma inteligente.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5" s="152"/>
      <c r="J425" s="152"/>
      <c r="K425" s="153"/>
      <c r="L425" s="152"/>
      <c r="M425" s="152"/>
      <c r="N425" s="153"/>
      <c r="O425" s="152"/>
      <c r="P425" s="152"/>
      <c r="Q425" s="154"/>
    </row>
    <row r="426" spans="1:17" ht="15" customHeight="1">
      <c r="A426" s="51">
        <v>130</v>
      </c>
      <c r="B426" s="50" t="s">
        <v>19</v>
      </c>
      <c r="C426" s="49" t="s">
        <v>402</v>
      </c>
      <c r="D426" s="49">
        <v>10</v>
      </c>
      <c r="E426" s="49">
        <v>10</v>
      </c>
      <c r="F426" s="50">
        <f t="shared" si="37"/>
        <v>10</v>
      </c>
      <c r="G426" s="152"/>
      <c r="H426"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Ele age rapidamente na escolha que melhor se adapta ao usuário, tomando menos tempo em trâmsito.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6" s="152"/>
      <c r="J426" s="152"/>
      <c r="K426" s="153"/>
      <c r="L426" s="152"/>
      <c r="M426" s="152"/>
      <c r="N426" s="153"/>
      <c r="O426" s="152"/>
      <c r="P426" s="152"/>
      <c r="Q426" s="154"/>
    </row>
    <row r="427" spans="1:17" ht="15" customHeight="1">
      <c r="A427" s="49">
        <v>131</v>
      </c>
      <c r="B427" s="50" t="s">
        <v>19</v>
      </c>
      <c r="C427" s="50" t="s">
        <v>405</v>
      </c>
      <c r="D427" s="49">
        <v>40</v>
      </c>
      <c r="E427" s="49">
        <v>40</v>
      </c>
      <c r="F427" s="50">
        <f t="shared" si="37"/>
        <v>40</v>
      </c>
      <c r="G427" s="152"/>
      <c r="H427"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inteligência artificial pode auxiliar no processo de tomada de decisão do ser humano, apresentando alternativas que podem ser usadas para facilitar a escolha de alguma coisa. No caso do GPS, seria um exemplo de inteligência artificial bem sucedida pois apresenta rotas alternativas à quem busca informações de localização.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7" s="152"/>
      <c r="J427" s="152"/>
      <c r="K427" s="153"/>
      <c r="L427" s="152"/>
      <c r="M427" s="152"/>
      <c r="N427" s="153"/>
      <c r="O427" s="152"/>
      <c r="P427" s="152"/>
      <c r="Q427" s="154"/>
    </row>
    <row r="428" spans="1:17" ht="15" customHeight="1">
      <c r="A428" s="49">
        <v>132</v>
      </c>
      <c r="B428" s="50" t="s">
        <v>19</v>
      </c>
      <c r="C428" s="50" t="s">
        <v>408</v>
      </c>
      <c r="D428" s="49">
        <v>0</v>
      </c>
      <c r="E428" s="49">
        <v>0</v>
      </c>
      <c r="F428" s="50">
        <f t="shared" si="37"/>
        <v>0</v>
      </c>
      <c r="G428" s="152"/>
      <c r="H428"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São legitimos calculadores inteligente  de rotas.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8" s="152"/>
      <c r="J428" s="152"/>
      <c r="K428" s="153"/>
      <c r="L428" s="152"/>
      <c r="M428" s="152"/>
      <c r="N428" s="153"/>
      <c r="O428" s="152"/>
      <c r="P428" s="152"/>
      <c r="Q428" s="154"/>
    </row>
    <row r="429" spans="1:17" ht="15" customHeight="1">
      <c r="A429" s="43">
        <v>133</v>
      </c>
      <c r="B429" s="50" t="s">
        <v>19</v>
      </c>
      <c r="C429" s="50" t="s">
        <v>411</v>
      </c>
      <c r="D429" s="49">
        <v>20</v>
      </c>
      <c r="E429" s="49">
        <v>10</v>
      </c>
      <c r="F429" s="50">
        <f t="shared" si="37"/>
        <v>15</v>
      </c>
      <c r="G429" s="152"/>
      <c r="H429"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usam algoritimos que trazem flexibilidade cognitiva a quem o usa, pois torna a rota mais fácil, considerando as preferências e necessidades do motorista.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9" s="152"/>
      <c r="J429" s="152"/>
      <c r="K429" s="153"/>
      <c r="L429" s="152"/>
      <c r="M429" s="152"/>
      <c r="N429" s="153"/>
      <c r="O429" s="152"/>
      <c r="P429" s="152"/>
      <c r="Q429" s="154"/>
    </row>
    <row r="430" spans="1:17" ht="15" customHeight="1">
      <c r="A430" s="49">
        <v>134</v>
      </c>
      <c r="B430" s="50" t="s">
        <v>19</v>
      </c>
      <c r="C430" s="50" t="s">
        <v>414</v>
      </c>
      <c r="D430" s="49">
        <v>10</v>
      </c>
      <c r="E430" s="49">
        <v>10</v>
      </c>
      <c r="F430" s="49">
        <v>10</v>
      </c>
      <c r="G430" s="152"/>
      <c r="H430" s="46" t="str">
        <f t="shared" si="36"/>
        <v>Contexto: Você está corrigindo uma atividade de interpretação textual de um curso de ensino superior.
Papel: Assuma o papel de um professor universitário avaliando objetivamente a resposta de um estudante.
O texto-base está entre os marcadores ####:
####
Inteligência ou burrice artificial?
Se inteligência é a flexibilidade cognitiva que nos permite identificar os caminhos que mantêm mais portas abertas no futuro, algoritmos que nos ajudem são muito úteis
Suzana Herculano-Houzel Bióloga e neurocientista da Universidade Vanderbilt (EUA)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
O enunciado da questão está entre os marcadores ###:
###
Complete a frase a seguir: NO TEXTO, A AUTORA USA O GPS COMO UM EXEMPLO PARA DEFENDER A IDEIA DE QUE...
###
A resposta do aluno está entre os marcadores ##:
##
A tecnologia aliada a mente humana funciona. 
##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apenas copiam trechos do texto-base não devem receber mais que 20 pontos.
- Respostas que não completam o enunciado não devem receber mais que 10 pontos.
Procedimento de avaliação (realize o raciocínio internamente e não o apresente):
1. Compare a resposta do aluno com o texto-base.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30" s="152"/>
      <c r="J430" s="152"/>
      <c r="K430" s="153"/>
      <c r="L430" s="152"/>
      <c r="M430" s="152"/>
      <c r="N430" s="153"/>
      <c r="O430" s="152"/>
      <c r="P430" s="152"/>
      <c r="Q430" s="154"/>
    </row>
    <row r="431" spans="1:17">
      <c r="H431" s="154"/>
      <c r="K431" s="154"/>
      <c r="N431" s="154"/>
      <c r="Q431" s="154"/>
    </row>
    <row r="432" spans="1:17">
      <c r="H432" s="154"/>
      <c r="K432" s="154"/>
      <c r="N432" s="154"/>
      <c r="Q432" s="154"/>
    </row>
    <row r="433" spans="8:17">
      <c r="H433" s="154"/>
      <c r="K433" s="154"/>
      <c r="N433" s="154"/>
      <c r="Q433" s="154"/>
    </row>
    <row r="434" spans="8:17">
      <c r="H434" s="154"/>
      <c r="K434" s="154"/>
      <c r="N434" s="154"/>
      <c r="Q434" s="154"/>
    </row>
    <row r="435" spans="8:17">
      <c r="H435" s="154"/>
      <c r="K435" s="154"/>
      <c r="N435" s="154"/>
      <c r="Q435" s="154"/>
    </row>
    <row r="436" spans="8:17">
      <c r="H436" s="154"/>
      <c r="K436" s="154"/>
      <c r="N436" s="154"/>
      <c r="Q436" s="154"/>
    </row>
    <row r="437" spans="8:17">
      <c r="H437" s="154"/>
      <c r="K437" s="154"/>
      <c r="N437" s="154"/>
      <c r="Q437" s="154"/>
    </row>
    <row r="438" spans="8:17">
      <c r="H438" s="154"/>
      <c r="K438" s="154"/>
      <c r="N438" s="154"/>
      <c r="Q438" s="154"/>
    </row>
    <row r="439" spans="8:17">
      <c r="H439" s="154"/>
      <c r="K439" s="154"/>
      <c r="N439" s="154"/>
      <c r="Q439" s="154"/>
    </row>
    <row r="440" spans="8:17">
      <c r="H440" s="154"/>
      <c r="K440" s="154"/>
      <c r="N440" s="154"/>
      <c r="Q440" s="154"/>
    </row>
    <row r="441" spans="8:17">
      <c r="H441" s="154"/>
      <c r="K441" s="154"/>
      <c r="N441" s="154"/>
      <c r="Q441" s="154"/>
    </row>
    <row r="442" spans="8:17">
      <c r="H442" s="154"/>
      <c r="K442" s="154"/>
      <c r="N442" s="154"/>
      <c r="Q442" s="154"/>
    </row>
    <row r="443" spans="8:17">
      <c r="H443" s="154"/>
      <c r="K443" s="154"/>
      <c r="N443" s="154"/>
      <c r="Q443" s="154"/>
    </row>
    <row r="444" spans="8:17">
      <c r="H444" s="154"/>
      <c r="K444" s="154"/>
      <c r="N444" s="154"/>
      <c r="Q444" s="154"/>
    </row>
    <row r="445" spans="8:17">
      <c r="H445" s="154"/>
      <c r="K445" s="154"/>
      <c r="N445" s="154"/>
      <c r="Q445" s="154"/>
    </row>
    <row r="446" spans="8:17">
      <c r="H446" s="154"/>
      <c r="K446" s="154"/>
      <c r="N446" s="154"/>
      <c r="Q446" s="154"/>
    </row>
    <row r="447" spans="8:17">
      <c r="H447" s="154"/>
      <c r="K447" s="154"/>
      <c r="N447" s="154"/>
      <c r="Q447" s="154"/>
    </row>
    <row r="448" spans="8:17">
      <c r="H448" s="154"/>
      <c r="K448" s="154"/>
      <c r="N448" s="154"/>
      <c r="Q448" s="154"/>
    </row>
    <row r="449" spans="8:17">
      <c r="H449" s="154"/>
      <c r="K449" s="154"/>
      <c r="N449" s="154"/>
      <c r="Q449" s="154"/>
    </row>
    <row r="450" spans="8:17">
      <c r="H450" s="154"/>
      <c r="K450" s="154"/>
      <c r="N450" s="154"/>
      <c r="Q450" s="154"/>
    </row>
    <row r="451" spans="8:17">
      <c r="H451" s="154"/>
      <c r="K451" s="154"/>
      <c r="N451" s="154"/>
      <c r="Q451" s="154"/>
    </row>
    <row r="452" spans="8:17">
      <c r="H452" s="154"/>
      <c r="K452" s="154"/>
      <c r="N452" s="154"/>
      <c r="Q452" s="154"/>
    </row>
    <row r="453" spans="8:17">
      <c r="H453" s="154"/>
      <c r="K453" s="154"/>
      <c r="N453" s="154"/>
      <c r="Q453" s="154"/>
    </row>
    <row r="454" spans="8:17">
      <c r="H454" s="154"/>
      <c r="K454" s="154"/>
      <c r="N454" s="154"/>
      <c r="Q454" s="154"/>
    </row>
    <row r="455" spans="8:17">
      <c r="H455" s="154"/>
      <c r="K455" s="154"/>
      <c r="N455" s="154"/>
      <c r="Q455" s="154"/>
    </row>
    <row r="456" spans="8:17">
      <c r="H456" s="154"/>
      <c r="K456" s="154"/>
      <c r="N456" s="154"/>
      <c r="Q456" s="154"/>
    </row>
    <row r="457" spans="8:17">
      <c r="H457" s="154"/>
      <c r="K457" s="154"/>
      <c r="N457" s="154"/>
      <c r="Q457" s="154"/>
    </row>
    <row r="458" spans="8:17">
      <c r="H458" s="154"/>
      <c r="K458" s="154"/>
      <c r="N458" s="154"/>
      <c r="Q458" s="154"/>
    </row>
    <row r="459" spans="8:17">
      <c r="H459" s="154"/>
      <c r="K459" s="154"/>
      <c r="N459" s="154"/>
      <c r="Q459" s="154"/>
    </row>
    <row r="460" spans="8:17">
      <c r="H460" s="154"/>
      <c r="K460" s="154"/>
      <c r="N460" s="154"/>
      <c r="Q460" s="154"/>
    </row>
    <row r="461" spans="8:17">
      <c r="H461" s="154"/>
      <c r="K461" s="154"/>
      <c r="N461" s="154"/>
      <c r="Q461" s="154"/>
    </row>
    <row r="462" spans="8:17">
      <c r="H462" s="154"/>
      <c r="K462" s="154"/>
      <c r="N462" s="154"/>
      <c r="Q462" s="154"/>
    </row>
    <row r="463" spans="8:17">
      <c r="H463" s="154"/>
      <c r="K463" s="154"/>
      <c r="N463" s="154"/>
      <c r="Q463" s="154"/>
    </row>
    <row r="464" spans="8:17">
      <c r="H464" s="154"/>
      <c r="K464" s="154"/>
      <c r="N464" s="154"/>
      <c r="Q464" s="154"/>
    </row>
    <row r="465" spans="8:17">
      <c r="H465" s="154"/>
      <c r="K465" s="154"/>
      <c r="N465" s="154"/>
      <c r="Q465" s="154"/>
    </row>
    <row r="466" spans="8:17">
      <c r="H466" s="154"/>
      <c r="K466" s="154"/>
      <c r="N466" s="154"/>
      <c r="Q466" s="154"/>
    </row>
    <row r="467" spans="8:17">
      <c r="H467" s="154"/>
      <c r="K467" s="154"/>
      <c r="N467" s="154"/>
      <c r="Q467" s="154"/>
    </row>
    <row r="468" spans="8:17">
      <c r="H468" s="154"/>
      <c r="K468" s="154"/>
      <c r="N468" s="154"/>
      <c r="Q468" s="154"/>
    </row>
    <row r="469" spans="8:17">
      <c r="H469" s="154"/>
      <c r="K469" s="154"/>
      <c r="N469" s="154"/>
      <c r="Q469" s="154"/>
    </row>
    <row r="470" spans="8:17">
      <c r="H470" s="154"/>
      <c r="K470" s="154"/>
      <c r="N470" s="154"/>
      <c r="Q470" s="154"/>
    </row>
    <row r="471" spans="8:17">
      <c r="H471" s="154"/>
      <c r="K471" s="154"/>
      <c r="N471" s="154"/>
      <c r="Q471" s="154"/>
    </row>
    <row r="472" spans="8:17">
      <c r="H472" s="154"/>
      <c r="K472" s="154"/>
      <c r="N472" s="154"/>
      <c r="Q472" s="154"/>
    </row>
    <row r="473" spans="8:17">
      <c r="H473" s="154"/>
      <c r="K473" s="154"/>
      <c r="N473" s="154"/>
      <c r="Q473" s="154"/>
    </row>
    <row r="474" spans="8:17">
      <c r="H474" s="154"/>
      <c r="K474" s="154"/>
      <c r="N474" s="154"/>
      <c r="Q474" s="154"/>
    </row>
    <row r="475" spans="8:17">
      <c r="H475" s="154"/>
      <c r="K475" s="154"/>
      <c r="N475" s="154"/>
      <c r="Q475" s="154"/>
    </row>
    <row r="476" spans="8:17">
      <c r="H476" s="154"/>
      <c r="K476" s="154"/>
      <c r="N476" s="154"/>
      <c r="Q476" s="154"/>
    </row>
    <row r="477" spans="8:17">
      <c r="H477" s="154"/>
      <c r="K477" s="154"/>
      <c r="N477" s="154"/>
      <c r="Q477" s="154"/>
    </row>
    <row r="478" spans="8:17">
      <c r="H478" s="154"/>
      <c r="K478" s="154"/>
      <c r="N478" s="154"/>
      <c r="Q478" s="154"/>
    </row>
    <row r="479" spans="8:17">
      <c r="H479" s="154"/>
      <c r="K479" s="154"/>
      <c r="N479" s="154"/>
      <c r="Q479" s="154"/>
    </row>
    <row r="480" spans="8:17">
      <c r="H480" s="154"/>
      <c r="K480" s="154"/>
      <c r="N480" s="154"/>
      <c r="Q480" s="154"/>
    </row>
    <row r="481" spans="8:17">
      <c r="H481" s="154"/>
      <c r="K481" s="154"/>
      <c r="N481" s="154"/>
      <c r="Q481" s="154"/>
    </row>
    <row r="482" spans="8:17">
      <c r="H482" s="154"/>
      <c r="K482" s="154"/>
      <c r="N482" s="154"/>
      <c r="Q482" s="154"/>
    </row>
    <row r="483" spans="8:17">
      <c r="H483" s="154"/>
      <c r="K483" s="154"/>
      <c r="N483" s="154"/>
      <c r="Q483" s="154"/>
    </row>
    <row r="484" spans="8:17">
      <c r="H484" s="154"/>
      <c r="K484" s="154"/>
      <c r="N484" s="154"/>
      <c r="Q484" s="154"/>
    </row>
    <row r="485" spans="8:17">
      <c r="H485" s="154"/>
      <c r="K485" s="154"/>
      <c r="N485" s="154"/>
      <c r="Q485" s="154"/>
    </row>
    <row r="486" spans="8:17">
      <c r="H486" s="154"/>
      <c r="K486" s="154"/>
      <c r="N486" s="154"/>
      <c r="Q486" s="154"/>
    </row>
    <row r="487" spans="8:17">
      <c r="H487" s="154"/>
      <c r="K487" s="154"/>
      <c r="N487" s="154"/>
      <c r="Q487" s="154"/>
    </row>
    <row r="488" spans="8:17">
      <c r="H488" s="154"/>
      <c r="K488" s="154"/>
      <c r="N488" s="154"/>
      <c r="Q488" s="154"/>
    </row>
    <row r="489" spans="8:17">
      <c r="H489" s="154"/>
      <c r="K489" s="154"/>
      <c r="N489" s="154"/>
      <c r="Q489" s="154"/>
    </row>
    <row r="490" spans="8:17">
      <c r="H490" s="154"/>
      <c r="K490" s="154"/>
      <c r="N490" s="154"/>
      <c r="Q490" s="154"/>
    </row>
    <row r="491" spans="8:17">
      <c r="H491" s="154"/>
      <c r="K491" s="154"/>
      <c r="N491" s="154"/>
      <c r="Q491" s="154"/>
    </row>
    <row r="492" spans="8:17">
      <c r="H492" s="154"/>
      <c r="K492" s="154"/>
      <c r="N492" s="154"/>
      <c r="Q492" s="154"/>
    </row>
    <row r="493" spans="8:17">
      <c r="H493" s="154"/>
      <c r="K493" s="154"/>
      <c r="N493" s="154"/>
      <c r="Q493" s="154"/>
    </row>
    <row r="494" spans="8:17">
      <c r="H494" s="154"/>
      <c r="K494" s="154"/>
      <c r="N494" s="154"/>
      <c r="Q494" s="154"/>
    </row>
    <row r="495" spans="8:17">
      <c r="H495" s="154"/>
      <c r="K495" s="154"/>
      <c r="N495" s="154"/>
      <c r="Q495" s="154"/>
    </row>
    <row r="496" spans="8:17">
      <c r="H496" s="154"/>
      <c r="K496" s="154"/>
      <c r="N496" s="154"/>
      <c r="Q496" s="154"/>
    </row>
    <row r="497" spans="8:17">
      <c r="H497" s="154"/>
      <c r="K497" s="154"/>
      <c r="N497" s="154"/>
      <c r="Q497" s="154"/>
    </row>
    <row r="498" spans="8:17">
      <c r="H498" s="154"/>
      <c r="K498" s="154"/>
      <c r="N498" s="154"/>
      <c r="Q498" s="154"/>
    </row>
    <row r="499" spans="8:17">
      <c r="H499" s="154"/>
      <c r="K499" s="154"/>
      <c r="N499" s="154"/>
      <c r="Q499" s="154"/>
    </row>
    <row r="500" spans="8:17">
      <c r="H500" s="154"/>
      <c r="K500" s="154"/>
      <c r="N500" s="154"/>
      <c r="Q500" s="154"/>
    </row>
    <row r="501" spans="8:17">
      <c r="H501" s="154"/>
      <c r="K501" s="154"/>
      <c r="N501" s="154"/>
      <c r="Q501" s="154"/>
    </row>
    <row r="502" spans="8:17">
      <c r="H502" s="154"/>
      <c r="K502" s="154"/>
      <c r="N502" s="154"/>
      <c r="Q502" s="154"/>
    </row>
    <row r="503" spans="8:17">
      <c r="H503" s="154"/>
      <c r="K503" s="154"/>
      <c r="N503" s="154"/>
      <c r="Q503" s="154"/>
    </row>
    <row r="504" spans="8:17">
      <c r="H504" s="154"/>
      <c r="K504" s="154"/>
      <c r="N504" s="154"/>
      <c r="Q504" s="154"/>
    </row>
    <row r="505" spans="8:17">
      <c r="H505" s="154"/>
      <c r="K505" s="154"/>
      <c r="N505" s="154"/>
      <c r="Q505" s="154"/>
    </row>
    <row r="506" spans="8:17">
      <c r="H506" s="154"/>
      <c r="K506" s="154"/>
      <c r="N506" s="154"/>
      <c r="Q506" s="154"/>
    </row>
    <row r="507" spans="8:17">
      <c r="H507" s="154"/>
      <c r="K507" s="154"/>
      <c r="N507" s="154"/>
      <c r="Q507" s="154"/>
    </row>
    <row r="508" spans="8:17">
      <c r="H508" s="154"/>
      <c r="K508" s="154"/>
      <c r="N508" s="154"/>
      <c r="Q508" s="154"/>
    </row>
    <row r="509" spans="8:17">
      <c r="H509" s="154"/>
      <c r="K509" s="154"/>
      <c r="N509" s="154"/>
      <c r="Q509" s="154"/>
    </row>
    <row r="510" spans="8:17">
      <c r="H510" s="154"/>
      <c r="K510" s="154"/>
      <c r="N510" s="154"/>
      <c r="Q510" s="154"/>
    </row>
    <row r="511" spans="8:17">
      <c r="H511" s="154"/>
      <c r="K511" s="154"/>
      <c r="N511" s="154"/>
      <c r="Q511" s="154"/>
    </row>
    <row r="512" spans="8:17">
      <c r="H512" s="154"/>
      <c r="K512" s="154"/>
      <c r="N512" s="154"/>
      <c r="Q512" s="154"/>
    </row>
    <row r="513" spans="8:17">
      <c r="H513" s="154"/>
      <c r="K513" s="154"/>
      <c r="N513" s="154"/>
      <c r="Q513" s="154"/>
    </row>
    <row r="514" spans="8:17">
      <c r="H514" s="154"/>
      <c r="K514" s="154"/>
      <c r="N514" s="154"/>
      <c r="Q514" s="154"/>
    </row>
    <row r="515" spans="8:17">
      <c r="H515" s="154"/>
      <c r="K515" s="154"/>
      <c r="N515" s="154"/>
      <c r="Q515" s="154"/>
    </row>
    <row r="516" spans="8:17">
      <c r="H516" s="154"/>
      <c r="K516" s="154"/>
      <c r="N516" s="154"/>
      <c r="Q516" s="154"/>
    </row>
    <row r="517" spans="8:17">
      <c r="H517" s="154"/>
      <c r="K517" s="154"/>
      <c r="N517" s="154"/>
      <c r="Q517" s="154"/>
    </row>
    <row r="518" spans="8:17">
      <c r="H518" s="154"/>
      <c r="K518" s="154"/>
      <c r="N518" s="154"/>
      <c r="Q518" s="154"/>
    </row>
    <row r="519" spans="8:17">
      <c r="H519" s="154"/>
      <c r="K519" s="154"/>
      <c r="N519" s="154"/>
      <c r="Q519" s="154"/>
    </row>
    <row r="520" spans="8:17">
      <c r="H520" s="154"/>
      <c r="K520" s="154"/>
      <c r="N520" s="154"/>
      <c r="Q520" s="154"/>
    </row>
    <row r="521" spans="8:17">
      <c r="H521" s="154"/>
      <c r="K521" s="154"/>
      <c r="N521" s="154"/>
      <c r="Q521" s="154"/>
    </row>
    <row r="522" spans="8:17">
      <c r="H522" s="154"/>
      <c r="K522" s="154"/>
      <c r="N522" s="154"/>
      <c r="Q522" s="154"/>
    </row>
    <row r="523" spans="8:17">
      <c r="H523" s="154"/>
      <c r="K523" s="154"/>
      <c r="N523" s="154"/>
      <c r="Q523" s="154"/>
    </row>
    <row r="524" spans="8:17">
      <c r="H524" s="154"/>
      <c r="K524" s="154"/>
      <c r="N524" s="154"/>
      <c r="Q524" s="154"/>
    </row>
    <row r="525" spans="8:17">
      <c r="H525" s="154"/>
      <c r="K525" s="154"/>
      <c r="N525" s="154"/>
      <c r="Q525" s="154"/>
    </row>
    <row r="526" spans="8:17">
      <c r="H526" s="154"/>
      <c r="K526" s="154"/>
      <c r="N526" s="154"/>
      <c r="Q526" s="154"/>
    </row>
    <row r="527" spans="8:17">
      <c r="H527" s="154"/>
      <c r="K527" s="154"/>
      <c r="N527" s="154"/>
      <c r="Q527" s="154"/>
    </row>
    <row r="528" spans="8:17">
      <c r="H528" s="154"/>
      <c r="K528" s="154"/>
      <c r="N528" s="154"/>
      <c r="Q528" s="154"/>
    </row>
    <row r="529" spans="8:17">
      <c r="H529" s="154"/>
      <c r="K529" s="154"/>
      <c r="N529" s="154"/>
      <c r="Q529" s="154"/>
    </row>
    <row r="530" spans="8:17">
      <c r="H530" s="154"/>
      <c r="K530" s="154"/>
      <c r="N530" s="154"/>
      <c r="Q530" s="154"/>
    </row>
    <row r="531" spans="8:17">
      <c r="H531" s="154"/>
      <c r="K531" s="154"/>
      <c r="N531" s="154"/>
      <c r="Q531" s="154"/>
    </row>
    <row r="532" spans="8:17">
      <c r="H532" s="154"/>
      <c r="K532" s="154"/>
      <c r="N532" s="154"/>
      <c r="Q532" s="154"/>
    </row>
    <row r="533" spans="8:17">
      <c r="H533" s="154"/>
      <c r="K533" s="154"/>
      <c r="N533" s="154"/>
      <c r="Q533" s="154"/>
    </row>
    <row r="534" spans="8:17">
      <c r="H534" s="154"/>
      <c r="K534" s="154"/>
      <c r="N534" s="154"/>
      <c r="Q534" s="154"/>
    </row>
    <row r="535" spans="8:17">
      <c r="H535" s="154"/>
      <c r="K535" s="154"/>
      <c r="N535" s="154"/>
      <c r="Q535" s="154"/>
    </row>
    <row r="536" spans="8:17">
      <c r="H536" s="154"/>
      <c r="K536" s="154"/>
      <c r="N536" s="154"/>
      <c r="Q536" s="154"/>
    </row>
    <row r="537" spans="8:17">
      <c r="H537" s="154"/>
      <c r="K537" s="154"/>
      <c r="N537" s="154"/>
      <c r="Q537" s="154"/>
    </row>
    <row r="538" spans="8:17">
      <c r="H538" s="154"/>
      <c r="K538" s="154"/>
      <c r="N538" s="154"/>
      <c r="Q538" s="154"/>
    </row>
    <row r="539" spans="8:17">
      <c r="H539" s="154"/>
      <c r="K539" s="154"/>
      <c r="N539" s="154"/>
      <c r="Q539" s="154"/>
    </row>
    <row r="540" spans="8:17">
      <c r="H540" s="154"/>
      <c r="K540" s="154"/>
      <c r="N540" s="154"/>
      <c r="Q540" s="154"/>
    </row>
    <row r="541" spans="8:17">
      <c r="H541" s="154"/>
      <c r="K541" s="154"/>
      <c r="N541" s="154"/>
      <c r="Q541" s="154"/>
    </row>
    <row r="542" spans="8:17">
      <c r="H542" s="154"/>
      <c r="K542" s="154"/>
      <c r="N542" s="154"/>
      <c r="Q542" s="154"/>
    </row>
    <row r="543" spans="8:17">
      <c r="H543" s="154"/>
      <c r="K543" s="154"/>
      <c r="N543" s="154"/>
      <c r="Q543" s="154"/>
    </row>
    <row r="544" spans="8:17">
      <c r="H544" s="154"/>
      <c r="K544" s="154"/>
      <c r="N544" s="154"/>
      <c r="Q544" s="154"/>
    </row>
    <row r="545" spans="8:17">
      <c r="H545" s="154"/>
      <c r="K545" s="154"/>
      <c r="N545" s="154"/>
      <c r="Q545" s="154"/>
    </row>
    <row r="546" spans="8:17">
      <c r="H546" s="154"/>
      <c r="K546" s="154"/>
      <c r="N546" s="154"/>
      <c r="Q546" s="154"/>
    </row>
    <row r="547" spans="8:17">
      <c r="H547" s="154"/>
      <c r="K547" s="154"/>
      <c r="N547" s="154"/>
      <c r="Q547" s="154"/>
    </row>
    <row r="548" spans="8:17">
      <c r="H548" s="154"/>
      <c r="K548" s="154"/>
      <c r="N548" s="154"/>
      <c r="Q548" s="154"/>
    </row>
    <row r="549" spans="8:17">
      <c r="H549" s="154"/>
      <c r="K549" s="154"/>
      <c r="N549" s="154"/>
      <c r="Q549" s="154"/>
    </row>
    <row r="550" spans="8:17">
      <c r="H550" s="154"/>
      <c r="K550" s="154"/>
      <c r="N550" s="154"/>
      <c r="Q550" s="154"/>
    </row>
    <row r="551" spans="8:17">
      <c r="H551" s="154"/>
      <c r="K551" s="154"/>
      <c r="N551" s="154"/>
      <c r="Q551" s="154"/>
    </row>
    <row r="552" spans="8:17">
      <c r="H552" s="154"/>
      <c r="K552" s="154"/>
      <c r="N552" s="154"/>
      <c r="Q552" s="154"/>
    </row>
    <row r="553" spans="8:17">
      <c r="H553" s="154"/>
      <c r="K553" s="154"/>
      <c r="N553" s="154"/>
      <c r="Q553" s="154"/>
    </row>
    <row r="554" spans="8:17">
      <c r="H554" s="154"/>
      <c r="K554" s="154"/>
      <c r="N554" s="154"/>
      <c r="Q554" s="154"/>
    </row>
    <row r="555" spans="8:17">
      <c r="H555" s="154"/>
      <c r="K555" s="154"/>
      <c r="N555" s="154"/>
      <c r="Q555" s="154"/>
    </row>
    <row r="556" spans="8:17">
      <c r="H556" s="154"/>
      <c r="K556" s="154"/>
      <c r="N556" s="154"/>
      <c r="Q556" s="154"/>
    </row>
    <row r="557" spans="8:17">
      <c r="H557" s="154"/>
      <c r="K557" s="154"/>
      <c r="N557" s="154"/>
      <c r="Q557" s="154"/>
    </row>
    <row r="558" spans="8:17">
      <c r="H558" s="154"/>
      <c r="K558" s="154"/>
      <c r="N558" s="154"/>
      <c r="Q558" s="154"/>
    </row>
    <row r="559" spans="8:17">
      <c r="H559" s="154"/>
      <c r="K559" s="154"/>
      <c r="N559" s="154"/>
      <c r="Q559" s="154"/>
    </row>
    <row r="560" spans="8:17">
      <c r="H560" s="154"/>
      <c r="K560" s="154"/>
      <c r="N560" s="154"/>
      <c r="Q560" s="154"/>
    </row>
    <row r="561" spans="8:17">
      <c r="H561" s="154"/>
      <c r="K561" s="154"/>
      <c r="N561" s="154"/>
      <c r="Q561" s="154"/>
    </row>
    <row r="562" spans="8:17">
      <c r="H562" s="154"/>
      <c r="K562" s="154"/>
      <c r="N562" s="154"/>
      <c r="Q562" s="154"/>
    </row>
    <row r="563" spans="8:17">
      <c r="H563" s="154"/>
      <c r="K563" s="154"/>
      <c r="N563" s="154"/>
      <c r="Q563" s="154"/>
    </row>
    <row r="564" spans="8:17">
      <c r="H564" s="154"/>
      <c r="K564" s="154"/>
      <c r="N564" s="154"/>
      <c r="Q564" s="154"/>
    </row>
    <row r="565" spans="8:17">
      <c r="H565" s="154"/>
      <c r="K565" s="154"/>
      <c r="N565" s="154"/>
      <c r="Q565" s="154"/>
    </row>
    <row r="566" spans="8:17">
      <c r="H566" s="154"/>
      <c r="K566" s="154"/>
      <c r="N566" s="154"/>
      <c r="Q566" s="154"/>
    </row>
    <row r="567" spans="8:17">
      <c r="H567" s="154"/>
      <c r="K567" s="154"/>
      <c r="N567" s="154"/>
      <c r="Q567" s="154"/>
    </row>
    <row r="568" spans="8:17">
      <c r="H568" s="154"/>
      <c r="K568" s="154"/>
      <c r="N568" s="154"/>
      <c r="Q568" s="154"/>
    </row>
    <row r="569" spans="8:17">
      <c r="H569" s="154"/>
      <c r="K569" s="154"/>
      <c r="N569" s="154"/>
      <c r="Q569" s="154"/>
    </row>
    <row r="570" spans="8:17">
      <c r="H570" s="154"/>
      <c r="K570" s="154"/>
      <c r="N570" s="154"/>
      <c r="Q570" s="154"/>
    </row>
    <row r="571" spans="8:17">
      <c r="H571" s="154"/>
      <c r="K571" s="154"/>
      <c r="N571" s="154"/>
      <c r="Q571" s="154"/>
    </row>
    <row r="572" spans="8:17">
      <c r="H572" s="154"/>
      <c r="K572" s="154"/>
      <c r="N572" s="154"/>
      <c r="Q572" s="154"/>
    </row>
    <row r="573" spans="8:17">
      <c r="H573" s="154"/>
      <c r="K573" s="154"/>
      <c r="N573" s="154"/>
      <c r="Q573" s="154"/>
    </row>
    <row r="574" spans="8:17">
      <c r="H574" s="154"/>
      <c r="K574" s="154"/>
      <c r="N574" s="154"/>
      <c r="Q574" s="154"/>
    </row>
    <row r="575" spans="8:17">
      <c r="H575" s="154"/>
      <c r="K575" s="154"/>
      <c r="N575" s="154"/>
      <c r="Q575" s="154"/>
    </row>
    <row r="576" spans="8:17">
      <c r="H576" s="154"/>
      <c r="K576" s="154"/>
      <c r="N576" s="154"/>
      <c r="Q576" s="154"/>
    </row>
    <row r="577" spans="8:17">
      <c r="H577" s="154"/>
      <c r="K577" s="154"/>
      <c r="N577" s="154"/>
      <c r="Q577" s="154"/>
    </row>
    <row r="578" spans="8:17">
      <c r="H578" s="154"/>
      <c r="K578" s="154"/>
      <c r="N578" s="154"/>
      <c r="Q578" s="154"/>
    </row>
    <row r="579" spans="8:17">
      <c r="H579" s="154"/>
      <c r="K579" s="154"/>
      <c r="N579" s="154"/>
      <c r="Q579" s="154"/>
    </row>
    <row r="580" spans="8:17">
      <c r="H580" s="154"/>
      <c r="K580" s="154"/>
      <c r="N580" s="154"/>
      <c r="Q580" s="154"/>
    </row>
    <row r="581" spans="8:17">
      <c r="H581" s="154"/>
      <c r="K581" s="154"/>
      <c r="N581" s="154"/>
      <c r="Q581" s="154"/>
    </row>
    <row r="582" spans="8:17">
      <c r="H582" s="154"/>
      <c r="K582" s="154"/>
      <c r="N582" s="154"/>
      <c r="Q582" s="154"/>
    </row>
    <row r="583" spans="8:17">
      <c r="H583" s="154"/>
      <c r="K583" s="154"/>
      <c r="N583" s="154"/>
      <c r="Q583" s="154"/>
    </row>
    <row r="584" spans="8:17">
      <c r="H584" s="154"/>
      <c r="K584" s="154"/>
      <c r="N584" s="154"/>
      <c r="Q584" s="154"/>
    </row>
    <row r="585" spans="8:17">
      <c r="H585" s="154"/>
      <c r="K585" s="154"/>
      <c r="N585" s="154"/>
      <c r="Q585" s="154"/>
    </row>
    <row r="586" spans="8:17">
      <c r="H586" s="154"/>
      <c r="K586" s="154"/>
      <c r="N586" s="154"/>
      <c r="Q586" s="154"/>
    </row>
    <row r="587" spans="8:17">
      <c r="H587" s="154"/>
      <c r="K587" s="154"/>
      <c r="N587" s="154"/>
      <c r="Q587" s="154"/>
    </row>
    <row r="588" spans="8:17">
      <c r="H588" s="154"/>
      <c r="K588" s="154"/>
      <c r="N588" s="154"/>
      <c r="Q588" s="154"/>
    </row>
    <row r="589" spans="8:17">
      <c r="H589" s="154"/>
      <c r="K589" s="154"/>
      <c r="N589" s="154"/>
      <c r="Q589" s="154"/>
    </row>
    <row r="590" spans="8:17">
      <c r="H590" s="154"/>
      <c r="K590" s="154"/>
      <c r="N590" s="154"/>
      <c r="Q590" s="154"/>
    </row>
    <row r="591" spans="8:17">
      <c r="H591" s="154"/>
      <c r="K591" s="154"/>
      <c r="N591" s="154"/>
      <c r="Q591" s="154"/>
    </row>
    <row r="592" spans="8:17">
      <c r="H592" s="154"/>
      <c r="K592" s="154"/>
      <c r="N592" s="154"/>
      <c r="Q592" s="154"/>
    </row>
    <row r="593" spans="8:17">
      <c r="H593" s="154"/>
      <c r="K593" s="154"/>
      <c r="N593" s="154"/>
      <c r="Q593" s="154"/>
    </row>
    <row r="594" spans="8:17">
      <c r="H594" s="154"/>
      <c r="K594" s="154"/>
      <c r="N594" s="154"/>
      <c r="Q594" s="154"/>
    </row>
    <row r="595" spans="8:17">
      <c r="H595" s="154"/>
      <c r="K595" s="154"/>
      <c r="N595" s="154"/>
      <c r="Q595" s="154"/>
    </row>
    <row r="596" spans="8:17">
      <c r="H596" s="154"/>
      <c r="K596" s="154"/>
      <c r="N596" s="154"/>
      <c r="Q596" s="154"/>
    </row>
    <row r="597" spans="8:17">
      <c r="H597" s="154"/>
      <c r="K597" s="154"/>
      <c r="N597" s="154"/>
      <c r="Q597" s="154"/>
    </row>
    <row r="598" spans="8:17">
      <c r="H598" s="154"/>
      <c r="K598" s="154"/>
      <c r="N598" s="154"/>
      <c r="Q598" s="154"/>
    </row>
    <row r="599" spans="8:17">
      <c r="H599" s="154"/>
      <c r="K599" s="154"/>
      <c r="N599" s="154"/>
      <c r="Q599" s="154"/>
    </row>
    <row r="600" spans="8:17">
      <c r="H600" s="154"/>
      <c r="K600" s="154"/>
      <c r="N600" s="154"/>
      <c r="Q600" s="154"/>
    </row>
    <row r="601" spans="8:17">
      <c r="H601" s="154"/>
      <c r="K601" s="154"/>
      <c r="N601" s="154"/>
      <c r="Q601" s="154"/>
    </row>
    <row r="602" spans="8:17">
      <c r="H602" s="154"/>
      <c r="K602" s="154"/>
      <c r="N602" s="154"/>
      <c r="Q602" s="154"/>
    </row>
    <row r="603" spans="8:17">
      <c r="H603" s="154"/>
      <c r="K603" s="154"/>
      <c r="N603" s="154"/>
      <c r="Q603" s="154"/>
    </row>
    <row r="604" spans="8:17">
      <c r="H604" s="154"/>
      <c r="K604" s="154"/>
      <c r="N604" s="154"/>
      <c r="Q604" s="154"/>
    </row>
    <row r="605" spans="8:17">
      <c r="H605" s="154"/>
      <c r="K605" s="154"/>
      <c r="N605" s="154"/>
      <c r="Q605" s="154"/>
    </row>
    <row r="606" spans="8:17">
      <c r="H606" s="154"/>
      <c r="K606" s="154"/>
      <c r="N606" s="154"/>
      <c r="Q606" s="154"/>
    </row>
    <row r="607" spans="8:17">
      <c r="H607" s="154"/>
      <c r="K607" s="154"/>
      <c r="N607" s="154"/>
      <c r="Q607" s="154"/>
    </row>
    <row r="608" spans="8:17">
      <c r="H608" s="154"/>
      <c r="K608" s="154"/>
      <c r="N608" s="154"/>
      <c r="Q608" s="154"/>
    </row>
    <row r="609" spans="8:17">
      <c r="H609" s="154"/>
      <c r="K609" s="154"/>
      <c r="N609" s="154"/>
      <c r="Q609" s="154"/>
    </row>
    <row r="610" spans="8:17">
      <c r="H610" s="154"/>
      <c r="K610" s="154"/>
      <c r="N610" s="154"/>
      <c r="Q610" s="154"/>
    </row>
    <row r="611" spans="8:17">
      <c r="H611" s="154"/>
      <c r="K611" s="154"/>
      <c r="N611" s="154"/>
      <c r="Q611" s="154"/>
    </row>
    <row r="612" spans="8:17">
      <c r="H612" s="154"/>
      <c r="K612" s="154"/>
      <c r="N612" s="154"/>
      <c r="Q612" s="154"/>
    </row>
    <row r="613" spans="8:17">
      <c r="H613" s="154"/>
      <c r="K613" s="154"/>
      <c r="N613" s="154"/>
      <c r="Q613" s="154"/>
    </row>
    <row r="614" spans="8:17">
      <c r="H614" s="154"/>
      <c r="K614" s="154"/>
      <c r="N614" s="154"/>
      <c r="Q614" s="154"/>
    </row>
    <row r="615" spans="8:17">
      <c r="H615" s="154"/>
      <c r="K615" s="154"/>
      <c r="N615" s="154"/>
      <c r="Q615" s="154"/>
    </row>
    <row r="616" spans="8:17">
      <c r="H616" s="154"/>
      <c r="K616" s="154"/>
      <c r="N616" s="154"/>
      <c r="Q616" s="154"/>
    </row>
    <row r="617" spans="8:17">
      <c r="H617" s="154"/>
      <c r="K617" s="154"/>
      <c r="N617" s="154"/>
      <c r="Q617" s="154"/>
    </row>
    <row r="618" spans="8:17">
      <c r="H618" s="154"/>
      <c r="K618" s="154"/>
      <c r="N618" s="154"/>
      <c r="Q618" s="154"/>
    </row>
    <row r="619" spans="8:17">
      <c r="H619" s="154"/>
      <c r="K619" s="154"/>
      <c r="N619" s="154"/>
      <c r="Q619" s="154"/>
    </row>
    <row r="620" spans="8:17">
      <c r="H620" s="154"/>
      <c r="K620" s="154"/>
      <c r="N620" s="154"/>
      <c r="Q620" s="154"/>
    </row>
    <row r="621" spans="8:17">
      <c r="H621" s="154"/>
      <c r="K621" s="154"/>
      <c r="N621" s="154"/>
      <c r="Q621" s="154"/>
    </row>
    <row r="622" spans="8:17">
      <c r="H622" s="154"/>
      <c r="K622" s="154"/>
      <c r="N622" s="154"/>
      <c r="Q622" s="154"/>
    </row>
    <row r="623" spans="8:17">
      <c r="H623" s="154"/>
      <c r="K623" s="154"/>
      <c r="N623" s="154"/>
      <c r="Q623" s="154"/>
    </row>
    <row r="624" spans="8:17">
      <c r="H624" s="154"/>
      <c r="K624" s="154"/>
      <c r="N624" s="154"/>
      <c r="Q624" s="154"/>
    </row>
    <row r="625" spans="8:17">
      <c r="H625" s="154"/>
      <c r="K625" s="154"/>
      <c r="N625" s="154"/>
      <c r="Q625" s="154"/>
    </row>
    <row r="626" spans="8:17">
      <c r="H626" s="154"/>
      <c r="K626" s="154"/>
      <c r="N626" s="154"/>
      <c r="Q626" s="154"/>
    </row>
    <row r="627" spans="8:17">
      <c r="H627" s="154"/>
      <c r="K627" s="154"/>
      <c r="N627" s="154"/>
      <c r="Q627" s="154"/>
    </row>
    <row r="628" spans="8:17">
      <c r="H628" s="154"/>
      <c r="K628" s="154"/>
      <c r="N628" s="154"/>
      <c r="Q628" s="154"/>
    </row>
    <row r="629" spans="8:17">
      <c r="H629" s="154"/>
      <c r="K629" s="154"/>
      <c r="N629" s="154"/>
      <c r="Q629" s="154"/>
    </row>
    <row r="630" spans="8:17">
      <c r="H630" s="154"/>
      <c r="K630" s="154"/>
      <c r="N630" s="154"/>
      <c r="Q630" s="154"/>
    </row>
    <row r="631" spans="8:17">
      <c r="H631" s="154"/>
      <c r="K631" s="154"/>
      <c r="N631" s="154"/>
      <c r="Q631" s="154"/>
    </row>
    <row r="632" spans="8:17">
      <c r="H632" s="154"/>
      <c r="K632" s="154"/>
      <c r="N632" s="154"/>
      <c r="Q632" s="154"/>
    </row>
    <row r="633" spans="8:17">
      <c r="H633" s="154"/>
      <c r="K633" s="154"/>
      <c r="N633" s="154"/>
      <c r="Q633" s="154"/>
    </row>
    <row r="634" spans="8:17">
      <c r="H634" s="154"/>
      <c r="K634" s="154"/>
      <c r="N634" s="154"/>
      <c r="Q634" s="154"/>
    </row>
    <row r="635" spans="8:17">
      <c r="H635" s="154"/>
      <c r="K635" s="154"/>
      <c r="N635" s="154"/>
      <c r="Q635" s="154"/>
    </row>
    <row r="636" spans="8:17">
      <c r="H636" s="154"/>
      <c r="K636" s="154"/>
      <c r="N636" s="154"/>
      <c r="Q636" s="154"/>
    </row>
    <row r="637" spans="8:17">
      <c r="H637" s="154"/>
      <c r="K637" s="154"/>
      <c r="N637" s="154"/>
      <c r="Q637" s="154"/>
    </row>
    <row r="638" spans="8:17">
      <c r="H638" s="154"/>
      <c r="K638" s="154"/>
      <c r="N638" s="154"/>
      <c r="Q638" s="154"/>
    </row>
    <row r="639" spans="8:17">
      <c r="H639" s="154"/>
      <c r="K639" s="154"/>
      <c r="N639" s="154"/>
      <c r="Q639" s="154"/>
    </row>
    <row r="640" spans="8:17">
      <c r="H640" s="154"/>
      <c r="K640" s="154"/>
      <c r="N640" s="154"/>
      <c r="Q640" s="154"/>
    </row>
    <row r="641" spans="8:17">
      <c r="H641" s="154"/>
      <c r="K641" s="154"/>
      <c r="N641" s="154"/>
      <c r="Q641" s="154"/>
    </row>
    <row r="642" spans="8:17">
      <c r="H642" s="154"/>
      <c r="K642" s="154"/>
      <c r="N642" s="154"/>
      <c r="Q642" s="154"/>
    </row>
    <row r="643" spans="8:17">
      <c r="H643" s="154"/>
      <c r="K643" s="154"/>
      <c r="N643" s="154"/>
      <c r="Q643" s="154"/>
    </row>
    <row r="644" spans="8:17">
      <c r="H644" s="154"/>
      <c r="K644" s="154"/>
      <c r="N644" s="154"/>
      <c r="Q644" s="154"/>
    </row>
    <row r="645" spans="8:17">
      <c r="H645" s="154"/>
      <c r="K645" s="154"/>
      <c r="N645" s="154"/>
      <c r="Q645" s="154"/>
    </row>
    <row r="646" spans="8:17">
      <c r="H646" s="154"/>
      <c r="K646" s="154"/>
      <c r="N646" s="154"/>
      <c r="Q646" s="154"/>
    </row>
    <row r="647" spans="8:17">
      <c r="H647" s="154"/>
      <c r="K647" s="154"/>
      <c r="N647" s="154"/>
      <c r="Q647" s="154"/>
    </row>
    <row r="648" spans="8:17">
      <c r="H648" s="154"/>
      <c r="K648" s="154"/>
      <c r="N648" s="154"/>
      <c r="Q648" s="154"/>
    </row>
    <row r="649" spans="8:17">
      <c r="H649" s="154"/>
      <c r="K649" s="154"/>
      <c r="N649" s="154"/>
      <c r="Q649" s="154"/>
    </row>
    <row r="650" spans="8:17">
      <c r="H650" s="154"/>
      <c r="K650" s="154"/>
      <c r="N650" s="154"/>
      <c r="Q650" s="154"/>
    </row>
    <row r="651" spans="8:17">
      <c r="H651" s="154"/>
      <c r="K651" s="154"/>
      <c r="N651" s="154"/>
      <c r="Q651" s="154"/>
    </row>
    <row r="652" spans="8:17">
      <c r="H652" s="154"/>
      <c r="K652" s="154"/>
      <c r="N652" s="154"/>
      <c r="Q652" s="154"/>
    </row>
    <row r="653" spans="8:17">
      <c r="H653" s="154"/>
      <c r="K653" s="154"/>
      <c r="N653" s="154"/>
      <c r="Q653" s="154"/>
    </row>
    <row r="654" spans="8:17">
      <c r="H654" s="154"/>
      <c r="K654" s="154"/>
      <c r="N654" s="154"/>
      <c r="Q654" s="154"/>
    </row>
    <row r="655" spans="8:17">
      <c r="H655" s="154"/>
      <c r="K655" s="154"/>
      <c r="N655" s="154"/>
      <c r="Q655" s="154"/>
    </row>
    <row r="656" spans="8:17">
      <c r="H656" s="154"/>
      <c r="K656" s="154"/>
      <c r="N656" s="154"/>
      <c r="Q656" s="154"/>
    </row>
    <row r="657" spans="8:17">
      <c r="H657" s="154"/>
      <c r="K657" s="154"/>
      <c r="N657" s="154"/>
      <c r="Q657" s="154"/>
    </row>
    <row r="658" spans="8:17">
      <c r="H658" s="154"/>
      <c r="K658" s="154"/>
      <c r="N658" s="154"/>
      <c r="Q658" s="154"/>
    </row>
    <row r="659" spans="8:17">
      <c r="H659" s="154"/>
      <c r="K659" s="154"/>
      <c r="N659" s="154"/>
      <c r="Q659" s="154"/>
    </row>
    <row r="660" spans="8:17">
      <c r="H660" s="154"/>
      <c r="K660" s="154"/>
      <c r="N660" s="154"/>
      <c r="Q660" s="154"/>
    </row>
    <row r="661" spans="8:17">
      <c r="H661" s="154"/>
      <c r="K661" s="154"/>
      <c r="N661" s="154"/>
      <c r="Q661" s="154"/>
    </row>
    <row r="662" spans="8:17">
      <c r="H662" s="154"/>
      <c r="K662" s="154"/>
      <c r="N662" s="154"/>
      <c r="Q662" s="154"/>
    </row>
    <row r="663" spans="8:17">
      <c r="H663" s="154"/>
      <c r="K663" s="154"/>
      <c r="N663" s="154"/>
      <c r="Q663" s="154"/>
    </row>
    <row r="664" spans="8:17">
      <c r="H664" s="154"/>
      <c r="K664" s="154"/>
      <c r="N664" s="154"/>
      <c r="Q664" s="154"/>
    </row>
    <row r="665" spans="8:17">
      <c r="H665" s="154"/>
      <c r="K665" s="154"/>
      <c r="N665" s="154"/>
      <c r="Q665" s="154"/>
    </row>
    <row r="666" spans="8:17">
      <c r="H666" s="154"/>
      <c r="K666" s="154"/>
      <c r="N666" s="154"/>
      <c r="Q666" s="154"/>
    </row>
    <row r="667" spans="8:17">
      <c r="H667" s="154"/>
      <c r="K667" s="154"/>
      <c r="N667" s="154"/>
      <c r="Q667" s="154"/>
    </row>
    <row r="668" spans="8:17">
      <c r="H668" s="154"/>
      <c r="K668" s="154"/>
      <c r="N668" s="154"/>
      <c r="Q668" s="154"/>
    </row>
    <row r="669" spans="8:17">
      <c r="H669" s="154"/>
      <c r="K669" s="154"/>
      <c r="N669" s="154"/>
      <c r="Q669" s="154"/>
    </row>
    <row r="670" spans="8:17">
      <c r="H670" s="154"/>
      <c r="K670" s="154"/>
      <c r="N670" s="154"/>
      <c r="Q670" s="154"/>
    </row>
    <row r="671" spans="8:17">
      <c r="H671" s="154"/>
      <c r="K671" s="154"/>
      <c r="N671" s="154"/>
      <c r="Q671" s="154"/>
    </row>
    <row r="672" spans="8:17">
      <c r="H672" s="154"/>
      <c r="K672" s="154"/>
      <c r="N672" s="154"/>
      <c r="Q672" s="154"/>
    </row>
    <row r="673" spans="8:17">
      <c r="H673" s="154"/>
      <c r="K673" s="154"/>
      <c r="N673" s="154"/>
      <c r="Q673" s="154"/>
    </row>
    <row r="674" spans="8:17">
      <c r="H674" s="154"/>
      <c r="K674" s="154"/>
      <c r="N674" s="154"/>
      <c r="Q674" s="154"/>
    </row>
    <row r="675" spans="8:17">
      <c r="H675" s="154"/>
      <c r="K675" s="154"/>
      <c r="N675" s="154"/>
      <c r="Q675" s="154"/>
    </row>
    <row r="676" spans="8:17">
      <c r="H676" s="154"/>
      <c r="K676" s="154"/>
      <c r="N676" s="154"/>
      <c r="Q676" s="154"/>
    </row>
    <row r="677" spans="8:17">
      <c r="H677" s="154"/>
      <c r="K677" s="154"/>
      <c r="N677" s="154"/>
      <c r="Q677" s="154"/>
    </row>
    <row r="678" spans="8:17">
      <c r="H678" s="154"/>
      <c r="K678" s="154"/>
      <c r="N678" s="154"/>
      <c r="Q678" s="154"/>
    </row>
    <row r="679" spans="8:17">
      <c r="H679" s="154"/>
      <c r="K679" s="154"/>
      <c r="N679" s="154"/>
      <c r="Q679" s="154"/>
    </row>
    <row r="680" spans="8:17">
      <c r="H680" s="154"/>
      <c r="K680" s="154"/>
      <c r="N680" s="154"/>
      <c r="Q680" s="154"/>
    </row>
    <row r="681" spans="8:17">
      <c r="H681" s="154"/>
      <c r="K681" s="154"/>
      <c r="N681" s="154"/>
      <c r="Q681" s="154"/>
    </row>
    <row r="682" spans="8:17">
      <c r="H682" s="154"/>
      <c r="K682" s="154"/>
      <c r="N682" s="154"/>
      <c r="Q682" s="154"/>
    </row>
    <row r="683" spans="8:17">
      <c r="H683" s="154"/>
      <c r="K683" s="154"/>
      <c r="N683" s="154"/>
      <c r="Q683" s="154"/>
    </row>
    <row r="684" spans="8:17">
      <c r="H684" s="154"/>
      <c r="K684" s="154"/>
      <c r="N684" s="154"/>
      <c r="Q684" s="154"/>
    </row>
    <row r="685" spans="8:17">
      <c r="H685" s="154"/>
      <c r="K685" s="154"/>
      <c r="N685" s="154"/>
      <c r="Q685" s="154"/>
    </row>
    <row r="686" spans="8:17">
      <c r="H686" s="154"/>
      <c r="K686" s="154"/>
      <c r="N686" s="154"/>
      <c r="Q686" s="154"/>
    </row>
    <row r="687" spans="8:17">
      <c r="H687" s="154"/>
      <c r="K687" s="154"/>
      <c r="N687" s="154"/>
      <c r="Q687" s="154"/>
    </row>
    <row r="688" spans="8:17">
      <c r="H688" s="154"/>
      <c r="K688" s="154"/>
      <c r="N688" s="154"/>
      <c r="Q688" s="154"/>
    </row>
    <row r="689" spans="8:17">
      <c r="H689" s="154"/>
      <c r="K689" s="154"/>
      <c r="N689" s="154"/>
      <c r="Q689" s="154"/>
    </row>
    <row r="690" spans="8:17">
      <c r="H690" s="154"/>
      <c r="K690" s="154"/>
      <c r="N690" s="154"/>
      <c r="Q690" s="154"/>
    </row>
    <row r="691" spans="8:17">
      <c r="H691" s="154"/>
      <c r="K691" s="154"/>
      <c r="N691" s="154"/>
      <c r="Q691" s="154"/>
    </row>
    <row r="692" spans="8:17">
      <c r="H692" s="154"/>
      <c r="K692" s="154"/>
      <c r="N692" s="154"/>
      <c r="Q692" s="154"/>
    </row>
    <row r="693" spans="8:17">
      <c r="H693" s="154"/>
      <c r="K693" s="154"/>
      <c r="N693" s="154"/>
      <c r="Q693" s="154"/>
    </row>
    <row r="694" spans="8:17">
      <c r="H694" s="154"/>
      <c r="K694" s="154"/>
      <c r="N694" s="154"/>
      <c r="Q694" s="154"/>
    </row>
    <row r="695" spans="8:17">
      <c r="H695" s="154"/>
      <c r="K695" s="154"/>
      <c r="N695" s="154"/>
      <c r="Q695" s="154"/>
    </row>
    <row r="696" spans="8:17">
      <c r="H696" s="154"/>
      <c r="K696" s="154"/>
      <c r="N696" s="154"/>
      <c r="Q696" s="154"/>
    </row>
    <row r="697" spans="8:17">
      <c r="H697" s="154"/>
      <c r="K697" s="154"/>
      <c r="N697" s="154"/>
      <c r="Q697" s="154"/>
    </row>
    <row r="698" spans="8:17">
      <c r="H698" s="154"/>
      <c r="K698" s="154"/>
      <c r="N698" s="154"/>
      <c r="Q698" s="154"/>
    </row>
    <row r="699" spans="8:17">
      <c r="H699" s="154"/>
      <c r="K699" s="154"/>
      <c r="N699" s="154"/>
      <c r="Q699" s="154"/>
    </row>
    <row r="700" spans="8:17">
      <c r="H700" s="154"/>
      <c r="K700" s="154"/>
      <c r="N700" s="154"/>
      <c r="Q700" s="154"/>
    </row>
    <row r="701" spans="8:17">
      <c r="H701" s="154"/>
      <c r="K701" s="154"/>
      <c r="N701" s="154"/>
      <c r="Q701" s="154"/>
    </row>
    <row r="702" spans="8:17">
      <c r="H702" s="154"/>
      <c r="K702" s="154"/>
      <c r="N702" s="154"/>
      <c r="Q702" s="154"/>
    </row>
    <row r="703" spans="8:17">
      <c r="H703" s="154"/>
      <c r="K703" s="154"/>
      <c r="N703" s="154"/>
      <c r="Q703" s="154"/>
    </row>
    <row r="704" spans="8:17">
      <c r="H704" s="154"/>
      <c r="K704" s="154"/>
      <c r="N704" s="154"/>
      <c r="Q704" s="154"/>
    </row>
    <row r="705" spans="8:17">
      <c r="H705" s="154"/>
      <c r="K705" s="154"/>
      <c r="N705" s="154"/>
      <c r="Q705" s="154"/>
    </row>
    <row r="706" spans="8:17">
      <c r="H706" s="154"/>
      <c r="K706" s="154"/>
      <c r="N706" s="154"/>
      <c r="Q706" s="154"/>
    </row>
    <row r="707" spans="8:17">
      <c r="H707" s="154"/>
      <c r="K707" s="154"/>
      <c r="N707" s="154"/>
      <c r="Q707" s="154"/>
    </row>
    <row r="708" spans="8:17">
      <c r="H708" s="154"/>
      <c r="K708" s="154"/>
      <c r="N708" s="154"/>
      <c r="Q708" s="154"/>
    </row>
    <row r="709" spans="8:17">
      <c r="H709" s="154"/>
      <c r="K709" s="154"/>
      <c r="N709" s="154"/>
      <c r="Q709" s="154"/>
    </row>
    <row r="710" spans="8:17">
      <c r="H710" s="154"/>
      <c r="K710" s="154"/>
      <c r="N710" s="154"/>
      <c r="Q710" s="154"/>
    </row>
    <row r="711" spans="8:17">
      <c r="H711" s="154"/>
      <c r="K711" s="154"/>
      <c r="N711" s="154"/>
      <c r="Q711" s="154"/>
    </row>
    <row r="712" spans="8:17">
      <c r="H712" s="154"/>
      <c r="K712" s="154"/>
      <c r="N712" s="154"/>
      <c r="Q712" s="154"/>
    </row>
    <row r="713" spans="8:17">
      <c r="H713" s="154"/>
      <c r="K713" s="154"/>
      <c r="N713" s="154"/>
      <c r="Q713" s="154"/>
    </row>
    <row r="714" spans="8:17">
      <c r="H714" s="154"/>
      <c r="K714" s="154"/>
      <c r="N714" s="154"/>
      <c r="Q714" s="154"/>
    </row>
    <row r="715" spans="8:17">
      <c r="H715" s="154"/>
      <c r="K715" s="154"/>
      <c r="N715" s="154"/>
      <c r="Q715" s="154"/>
    </row>
    <row r="716" spans="8:17">
      <c r="H716" s="154"/>
      <c r="K716" s="154"/>
      <c r="N716" s="154"/>
      <c r="Q716" s="154"/>
    </row>
    <row r="717" spans="8:17">
      <c r="H717" s="154"/>
      <c r="K717" s="154"/>
      <c r="N717" s="154"/>
      <c r="Q717" s="154"/>
    </row>
    <row r="718" spans="8:17">
      <c r="H718" s="154"/>
      <c r="K718" s="154"/>
      <c r="N718" s="154"/>
      <c r="Q718" s="154"/>
    </row>
    <row r="719" spans="8:17">
      <c r="H719" s="154"/>
      <c r="K719" s="154"/>
      <c r="N719" s="154"/>
      <c r="Q719" s="154"/>
    </row>
    <row r="720" spans="8:17">
      <c r="H720" s="154"/>
      <c r="K720" s="154"/>
      <c r="N720" s="154"/>
      <c r="Q720" s="154"/>
    </row>
    <row r="721" spans="8:17">
      <c r="H721" s="154"/>
      <c r="K721" s="154"/>
      <c r="N721" s="154"/>
      <c r="Q721" s="154"/>
    </row>
    <row r="722" spans="8:17">
      <c r="H722" s="154"/>
      <c r="K722" s="154"/>
      <c r="N722" s="154"/>
      <c r="Q722" s="154"/>
    </row>
    <row r="723" spans="8:17">
      <c r="H723" s="154"/>
      <c r="K723" s="154"/>
      <c r="N723" s="154"/>
      <c r="Q723" s="154"/>
    </row>
    <row r="724" spans="8:17">
      <c r="H724" s="154"/>
      <c r="K724" s="154"/>
      <c r="N724" s="154"/>
      <c r="Q724" s="154"/>
    </row>
    <row r="725" spans="8:17">
      <c r="H725" s="154"/>
      <c r="K725" s="154"/>
      <c r="N725" s="154"/>
      <c r="Q725" s="154"/>
    </row>
    <row r="726" spans="8:17">
      <c r="H726" s="154"/>
      <c r="K726" s="154"/>
      <c r="N726" s="154"/>
      <c r="Q726" s="154"/>
    </row>
    <row r="727" spans="8:17">
      <c r="H727" s="154"/>
      <c r="K727" s="154"/>
      <c r="N727" s="154"/>
      <c r="Q727" s="154"/>
    </row>
    <row r="728" spans="8:17">
      <c r="H728" s="154"/>
      <c r="K728" s="154"/>
      <c r="N728" s="154"/>
      <c r="Q728" s="154"/>
    </row>
    <row r="729" spans="8:17">
      <c r="H729" s="154"/>
      <c r="K729" s="154"/>
      <c r="N729" s="154"/>
      <c r="Q729" s="154"/>
    </row>
    <row r="730" spans="8:17">
      <c r="H730" s="154"/>
      <c r="K730" s="154"/>
      <c r="N730" s="154"/>
      <c r="Q730" s="154"/>
    </row>
    <row r="731" spans="8:17">
      <c r="H731" s="154"/>
      <c r="K731" s="154"/>
      <c r="N731" s="154"/>
      <c r="Q731" s="154"/>
    </row>
    <row r="732" spans="8:17">
      <c r="H732" s="154"/>
      <c r="K732" s="154"/>
      <c r="N732" s="154"/>
      <c r="Q732" s="154"/>
    </row>
    <row r="733" spans="8:17">
      <c r="H733" s="154"/>
      <c r="K733" s="154"/>
      <c r="N733" s="154"/>
      <c r="Q733" s="154"/>
    </row>
    <row r="734" spans="8:17">
      <c r="H734" s="154"/>
      <c r="K734" s="154"/>
      <c r="N734" s="154"/>
      <c r="Q734" s="154"/>
    </row>
    <row r="735" spans="8:17">
      <c r="H735" s="154"/>
      <c r="K735" s="154"/>
      <c r="N735" s="154"/>
      <c r="Q735" s="154"/>
    </row>
    <row r="736" spans="8:17">
      <c r="H736" s="154"/>
      <c r="K736" s="154"/>
      <c r="N736" s="154"/>
      <c r="Q736" s="154"/>
    </row>
    <row r="737" spans="8:17">
      <c r="H737" s="154"/>
      <c r="K737" s="154"/>
      <c r="N737" s="154"/>
      <c r="Q737" s="154"/>
    </row>
    <row r="738" spans="8:17">
      <c r="H738" s="154"/>
      <c r="K738" s="154"/>
      <c r="N738" s="154"/>
      <c r="Q738" s="154"/>
    </row>
    <row r="739" spans="8:17">
      <c r="H739" s="154"/>
      <c r="K739" s="154"/>
      <c r="N739" s="154"/>
      <c r="Q739" s="154"/>
    </row>
    <row r="740" spans="8:17">
      <c r="H740" s="154"/>
      <c r="K740" s="154"/>
      <c r="N740" s="154"/>
      <c r="Q740" s="154"/>
    </row>
    <row r="741" spans="8:17">
      <c r="H741" s="154"/>
      <c r="K741" s="154"/>
      <c r="N741" s="154"/>
      <c r="Q741" s="154"/>
    </row>
    <row r="742" spans="8:17">
      <c r="H742" s="154"/>
      <c r="K742" s="154"/>
      <c r="N742" s="154"/>
      <c r="Q742" s="154"/>
    </row>
    <row r="743" spans="8:17">
      <c r="H743" s="154"/>
      <c r="K743" s="154"/>
      <c r="N743" s="154"/>
      <c r="Q743" s="154"/>
    </row>
    <row r="744" spans="8:17">
      <c r="H744" s="154"/>
      <c r="K744" s="154"/>
      <c r="N744" s="154"/>
      <c r="Q744" s="154"/>
    </row>
    <row r="745" spans="8:17">
      <c r="H745" s="154"/>
      <c r="K745" s="154"/>
      <c r="N745" s="154"/>
      <c r="Q745" s="154"/>
    </row>
    <row r="746" spans="8:17">
      <c r="H746" s="154"/>
      <c r="K746" s="154"/>
      <c r="N746" s="154"/>
      <c r="Q746" s="154"/>
    </row>
    <row r="747" spans="8:17">
      <c r="H747" s="154"/>
      <c r="K747" s="154"/>
      <c r="N747" s="154"/>
      <c r="Q747" s="154"/>
    </row>
    <row r="748" spans="8:17">
      <c r="H748" s="154"/>
      <c r="K748" s="154"/>
      <c r="N748" s="154"/>
      <c r="Q748" s="154"/>
    </row>
    <row r="749" spans="8:17">
      <c r="H749" s="154"/>
      <c r="K749" s="154"/>
      <c r="N749" s="154"/>
      <c r="Q749" s="154"/>
    </row>
    <row r="750" spans="8:17">
      <c r="H750" s="154"/>
      <c r="K750" s="154"/>
      <c r="N750" s="154"/>
      <c r="Q750" s="154"/>
    </row>
    <row r="751" spans="8:17">
      <c r="H751" s="154"/>
      <c r="K751" s="154"/>
      <c r="N751" s="154"/>
      <c r="Q751" s="154"/>
    </row>
    <row r="752" spans="8:17">
      <c r="H752" s="154"/>
      <c r="K752" s="154"/>
      <c r="N752" s="154"/>
      <c r="Q752" s="154"/>
    </row>
    <row r="753" spans="8:17">
      <c r="H753" s="154"/>
      <c r="K753" s="154"/>
      <c r="N753" s="154"/>
      <c r="Q753" s="154"/>
    </row>
    <row r="754" spans="8:17">
      <c r="H754" s="154"/>
      <c r="K754" s="154"/>
      <c r="N754" s="154"/>
      <c r="Q754" s="154"/>
    </row>
    <row r="755" spans="8:17">
      <c r="H755" s="154"/>
      <c r="K755" s="154"/>
      <c r="N755" s="154"/>
      <c r="Q755" s="154"/>
    </row>
    <row r="756" spans="8:17">
      <c r="H756" s="154"/>
      <c r="K756" s="154"/>
      <c r="N756" s="154"/>
      <c r="Q756" s="154"/>
    </row>
    <row r="757" spans="8:17">
      <c r="H757" s="154"/>
      <c r="K757" s="154"/>
      <c r="N757" s="154"/>
      <c r="Q757" s="154"/>
    </row>
    <row r="758" spans="8:17">
      <c r="H758" s="154"/>
      <c r="K758" s="154"/>
      <c r="N758" s="154"/>
      <c r="Q758" s="154"/>
    </row>
    <row r="759" spans="8:17">
      <c r="H759" s="154"/>
      <c r="K759" s="154"/>
      <c r="N759" s="154"/>
      <c r="Q759" s="154"/>
    </row>
    <row r="760" spans="8:17">
      <c r="H760" s="154"/>
      <c r="K760" s="154"/>
      <c r="N760" s="154"/>
      <c r="Q760" s="154"/>
    </row>
    <row r="761" spans="8:17">
      <c r="H761" s="154"/>
      <c r="K761" s="154"/>
      <c r="N761" s="154"/>
      <c r="Q761" s="154"/>
    </row>
    <row r="762" spans="8:17">
      <c r="H762" s="154"/>
      <c r="K762" s="154"/>
      <c r="N762" s="154"/>
      <c r="Q762" s="154"/>
    </row>
    <row r="763" spans="8:17">
      <c r="H763" s="154"/>
      <c r="K763" s="154"/>
      <c r="N763" s="154"/>
      <c r="Q763" s="154"/>
    </row>
    <row r="764" spans="8:17">
      <c r="H764" s="154"/>
      <c r="K764" s="154"/>
      <c r="N764" s="154"/>
      <c r="Q764" s="154"/>
    </row>
    <row r="765" spans="8:17">
      <c r="H765" s="154"/>
      <c r="K765" s="154"/>
      <c r="N765" s="154"/>
      <c r="Q765" s="154"/>
    </row>
    <row r="766" spans="8:17">
      <c r="H766" s="154"/>
      <c r="K766" s="154"/>
      <c r="N766" s="154"/>
      <c r="Q766" s="154"/>
    </row>
    <row r="767" spans="8:17">
      <c r="H767" s="154"/>
      <c r="K767" s="154"/>
      <c r="N767" s="154"/>
      <c r="Q767" s="154"/>
    </row>
    <row r="768" spans="8:17">
      <c r="H768" s="154"/>
      <c r="K768" s="154"/>
      <c r="N768" s="154"/>
      <c r="Q768" s="154"/>
    </row>
    <row r="769" spans="8:17">
      <c r="H769" s="154"/>
      <c r="K769" s="154"/>
      <c r="N769" s="154"/>
      <c r="Q769" s="154"/>
    </row>
    <row r="770" spans="8:17">
      <c r="H770" s="154"/>
      <c r="K770" s="154"/>
      <c r="N770" s="154"/>
      <c r="Q770" s="154"/>
    </row>
    <row r="771" spans="8:17">
      <c r="H771" s="154"/>
      <c r="K771" s="154"/>
      <c r="N771" s="154"/>
      <c r="Q771" s="154"/>
    </row>
    <row r="772" spans="8:17">
      <c r="H772" s="154"/>
      <c r="K772" s="154"/>
      <c r="N772" s="154"/>
      <c r="Q772" s="154"/>
    </row>
    <row r="773" spans="8:17">
      <c r="H773" s="154"/>
      <c r="K773" s="154"/>
      <c r="N773" s="154"/>
      <c r="Q773" s="154"/>
    </row>
    <row r="774" spans="8:17">
      <c r="H774" s="154"/>
      <c r="K774" s="154"/>
      <c r="N774" s="154"/>
      <c r="Q774" s="154"/>
    </row>
    <row r="775" spans="8:17">
      <c r="H775" s="154"/>
      <c r="K775" s="154"/>
      <c r="N775" s="154"/>
      <c r="Q775" s="154"/>
    </row>
    <row r="776" spans="8:17">
      <c r="H776" s="154"/>
      <c r="K776" s="154"/>
      <c r="N776" s="154"/>
      <c r="Q776" s="154"/>
    </row>
    <row r="777" spans="8:17">
      <c r="H777" s="154"/>
      <c r="K777" s="154"/>
      <c r="N777" s="154"/>
      <c r="Q777" s="154"/>
    </row>
    <row r="778" spans="8:17">
      <c r="H778" s="154"/>
      <c r="K778" s="154"/>
      <c r="N778" s="154"/>
      <c r="Q778" s="154"/>
    </row>
    <row r="779" spans="8:17">
      <c r="H779" s="154"/>
      <c r="K779" s="154"/>
      <c r="N779" s="154"/>
      <c r="Q779" s="154"/>
    </row>
    <row r="780" spans="8:17">
      <c r="H780" s="154"/>
      <c r="K780" s="154"/>
      <c r="N780" s="154"/>
      <c r="Q780" s="154"/>
    </row>
    <row r="781" spans="8:17">
      <c r="H781" s="154"/>
      <c r="K781" s="154"/>
      <c r="N781" s="154"/>
      <c r="Q781" s="154"/>
    </row>
    <row r="782" spans="8:17">
      <c r="H782" s="154"/>
      <c r="K782" s="154"/>
      <c r="N782" s="154"/>
      <c r="Q782" s="154"/>
    </row>
    <row r="783" spans="8:17">
      <c r="H783" s="154"/>
      <c r="K783" s="154"/>
      <c r="N783" s="154"/>
      <c r="Q783" s="154"/>
    </row>
    <row r="784" spans="8:17">
      <c r="H784" s="154"/>
      <c r="K784" s="154"/>
      <c r="N784" s="154"/>
      <c r="Q784" s="154"/>
    </row>
    <row r="785" spans="8:17">
      <c r="H785" s="154"/>
      <c r="K785" s="154"/>
      <c r="N785" s="154"/>
      <c r="Q785" s="154"/>
    </row>
    <row r="786" spans="8:17">
      <c r="H786" s="154"/>
      <c r="K786" s="154"/>
      <c r="N786" s="154"/>
      <c r="Q786" s="154"/>
    </row>
    <row r="787" spans="8:17">
      <c r="H787" s="154"/>
      <c r="K787" s="154"/>
      <c r="N787" s="154"/>
      <c r="Q787" s="154"/>
    </row>
    <row r="788" spans="8:17">
      <c r="H788" s="154"/>
      <c r="K788" s="154"/>
      <c r="N788" s="154"/>
      <c r="Q788" s="154"/>
    </row>
    <row r="789" spans="8:17">
      <c r="H789" s="154"/>
      <c r="K789" s="154"/>
      <c r="N789" s="154"/>
      <c r="Q789" s="154"/>
    </row>
    <row r="790" spans="8:17">
      <c r="H790" s="154"/>
      <c r="K790" s="154"/>
      <c r="N790" s="154"/>
      <c r="Q790" s="154"/>
    </row>
    <row r="791" spans="8:17">
      <c r="H791" s="154"/>
      <c r="K791" s="154"/>
      <c r="N791" s="154"/>
      <c r="Q791" s="154"/>
    </row>
    <row r="792" spans="8:17">
      <c r="H792" s="154"/>
      <c r="K792" s="154"/>
      <c r="N792" s="154"/>
      <c r="Q792" s="154"/>
    </row>
    <row r="793" spans="8:17">
      <c r="H793" s="154"/>
      <c r="K793" s="154"/>
      <c r="N793" s="154"/>
      <c r="Q793" s="154"/>
    </row>
    <row r="794" spans="8:17">
      <c r="H794" s="154"/>
      <c r="K794" s="154"/>
      <c r="N794" s="154"/>
      <c r="Q794" s="154"/>
    </row>
    <row r="795" spans="8:17">
      <c r="H795" s="154"/>
      <c r="K795" s="154"/>
      <c r="N795" s="154"/>
      <c r="Q795" s="154"/>
    </row>
    <row r="796" spans="8:17">
      <c r="H796" s="154"/>
      <c r="K796" s="154"/>
      <c r="N796" s="154"/>
      <c r="Q796" s="154"/>
    </row>
    <row r="797" spans="8:17">
      <c r="H797" s="154"/>
      <c r="K797" s="154"/>
      <c r="N797" s="154"/>
      <c r="Q797" s="154"/>
    </row>
    <row r="798" spans="8:17">
      <c r="H798" s="154"/>
      <c r="K798" s="154"/>
      <c r="N798" s="154"/>
      <c r="Q798" s="154"/>
    </row>
    <row r="799" spans="8:17">
      <c r="H799" s="154"/>
      <c r="K799" s="154"/>
      <c r="N799" s="154"/>
      <c r="Q799" s="154"/>
    </row>
    <row r="800" spans="8:17">
      <c r="H800" s="154"/>
      <c r="K800" s="154"/>
      <c r="N800" s="154"/>
      <c r="Q800" s="154"/>
    </row>
    <row r="801" spans="8:17">
      <c r="H801" s="154"/>
      <c r="K801" s="154"/>
      <c r="N801" s="154"/>
      <c r="Q801" s="154"/>
    </row>
    <row r="802" spans="8:17">
      <c r="H802" s="154"/>
      <c r="K802" s="154"/>
      <c r="N802" s="154"/>
      <c r="Q802" s="154"/>
    </row>
    <row r="803" spans="8:17">
      <c r="H803" s="154"/>
      <c r="K803" s="154"/>
      <c r="N803" s="154"/>
      <c r="Q803" s="154"/>
    </row>
    <row r="804" spans="8:17">
      <c r="H804" s="154"/>
      <c r="K804" s="154"/>
      <c r="N804" s="154"/>
      <c r="Q804" s="154"/>
    </row>
    <row r="805" spans="8:17">
      <c r="H805" s="154"/>
      <c r="K805" s="154"/>
      <c r="N805" s="154"/>
      <c r="Q805" s="154"/>
    </row>
    <row r="806" spans="8:17">
      <c r="H806" s="154"/>
      <c r="K806" s="154"/>
      <c r="N806" s="154"/>
      <c r="Q806" s="154"/>
    </row>
    <row r="807" spans="8:17">
      <c r="H807" s="154"/>
      <c r="K807" s="154"/>
      <c r="N807" s="154"/>
      <c r="Q807" s="154"/>
    </row>
    <row r="808" spans="8:17">
      <c r="H808" s="154"/>
      <c r="K808" s="154"/>
      <c r="N808" s="154"/>
      <c r="Q808" s="154"/>
    </row>
    <row r="809" spans="8:17">
      <c r="H809" s="154"/>
      <c r="K809" s="154"/>
      <c r="N809" s="154"/>
      <c r="Q809" s="154"/>
    </row>
    <row r="810" spans="8:17">
      <c r="H810" s="154"/>
      <c r="K810" s="154"/>
      <c r="N810" s="154"/>
      <c r="Q810" s="154"/>
    </row>
    <row r="811" spans="8:17">
      <c r="H811" s="154"/>
      <c r="K811" s="154"/>
      <c r="N811" s="154"/>
      <c r="Q811" s="154"/>
    </row>
    <row r="812" spans="8:17">
      <c r="H812" s="154"/>
      <c r="K812" s="154"/>
      <c r="N812" s="154"/>
      <c r="Q812" s="154"/>
    </row>
    <row r="813" spans="8:17">
      <c r="H813" s="154"/>
      <c r="K813" s="154"/>
      <c r="N813" s="154"/>
      <c r="Q813" s="154"/>
    </row>
    <row r="814" spans="8:17">
      <c r="H814" s="154"/>
      <c r="K814" s="154"/>
      <c r="N814" s="154"/>
      <c r="Q814" s="154"/>
    </row>
    <row r="815" spans="8:17">
      <c r="H815" s="154"/>
      <c r="K815" s="154"/>
      <c r="N815" s="154"/>
      <c r="Q815" s="154"/>
    </row>
    <row r="816" spans="8:17">
      <c r="H816" s="154"/>
      <c r="K816" s="154"/>
      <c r="N816" s="154"/>
      <c r="Q816" s="154"/>
    </row>
    <row r="817" spans="8:17">
      <c r="H817" s="154"/>
      <c r="K817" s="154"/>
      <c r="N817" s="154"/>
      <c r="Q817" s="154"/>
    </row>
    <row r="818" spans="8:17">
      <c r="H818" s="154"/>
      <c r="K818" s="154"/>
      <c r="N818" s="154"/>
      <c r="Q818" s="154"/>
    </row>
    <row r="819" spans="8:17">
      <c r="H819" s="154"/>
      <c r="K819" s="154"/>
      <c r="N819" s="154"/>
      <c r="Q819" s="154"/>
    </row>
    <row r="820" spans="8:17">
      <c r="H820" s="154"/>
      <c r="K820" s="154"/>
      <c r="N820" s="154"/>
      <c r="Q820" s="154"/>
    </row>
    <row r="821" spans="8:17">
      <c r="H821" s="154"/>
      <c r="K821" s="154"/>
      <c r="N821" s="154"/>
      <c r="Q821" s="154"/>
    </row>
    <row r="822" spans="8:17">
      <c r="H822" s="154"/>
      <c r="K822" s="154"/>
      <c r="N822" s="154"/>
      <c r="Q822" s="154"/>
    </row>
    <row r="823" spans="8:17">
      <c r="H823" s="154"/>
      <c r="K823" s="154"/>
      <c r="N823" s="154"/>
      <c r="Q823" s="154"/>
    </row>
    <row r="824" spans="8:17">
      <c r="H824" s="154"/>
      <c r="K824" s="154"/>
      <c r="N824" s="154"/>
      <c r="Q824" s="154"/>
    </row>
    <row r="825" spans="8:17">
      <c r="H825" s="154"/>
      <c r="K825" s="154"/>
      <c r="N825" s="154"/>
      <c r="Q825" s="154"/>
    </row>
    <row r="826" spans="8:17">
      <c r="H826" s="154"/>
      <c r="K826" s="154"/>
      <c r="N826" s="154"/>
      <c r="Q826" s="154"/>
    </row>
    <row r="827" spans="8:17">
      <c r="H827" s="154"/>
      <c r="K827" s="154"/>
      <c r="N827" s="154"/>
      <c r="Q827" s="154"/>
    </row>
    <row r="828" spans="8:17">
      <c r="H828" s="154"/>
      <c r="K828" s="154"/>
      <c r="N828" s="154"/>
      <c r="Q828" s="154"/>
    </row>
    <row r="829" spans="8:17">
      <c r="H829" s="154"/>
      <c r="K829" s="154"/>
      <c r="N829" s="154"/>
      <c r="Q829" s="154"/>
    </row>
    <row r="830" spans="8:17">
      <c r="H830" s="154"/>
      <c r="K830" s="154"/>
      <c r="N830" s="154"/>
      <c r="Q830" s="154"/>
    </row>
    <row r="831" spans="8:17">
      <c r="H831" s="154"/>
      <c r="K831" s="154"/>
      <c r="N831" s="154"/>
      <c r="Q831" s="154"/>
    </row>
    <row r="832" spans="8:17">
      <c r="H832" s="154"/>
      <c r="K832" s="154"/>
      <c r="N832" s="154"/>
      <c r="Q832" s="154"/>
    </row>
    <row r="833" spans="8:17">
      <c r="H833" s="154"/>
      <c r="K833" s="154"/>
      <c r="N833" s="154"/>
      <c r="Q833" s="154"/>
    </row>
    <row r="834" spans="8:17">
      <c r="H834" s="154"/>
      <c r="K834" s="154"/>
      <c r="N834" s="154"/>
      <c r="Q834" s="154"/>
    </row>
    <row r="835" spans="8:17">
      <c r="H835" s="154"/>
      <c r="K835" s="154"/>
      <c r="N835" s="154"/>
      <c r="Q835" s="154"/>
    </row>
    <row r="836" spans="8:17">
      <c r="H836" s="154"/>
      <c r="K836" s="154"/>
      <c r="N836" s="154"/>
      <c r="Q836" s="154"/>
    </row>
    <row r="837" spans="8:17">
      <c r="H837" s="154"/>
      <c r="K837" s="154"/>
      <c r="N837" s="154"/>
      <c r="Q837" s="154"/>
    </row>
    <row r="838" spans="8:17">
      <c r="H838" s="154"/>
      <c r="K838" s="154"/>
      <c r="N838" s="154"/>
      <c r="Q838" s="154"/>
    </row>
    <row r="839" spans="8:17">
      <c r="H839" s="154"/>
      <c r="K839" s="154"/>
      <c r="N839" s="154"/>
      <c r="Q839" s="154"/>
    </row>
    <row r="840" spans="8:17">
      <c r="H840" s="154"/>
      <c r="K840" s="154"/>
      <c r="N840" s="154"/>
      <c r="Q840" s="154"/>
    </row>
    <row r="841" spans="8:17">
      <c r="H841" s="154"/>
      <c r="K841" s="154"/>
      <c r="N841" s="154"/>
      <c r="Q841" s="154"/>
    </row>
    <row r="842" spans="8:17">
      <c r="H842" s="154"/>
      <c r="K842" s="154"/>
      <c r="N842" s="154"/>
      <c r="Q842" s="154"/>
    </row>
    <row r="843" spans="8:17">
      <c r="H843" s="154"/>
      <c r="K843" s="154"/>
      <c r="N843" s="154"/>
      <c r="Q843" s="154"/>
    </row>
    <row r="844" spans="8:17">
      <c r="H844" s="154"/>
      <c r="K844" s="154"/>
      <c r="N844" s="154"/>
      <c r="Q844" s="154"/>
    </row>
    <row r="845" spans="8:17">
      <c r="H845" s="154"/>
      <c r="K845" s="154"/>
      <c r="N845" s="154"/>
      <c r="Q845" s="154"/>
    </row>
    <row r="846" spans="8:17">
      <c r="H846" s="154"/>
      <c r="K846" s="154"/>
      <c r="N846" s="154"/>
      <c r="Q846" s="154"/>
    </row>
    <row r="847" spans="8:17">
      <c r="H847" s="154"/>
      <c r="K847" s="154"/>
      <c r="N847" s="154"/>
      <c r="Q847" s="154"/>
    </row>
    <row r="848" spans="8:17">
      <c r="H848" s="154"/>
      <c r="K848" s="154"/>
      <c r="N848" s="154"/>
      <c r="Q848" s="154"/>
    </row>
    <row r="849" spans="8:17">
      <c r="H849" s="154"/>
      <c r="K849" s="154"/>
      <c r="N849" s="154"/>
      <c r="Q849" s="154"/>
    </row>
    <row r="850" spans="8:17">
      <c r="H850" s="154"/>
      <c r="K850" s="154"/>
      <c r="N850" s="154"/>
      <c r="Q850" s="154"/>
    </row>
    <row r="851" spans="8:17">
      <c r="H851" s="154"/>
      <c r="K851" s="154"/>
      <c r="N851" s="154"/>
      <c r="Q851" s="154"/>
    </row>
    <row r="852" spans="8:17">
      <c r="H852" s="154"/>
      <c r="K852" s="154"/>
      <c r="N852" s="154"/>
      <c r="Q852" s="154"/>
    </row>
    <row r="853" spans="8:17">
      <c r="H853" s="154"/>
      <c r="K853" s="154"/>
      <c r="N853" s="154"/>
      <c r="Q853" s="154"/>
    </row>
    <row r="854" spans="8:17">
      <c r="H854" s="154"/>
      <c r="K854" s="154"/>
      <c r="N854" s="154"/>
      <c r="Q854" s="154"/>
    </row>
    <row r="855" spans="8:17">
      <c r="H855" s="154"/>
      <c r="K855" s="154"/>
      <c r="N855" s="154"/>
      <c r="Q855" s="154"/>
    </row>
    <row r="856" spans="8:17">
      <c r="H856" s="154"/>
      <c r="K856" s="154"/>
      <c r="N856" s="154"/>
      <c r="Q856" s="154"/>
    </row>
    <row r="857" spans="8:17">
      <c r="H857" s="154"/>
      <c r="K857" s="154"/>
      <c r="N857" s="154"/>
      <c r="Q857" s="154"/>
    </row>
    <row r="858" spans="8:17">
      <c r="H858" s="154"/>
      <c r="K858" s="154"/>
      <c r="N858" s="154"/>
      <c r="Q858" s="154"/>
    </row>
    <row r="859" spans="8:17">
      <c r="H859" s="154"/>
      <c r="K859" s="154"/>
      <c r="N859" s="154"/>
      <c r="Q859" s="154"/>
    </row>
    <row r="860" spans="8:17">
      <c r="H860" s="154"/>
      <c r="K860" s="154"/>
      <c r="N860" s="154"/>
      <c r="Q860" s="154"/>
    </row>
    <row r="861" spans="8:17">
      <c r="H861" s="154"/>
      <c r="K861" s="154"/>
      <c r="N861" s="154"/>
      <c r="Q861" s="154"/>
    </row>
    <row r="862" spans="8:17">
      <c r="H862" s="154"/>
      <c r="K862" s="154"/>
      <c r="N862" s="154"/>
      <c r="Q862" s="154"/>
    </row>
    <row r="863" spans="8:17">
      <c r="H863" s="154"/>
      <c r="K863" s="154"/>
      <c r="N863" s="154"/>
      <c r="Q863" s="154"/>
    </row>
    <row r="864" spans="8:17">
      <c r="H864" s="154"/>
      <c r="K864" s="154"/>
      <c r="N864" s="154"/>
      <c r="Q864" s="154"/>
    </row>
    <row r="865" spans="8:17">
      <c r="H865" s="154"/>
      <c r="K865" s="154"/>
      <c r="N865" s="154"/>
      <c r="Q865" s="154"/>
    </row>
    <row r="866" spans="8:17">
      <c r="H866" s="154"/>
      <c r="K866" s="154"/>
      <c r="N866" s="154"/>
      <c r="Q866" s="154"/>
    </row>
    <row r="867" spans="8:17">
      <c r="H867" s="154"/>
      <c r="K867" s="154"/>
      <c r="N867" s="154"/>
      <c r="Q867" s="154"/>
    </row>
    <row r="868" spans="8:17">
      <c r="H868" s="154"/>
      <c r="K868" s="154"/>
      <c r="N868" s="154"/>
      <c r="Q868" s="154"/>
    </row>
    <row r="869" spans="8:17">
      <c r="H869" s="154"/>
      <c r="K869" s="154"/>
      <c r="N869" s="154"/>
      <c r="Q869" s="154"/>
    </row>
    <row r="870" spans="8:17">
      <c r="H870" s="154"/>
      <c r="K870" s="154"/>
      <c r="N870" s="154"/>
      <c r="Q870" s="154"/>
    </row>
    <row r="871" spans="8:17">
      <c r="H871" s="154"/>
      <c r="K871" s="154"/>
      <c r="N871" s="154"/>
      <c r="Q871" s="154"/>
    </row>
    <row r="872" spans="8:17">
      <c r="H872" s="154"/>
      <c r="K872" s="154"/>
      <c r="N872" s="154"/>
      <c r="Q872" s="154"/>
    </row>
    <row r="873" spans="8:17">
      <c r="H873" s="154"/>
      <c r="K873" s="154"/>
      <c r="N873" s="154"/>
      <c r="Q873" s="154"/>
    </row>
    <row r="874" spans="8:17">
      <c r="H874" s="154"/>
      <c r="K874" s="154"/>
      <c r="N874" s="154"/>
      <c r="Q874" s="154"/>
    </row>
    <row r="875" spans="8:17">
      <c r="H875" s="154"/>
      <c r="K875" s="154"/>
      <c r="N875" s="154"/>
      <c r="Q875" s="154"/>
    </row>
    <row r="876" spans="8:17">
      <c r="H876" s="154"/>
      <c r="K876" s="154"/>
      <c r="N876" s="154"/>
      <c r="Q876" s="154"/>
    </row>
    <row r="877" spans="8:17">
      <c r="H877" s="154"/>
      <c r="K877" s="154"/>
      <c r="N877" s="154"/>
      <c r="Q877" s="154"/>
    </row>
    <row r="878" spans="8:17">
      <c r="H878" s="154"/>
      <c r="K878" s="154"/>
      <c r="N878" s="154"/>
      <c r="Q878" s="154"/>
    </row>
    <row r="879" spans="8:17">
      <c r="H879" s="154"/>
      <c r="K879" s="154"/>
      <c r="N879" s="154"/>
      <c r="Q879" s="154"/>
    </row>
    <row r="880" spans="8:17">
      <c r="H880" s="154"/>
      <c r="K880" s="154"/>
      <c r="N880" s="154"/>
      <c r="Q880" s="154"/>
    </row>
    <row r="881" spans="8:17">
      <c r="H881" s="154"/>
      <c r="K881" s="154"/>
      <c r="N881" s="154"/>
      <c r="Q881" s="154"/>
    </row>
    <row r="882" spans="8:17">
      <c r="H882" s="154"/>
      <c r="K882" s="154"/>
      <c r="N882" s="154"/>
      <c r="Q882" s="154"/>
    </row>
    <row r="883" spans="8:17">
      <c r="H883" s="154"/>
      <c r="K883" s="154"/>
      <c r="N883" s="154"/>
      <c r="Q883" s="154"/>
    </row>
    <row r="884" spans="8:17">
      <c r="H884" s="154"/>
      <c r="K884" s="154"/>
      <c r="N884" s="154"/>
      <c r="Q884" s="154"/>
    </row>
    <row r="885" spans="8:17">
      <c r="H885" s="154"/>
      <c r="K885" s="154"/>
      <c r="N885" s="154"/>
      <c r="Q885" s="154"/>
    </row>
    <row r="886" spans="8:17">
      <c r="H886" s="154"/>
      <c r="K886" s="154"/>
      <c r="N886" s="154"/>
      <c r="Q886" s="154"/>
    </row>
    <row r="887" spans="8:17">
      <c r="H887" s="154"/>
      <c r="K887" s="154"/>
      <c r="N887" s="154"/>
      <c r="Q887" s="154"/>
    </row>
    <row r="888" spans="8:17">
      <c r="H888" s="154"/>
      <c r="K888" s="154"/>
      <c r="N888" s="154"/>
      <c r="Q888" s="154"/>
    </row>
    <row r="889" spans="8:17">
      <c r="H889" s="154"/>
      <c r="K889" s="154"/>
      <c r="N889" s="154"/>
      <c r="Q889" s="154"/>
    </row>
    <row r="890" spans="8:17">
      <c r="H890" s="154"/>
      <c r="K890" s="154"/>
      <c r="N890" s="154"/>
      <c r="Q890" s="154"/>
    </row>
    <row r="891" spans="8:17">
      <c r="H891" s="154"/>
      <c r="K891" s="154"/>
      <c r="N891" s="154"/>
      <c r="Q891" s="154"/>
    </row>
    <row r="892" spans="8:17">
      <c r="H892" s="154"/>
      <c r="K892" s="154"/>
      <c r="N892" s="154"/>
      <c r="Q892" s="154"/>
    </row>
    <row r="893" spans="8:17">
      <c r="H893" s="154"/>
      <c r="K893" s="154"/>
      <c r="N893" s="154"/>
      <c r="Q893" s="154"/>
    </row>
    <row r="894" spans="8:17">
      <c r="H894" s="154"/>
      <c r="K894" s="154"/>
      <c r="N894" s="154"/>
      <c r="Q894" s="154"/>
    </row>
    <row r="895" spans="8:17">
      <c r="H895" s="154"/>
      <c r="K895" s="154"/>
      <c r="N895" s="154"/>
      <c r="Q895" s="154"/>
    </row>
    <row r="896" spans="8:17">
      <c r="H896" s="154"/>
      <c r="K896" s="154"/>
      <c r="N896" s="154"/>
      <c r="Q896" s="154"/>
    </row>
    <row r="897" spans="8:17">
      <c r="H897" s="154"/>
      <c r="K897" s="154"/>
      <c r="N897" s="154"/>
      <c r="Q897" s="154"/>
    </row>
    <row r="898" spans="8:17">
      <c r="H898" s="154"/>
      <c r="K898" s="154"/>
      <c r="N898" s="154"/>
      <c r="Q898" s="154"/>
    </row>
    <row r="899" spans="8:17">
      <c r="H899" s="154"/>
      <c r="K899" s="154"/>
      <c r="N899" s="154"/>
      <c r="Q899" s="154"/>
    </row>
    <row r="900" spans="8:17">
      <c r="H900" s="154"/>
      <c r="K900" s="154"/>
      <c r="N900" s="154"/>
      <c r="Q900" s="154"/>
    </row>
    <row r="901" spans="8:17">
      <c r="H901" s="154"/>
      <c r="K901" s="154"/>
      <c r="N901" s="154"/>
      <c r="Q901" s="154"/>
    </row>
    <row r="902" spans="8:17">
      <c r="H902" s="154"/>
      <c r="K902" s="154"/>
      <c r="N902" s="154"/>
      <c r="Q902" s="154"/>
    </row>
    <row r="903" spans="8:17">
      <c r="H903" s="154"/>
      <c r="K903" s="154"/>
      <c r="N903" s="154"/>
      <c r="Q903" s="154"/>
    </row>
    <row r="904" spans="8:17">
      <c r="H904" s="154"/>
      <c r="K904" s="154"/>
      <c r="N904" s="154"/>
      <c r="Q904" s="154"/>
    </row>
    <row r="905" spans="8:17">
      <c r="H905" s="154"/>
      <c r="K905" s="154"/>
      <c r="N905" s="154"/>
      <c r="Q905" s="154"/>
    </row>
    <row r="906" spans="8:17">
      <c r="H906" s="154"/>
      <c r="K906" s="154"/>
      <c r="N906" s="154"/>
      <c r="Q906" s="154"/>
    </row>
    <row r="907" spans="8:17">
      <c r="H907" s="154"/>
      <c r="K907" s="154"/>
      <c r="N907" s="154"/>
      <c r="Q907" s="154"/>
    </row>
    <row r="908" spans="8:17">
      <c r="H908" s="154"/>
      <c r="K908" s="154"/>
      <c r="N908" s="154"/>
      <c r="Q908" s="154"/>
    </row>
    <row r="909" spans="8:17">
      <c r="H909" s="154"/>
      <c r="K909" s="154"/>
      <c r="N909" s="154"/>
      <c r="Q909" s="154"/>
    </row>
    <row r="910" spans="8:17">
      <c r="H910" s="154"/>
      <c r="K910" s="154"/>
      <c r="N910" s="154"/>
      <c r="Q910" s="154"/>
    </row>
    <row r="911" spans="8:17">
      <c r="H911" s="154"/>
      <c r="K911" s="154"/>
      <c r="N911" s="154"/>
      <c r="Q911" s="154"/>
    </row>
    <row r="912" spans="8:17">
      <c r="H912" s="154"/>
      <c r="K912" s="154"/>
      <c r="N912" s="154"/>
      <c r="Q912" s="154"/>
    </row>
    <row r="913" spans="8:17">
      <c r="H913" s="154"/>
      <c r="K913" s="154"/>
      <c r="N913" s="154"/>
      <c r="Q913" s="154"/>
    </row>
    <row r="914" spans="8:17">
      <c r="H914" s="154"/>
      <c r="K914" s="154"/>
      <c r="N914" s="154"/>
      <c r="Q914" s="154"/>
    </row>
    <row r="915" spans="8:17">
      <c r="H915" s="154"/>
      <c r="K915" s="154"/>
      <c r="N915" s="154"/>
      <c r="Q915" s="154"/>
    </row>
    <row r="916" spans="8:17">
      <c r="H916" s="154"/>
      <c r="K916" s="154"/>
      <c r="N916" s="154"/>
      <c r="Q916" s="154"/>
    </row>
    <row r="917" spans="8:17">
      <c r="H917" s="154"/>
      <c r="K917" s="154"/>
      <c r="N917" s="154"/>
      <c r="Q917" s="154"/>
    </row>
    <row r="918" spans="8:17">
      <c r="H918" s="154"/>
      <c r="K918" s="154"/>
      <c r="N918" s="154"/>
      <c r="Q918" s="154"/>
    </row>
    <row r="919" spans="8:17">
      <c r="H919" s="154"/>
      <c r="K919" s="154"/>
      <c r="N919" s="154"/>
      <c r="Q919" s="154"/>
    </row>
    <row r="920" spans="8:17">
      <c r="H920" s="154"/>
      <c r="K920" s="154"/>
      <c r="N920" s="154"/>
      <c r="Q920" s="154"/>
    </row>
    <row r="921" spans="8:17">
      <c r="H921" s="154"/>
      <c r="K921" s="154"/>
      <c r="N921" s="154"/>
      <c r="Q921" s="154"/>
    </row>
    <row r="922" spans="8:17">
      <c r="H922" s="154"/>
      <c r="K922" s="154"/>
      <c r="N922" s="154"/>
      <c r="Q922" s="154"/>
    </row>
    <row r="923" spans="8:17">
      <c r="H923" s="154"/>
      <c r="K923" s="154"/>
      <c r="N923" s="154"/>
      <c r="Q923" s="154"/>
    </row>
    <row r="924" spans="8:17">
      <c r="H924" s="154"/>
      <c r="K924" s="154"/>
      <c r="N924" s="154"/>
      <c r="Q924" s="154"/>
    </row>
    <row r="925" spans="8:17">
      <c r="H925" s="154"/>
      <c r="K925" s="154"/>
      <c r="N925" s="154"/>
      <c r="Q925" s="154"/>
    </row>
    <row r="926" spans="8:17">
      <c r="H926" s="154"/>
      <c r="K926" s="154"/>
      <c r="N926" s="154"/>
      <c r="Q926" s="154"/>
    </row>
    <row r="927" spans="8:17">
      <c r="H927" s="154"/>
      <c r="K927" s="154"/>
      <c r="N927" s="154"/>
      <c r="Q927" s="154"/>
    </row>
    <row r="928" spans="8:17">
      <c r="H928" s="154"/>
      <c r="K928" s="154"/>
      <c r="N928" s="154"/>
      <c r="Q928" s="154"/>
    </row>
    <row r="929" spans="8:17">
      <c r="H929" s="154"/>
      <c r="K929" s="154"/>
      <c r="N929" s="154"/>
      <c r="Q929" s="154"/>
    </row>
    <row r="930" spans="8:17">
      <c r="H930" s="154"/>
      <c r="K930" s="154"/>
      <c r="N930" s="154"/>
      <c r="Q930" s="154"/>
    </row>
    <row r="931" spans="8:17">
      <c r="H931" s="154"/>
      <c r="K931" s="154"/>
      <c r="N931" s="154"/>
      <c r="Q931" s="154"/>
    </row>
    <row r="932" spans="8:17">
      <c r="H932" s="154"/>
      <c r="K932" s="154"/>
      <c r="N932" s="154"/>
      <c r="Q932" s="154"/>
    </row>
    <row r="933" spans="8:17">
      <c r="H933" s="154"/>
      <c r="K933" s="154"/>
      <c r="N933" s="154"/>
      <c r="Q933" s="154"/>
    </row>
    <row r="934" spans="8:17">
      <c r="H934" s="154"/>
      <c r="K934" s="154"/>
      <c r="N934" s="154"/>
      <c r="Q934" s="154"/>
    </row>
    <row r="935" spans="8:17">
      <c r="H935" s="154"/>
      <c r="K935" s="154"/>
      <c r="N935" s="154"/>
      <c r="Q935" s="154"/>
    </row>
    <row r="936" spans="8:17">
      <c r="H936" s="154"/>
      <c r="K936" s="154"/>
      <c r="N936" s="154"/>
      <c r="Q936" s="154"/>
    </row>
    <row r="937" spans="8:17">
      <c r="H937" s="154"/>
      <c r="K937" s="154"/>
      <c r="N937" s="154"/>
      <c r="Q937" s="154"/>
    </row>
    <row r="938" spans="8:17">
      <c r="H938" s="154"/>
      <c r="K938" s="154"/>
      <c r="N938" s="154"/>
      <c r="Q938" s="154"/>
    </row>
    <row r="939" spans="8:17">
      <c r="H939" s="154"/>
      <c r="K939" s="154"/>
      <c r="N939" s="154"/>
      <c r="Q939" s="154"/>
    </row>
    <row r="940" spans="8:17">
      <c r="H940" s="154"/>
      <c r="K940" s="154"/>
      <c r="N940" s="154"/>
      <c r="Q940" s="154"/>
    </row>
    <row r="941" spans="8:17">
      <c r="H941" s="154"/>
      <c r="K941" s="154"/>
      <c r="N941" s="154"/>
      <c r="Q941" s="154"/>
    </row>
    <row r="942" spans="8:17">
      <c r="H942" s="154"/>
      <c r="K942" s="154"/>
      <c r="N942" s="154"/>
      <c r="Q942" s="154"/>
    </row>
    <row r="943" spans="8:17">
      <c r="H943" s="154"/>
      <c r="K943" s="154"/>
      <c r="N943" s="154"/>
      <c r="Q943" s="154"/>
    </row>
    <row r="944" spans="8:17">
      <c r="H944" s="154"/>
      <c r="K944" s="154"/>
      <c r="N944" s="154"/>
      <c r="Q944" s="154"/>
    </row>
    <row r="945" spans="8:17">
      <c r="H945" s="154"/>
      <c r="K945" s="154"/>
      <c r="N945" s="154"/>
      <c r="Q945" s="154"/>
    </row>
    <row r="946" spans="8:17">
      <c r="H946" s="154"/>
      <c r="K946" s="154"/>
      <c r="N946" s="154"/>
      <c r="Q946" s="154"/>
    </row>
    <row r="947" spans="8:17">
      <c r="H947" s="154"/>
      <c r="K947" s="154"/>
      <c r="N947" s="154"/>
      <c r="Q947" s="154"/>
    </row>
    <row r="948" spans="8:17">
      <c r="H948" s="154"/>
      <c r="K948" s="154"/>
      <c r="N948" s="154"/>
      <c r="Q948" s="154"/>
    </row>
    <row r="949" spans="8:17">
      <c r="H949" s="154"/>
      <c r="K949" s="154"/>
      <c r="N949" s="154"/>
      <c r="Q949" s="154"/>
    </row>
    <row r="950" spans="8:17">
      <c r="H950" s="154"/>
      <c r="K950" s="154"/>
      <c r="N950" s="154"/>
      <c r="Q950" s="154"/>
    </row>
    <row r="951" spans="8:17">
      <c r="H951" s="154"/>
      <c r="K951" s="154"/>
      <c r="N951" s="154"/>
      <c r="Q951" s="154"/>
    </row>
    <row r="952" spans="8:17">
      <c r="H952" s="154"/>
      <c r="K952" s="154"/>
      <c r="N952" s="154"/>
      <c r="Q952" s="154"/>
    </row>
    <row r="953" spans="8:17">
      <c r="H953" s="154"/>
      <c r="K953" s="154"/>
      <c r="N953" s="154"/>
      <c r="Q953" s="154"/>
    </row>
    <row r="954" spans="8:17">
      <c r="H954" s="154"/>
      <c r="K954" s="154"/>
      <c r="N954" s="154"/>
      <c r="Q954" s="154"/>
    </row>
    <row r="955" spans="8:17">
      <c r="H955" s="154"/>
      <c r="K955" s="154"/>
      <c r="N955" s="154"/>
      <c r="Q955" s="154"/>
    </row>
    <row r="956" spans="8:17">
      <c r="H956" s="154"/>
      <c r="K956" s="154"/>
      <c r="N956" s="154"/>
      <c r="Q956" s="154"/>
    </row>
    <row r="957" spans="8:17">
      <c r="H957" s="154"/>
      <c r="K957" s="154"/>
      <c r="N957" s="154"/>
      <c r="Q957" s="154"/>
    </row>
    <row r="958" spans="8:17">
      <c r="H958" s="154"/>
      <c r="K958" s="154"/>
      <c r="N958" s="154"/>
      <c r="Q958" s="154"/>
    </row>
    <row r="959" spans="8:17">
      <c r="H959" s="154"/>
      <c r="K959" s="154"/>
      <c r="N959" s="154"/>
      <c r="Q959" s="154"/>
    </row>
    <row r="960" spans="8:17">
      <c r="H960" s="154"/>
      <c r="K960" s="154"/>
      <c r="N960" s="154"/>
      <c r="Q960" s="154"/>
    </row>
    <row r="961" spans="8:17">
      <c r="H961" s="154"/>
      <c r="K961" s="154"/>
      <c r="N961" s="154"/>
      <c r="Q961" s="154"/>
    </row>
    <row r="962" spans="8:17">
      <c r="H962" s="154"/>
      <c r="K962" s="154"/>
      <c r="N962" s="154"/>
      <c r="Q962" s="154"/>
    </row>
    <row r="963" spans="8:17">
      <c r="H963" s="154"/>
      <c r="K963" s="154"/>
      <c r="N963" s="154"/>
      <c r="Q963" s="154"/>
    </row>
    <row r="964" spans="8:17">
      <c r="H964" s="154"/>
      <c r="K964" s="154"/>
      <c r="N964" s="154"/>
      <c r="Q964" s="154"/>
    </row>
    <row r="965" spans="8:17">
      <c r="H965" s="154"/>
      <c r="K965" s="154"/>
      <c r="N965" s="154"/>
      <c r="Q965" s="154"/>
    </row>
    <row r="966" spans="8:17">
      <c r="H966" s="154"/>
      <c r="K966" s="154"/>
      <c r="N966" s="154"/>
      <c r="Q966" s="154"/>
    </row>
    <row r="967" spans="8:17">
      <c r="H967" s="154"/>
      <c r="K967" s="154"/>
      <c r="N967" s="154"/>
      <c r="Q967" s="154"/>
    </row>
    <row r="968" spans="8:17">
      <c r="H968" s="154"/>
      <c r="K968" s="154"/>
      <c r="N968" s="154"/>
      <c r="Q968" s="154"/>
    </row>
    <row r="969" spans="8:17">
      <c r="H969" s="154"/>
      <c r="K969" s="154"/>
      <c r="N969" s="154"/>
      <c r="Q969" s="154"/>
    </row>
    <row r="970" spans="8:17">
      <c r="H970" s="154"/>
      <c r="K970" s="154"/>
      <c r="N970" s="154"/>
      <c r="Q970" s="154"/>
    </row>
    <row r="971" spans="8:17">
      <c r="H971" s="154"/>
      <c r="K971" s="154"/>
      <c r="N971" s="154"/>
      <c r="Q971" s="154"/>
    </row>
    <row r="972" spans="8:17">
      <c r="H972" s="154"/>
      <c r="K972" s="154"/>
      <c r="N972" s="154"/>
      <c r="Q972" s="154"/>
    </row>
    <row r="973" spans="8:17">
      <c r="H973" s="154"/>
      <c r="K973" s="154"/>
      <c r="N973" s="154"/>
      <c r="Q973" s="154"/>
    </row>
    <row r="974" spans="8:17">
      <c r="H974" s="154"/>
      <c r="K974" s="154"/>
      <c r="N974" s="154"/>
      <c r="Q974" s="154"/>
    </row>
    <row r="975" spans="8:17">
      <c r="H975" s="154"/>
      <c r="K975" s="154"/>
      <c r="N975" s="154"/>
      <c r="Q975" s="154"/>
    </row>
    <row r="976" spans="8:17">
      <c r="H976" s="154"/>
      <c r="K976" s="154"/>
      <c r="N976" s="154"/>
      <c r="Q976" s="154"/>
    </row>
    <row r="977" spans="8:17">
      <c r="H977" s="154"/>
      <c r="K977" s="154"/>
      <c r="N977" s="154"/>
      <c r="Q977" s="154"/>
    </row>
    <row r="978" spans="8:17">
      <c r="H978" s="154"/>
      <c r="K978" s="154"/>
      <c r="N978" s="154"/>
      <c r="Q978" s="154"/>
    </row>
    <row r="979" spans="8:17">
      <c r="H979" s="154"/>
      <c r="K979" s="154"/>
      <c r="N979" s="154"/>
      <c r="Q979" s="154"/>
    </row>
    <row r="980" spans="8:17">
      <c r="H980" s="154"/>
      <c r="K980" s="154"/>
      <c r="N980" s="154"/>
      <c r="Q980" s="154"/>
    </row>
    <row r="981" spans="8:17">
      <c r="H981" s="154"/>
      <c r="K981" s="154"/>
      <c r="N981" s="154"/>
      <c r="Q981" s="154"/>
    </row>
    <row r="982" spans="8:17">
      <c r="H982" s="154"/>
      <c r="K982" s="154"/>
      <c r="N982" s="154"/>
      <c r="Q982" s="154"/>
    </row>
    <row r="983" spans="8:17">
      <c r="H983" s="154"/>
      <c r="K983" s="154"/>
      <c r="N983" s="154"/>
      <c r="Q983" s="154"/>
    </row>
    <row r="984" spans="8:17">
      <c r="H984" s="154"/>
      <c r="K984" s="154"/>
      <c r="N984" s="154"/>
      <c r="Q984" s="154"/>
    </row>
    <row r="985" spans="8:17">
      <c r="H985" s="154"/>
      <c r="K985" s="154"/>
      <c r="N985" s="154"/>
      <c r="Q985" s="154"/>
    </row>
    <row r="986" spans="8:17">
      <c r="H986" s="154"/>
      <c r="K986" s="154"/>
      <c r="N986" s="154"/>
      <c r="Q986" s="154"/>
    </row>
    <row r="987" spans="8:17">
      <c r="H987" s="154"/>
      <c r="K987" s="154"/>
      <c r="N987" s="154"/>
      <c r="Q987" s="154"/>
    </row>
    <row r="988" spans="8:17">
      <c r="H988" s="154"/>
      <c r="K988" s="154"/>
      <c r="N988" s="154"/>
      <c r="Q988" s="154"/>
    </row>
    <row r="989" spans="8:17">
      <c r="H989" s="154"/>
      <c r="K989" s="154"/>
      <c r="N989" s="154"/>
      <c r="Q989" s="154"/>
    </row>
    <row r="990" spans="8:17">
      <c r="H990" s="154"/>
      <c r="K990" s="154"/>
      <c r="N990" s="154"/>
      <c r="Q990" s="154"/>
    </row>
    <row r="991" spans="8:17">
      <c r="H991" s="154"/>
      <c r="K991" s="154"/>
      <c r="N991" s="154"/>
      <c r="Q991" s="154"/>
    </row>
    <row r="992" spans="8:17">
      <c r="H992" s="154"/>
      <c r="K992" s="154"/>
      <c r="N992" s="154"/>
      <c r="Q992" s="154"/>
    </row>
    <row r="993" spans="8:17">
      <c r="H993" s="154"/>
      <c r="K993" s="154"/>
      <c r="N993" s="154"/>
      <c r="Q993" s="154"/>
    </row>
    <row r="994" spans="8:17">
      <c r="H994" s="154"/>
      <c r="K994" s="154"/>
      <c r="N994" s="154"/>
      <c r="Q994" s="154"/>
    </row>
    <row r="995" spans="8:17">
      <c r="H995" s="154"/>
      <c r="K995" s="154"/>
      <c r="N995" s="154"/>
      <c r="Q995" s="154"/>
    </row>
    <row r="996" spans="8:17">
      <c r="H996" s="154"/>
      <c r="K996" s="154"/>
      <c r="N996" s="154"/>
      <c r="Q996" s="154"/>
    </row>
    <row r="997" spans="8:17">
      <c r="H997" s="154"/>
      <c r="K997" s="154"/>
      <c r="N997" s="154"/>
      <c r="Q997" s="154"/>
    </row>
    <row r="998" spans="8:17">
      <c r="H998" s="154"/>
      <c r="K998" s="154"/>
      <c r="N998" s="154"/>
      <c r="Q998" s="154"/>
    </row>
    <row r="999" spans="8:17">
      <c r="H999" s="154"/>
      <c r="K999" s="154"/>
      <c r="N999" s="154"/>
      <c r="Q999" s="154"/>
    </row>
    <row r="1000" spans="8:17">
      <c r="H1000" s="154"/>
      <c r="K1000" s="154"/>
      <c r="N1000" s="154"/>
      <c r="Q1000" s="154"/>
    </row>
    <row r="1001" spans="8:17">
      <c r="H1001" s="154"/>
      <c r="K1001" s="154"/>
      <c r="N1001" s="154"/>
      <c r="Q1001" s="154"/>
    </row>
    <row r="1002" spans="8:17">
      <c r="H1002" s="154"/>
      <c r="K1002" s="154"/>
      <c r="N1002" s="154"/>
      <c r="Q1002" s="154"/>
    </row>
    <row r="1003" spans="8:17">
      <c r="H1003" s="154"/>
      <c r="K1003" s="154"/>
      <c r="N1003" s="154"/>
      <c r="Q1003" s="154"/>
    </row>
    <row r="1004" spans="8:17">
      <c r="H1004" s="154"/>
      <c r="K1004" s="154"/>
      <c r="N1004" s="154"/>
      <c r="Q1004" s="154"/>
    </row>
    <row r="1005" spans="8:17">
      <c r="H1005" s="154"/>
      <c r="K1005" s="154"/>
      <c r="N1005" s="154"/>
      <c r="Q1005" s="154"/>
    </row>
    <row r="1006" spans="8:17">
      <c r="H1006" s="154"/>
      <c r="K1006" s="154"/>
      <c r="N1006" s="154"/>
      <c r="Q1006" s="154"/>
    </row>
    <row r="1007" spans="8:17">
      <c r="H1007" s="154"/>
      <c r="K1007" s="154"/>
      <c r="N1007" s="154"/>
      <c r="Q1007" s="154"/>
    </row>
    <row r="1008" spans="8:17">
      <c r="H1008" s="154"/>
      <c r="K1008" s="154"/>
      <c r="N1008" s="154"/>
      <c r="Q1008" s="154"/>
    </row>
    <row r="1009" spans="8:17">
      <c r="H1009" s="154"/>
      <c r="K1009" s="154"/>
      <c r="N1009" s="154"/>
      <c r="Q1009" s="154"/>
    </row>
    <row r="1010" spans="8:17">
      <c r="H1010" s="154"/>
      <c r="K1010" s="154"/>
      <c r="N1010" s="154"/>
      <c r="Q1010" s="154"/>
    </row>
    <row r="1011" spans="8:17">
      <c r="H1011" s="154"/>
      <c r="K1011" s="154"/>
      <c r="N1011" s="154"/>
      <c r="Q1011" s="154"/>
    </row>
    <row r="1012" spans="8:17">
      <c r="H1012" s="154"/>
      <c r="K1012" s="154"/>
      <c r="N1012" s="154"/>
      <c r="Q1012" s="154"/>
    </row>
    <row r="1013" spans="8:17">
      <c r="H1013" s="154"/>
      <c r="K1013" s="154"/>
      <c r="N1013" s="154"/>
      <c r="Q1013" s="154"/>
    </row>
    <row r="1014" spans="8:17">
      <c r="H1014" s="154"/>
      <c r="K1014" s="154"/>
      <c r="N1014" s="154"/>
      <c r="Q1014" s="154"/>
    </row>
    <row r="1015" spans="8:17">
      <c r="H1015" s="154"/>
      <c r="K1015" s="154"/>
      <c r="N1015" s="154"/>
      <c r="Q1015" s="154"/>
    </row>
    <row r="1016" spans="8:17">
      <c r="H1016" s="154"/>
      <c r="K1016" s="154"/>
      <c r="N1016" s="154"/>
      <c r="Q1016" s="154"/>
    </row>
    <row r="1017" spans="8:17">
      <c r="H1017" s="154"/>
      <c r="K1017" s="154"/>
      <c r="N1017" s="154"/>
      <c r="Q1017" s="154"/>
    </row>
    <row r="1018" spans="8:17">
      <c r="H1018" s="154"/>
      <c r="K1018" s="154"/>
      <c r="N1018" s="154"/>
      <c r="Q1018" s="154"/>
    </row>
    <row r="1019" spans="8:17">
      <c r="H1019" s="154"/>
      <c r="K1019" s="154"/>
      <c r="N1019" s="154"/>
      <c r="Q1019" s="154"/>
    </row>
    <row r="1020" spans="8:17">
      <c r="H1020" s="154"/>
      <c r="K1020" s="154"/>
      <c r="N1020" s="154"/>
      <c r="Q1020" s="154"/>
    </row>
    <row r="1021" spans="8:17">
      <c r="H1021" s="154"/>
      <c r="K1021" s="154"/>
      <c r="N1021" s="154"/>
      <c r="Q1021" s="154"/>
    </row>
    <row r="1022" spans="8:17">
      <c r="H1022" s="154"/>
      <c r="K1022" s="154"/>
      <c r="N1022" s="154"/>
      <c r="Q1022" s="154"/>
    </row>
    <row r="1023" spans="8:17">
      <c r="H1023" s="154"/>
      <c r="K1023" s="154"/>
      <c r="N1023" s="154"/>
      <c r="Q1023" s="154"/>
    </row>
    <row r="1024" spans="8:17">
      <c r="H1024" s="154"/>
      <c r="K1024" s="154"/>
      <c r="N1024" s="154"/>
      <c r="Q1024" s="154"/>
    </row>
    <row r="1025" spans="8:17">
      <c r="H1025" s="154"/>
      <c r="K1025" s="154"/>
      <c r="N1025" s="154"/>
      <c r="Q1025" s="154"/>
    </row>
    <row r="1026" spans="8:17">
      <c r="H1026" s="154"/>
      <c r="K1026" s="154"/>
      <c r="N1026" s="154"/>
      <c r="Q1026" s="154"/>
    </row>
    <row r="1027" spans="8:17">
      <c r="H1027" s="154"/>
      <c r="K1027" s="154"/>
      <c r="N1027" s="154"/>
      <c r="Q1027" s="154"/>
    </row>
    <row r="1028" spans="8:17">
      <c r="H1028" s="154"/>
      <c r="K1028" s="154"/>
      <c r="N1028" s="154"/>
      <c r="Q1028" s="154"/>
    </row>
    <row r="1029" spans="8:17">
      <c r="H1029" s="154"/>
      <c r="K1029" s="154"/>
      <c r="N1029" s="154"/>
      <c r="Q1029" s="154"/>
    </row>
    <row r="1030" spans="8:17">
      <c r="H1030" s="154"/>
      <c r="K1030" s="154"/>
      <c r="N1030" s="154"/>
      <c r="Q1030" s="154"/>
    </row>
    <row r="1031" spans="8:17">
      <c r="H1031" s="154"/>
      <c r="K1031" s="154"/>
      <c r="N1031" s="154"/>
      <c r="Q1031" s="154"/>
    </row>
    <row r="1032" spans="8:17">
      <c r="H1032" s="154"/>
      <c r="K1032" s="154"/>
      <c r="N1032" s="154"/>
      <c r="Q1032" s="154"/>
    </row>
    <row r="1033" spans="8:17">
      <c r="H1033" s="154"/>
      <c r="K1033" s="154"/>
      <c r="N1033" s="154"/>
      <c r="Q1033" s="154"/>
    </row>
    <row r="1034" spans="8:17">
      <c r="H1034" s="154"/>
      <c r="K1034" s="154"/>
      <c r="N1034" s="154"/>
      <c r="Q1034" s="154"/>
    </row>
    <row r="1035" spans="8:17">
      <c r="H1035" s="154"/>
      <c r="K1035" s="154"/>
      <c r="N1035" s="154"/>
      <c r="Q1035" s="154"/>
    </row>
    <row r="1036" spans="8:17">
      <c r="H1036" s="154"/>
      <c r="K1036" s="154"/>
      <c r="N1036" s="154"/>
      <c r="Q1036" s="154"/>
    </row>
    <row r="1037" spans="8:17">
      <c r="H1037" s="154"/>
      <c r="K1037" s="154"/>
      <c r="N1037" s="154"/>
      <c r="Q1037" s="154"/>
    </row>
    <row r="1038" spans="8:17">
      <c r="H1038" s="154"/>
      <c r="K1038" s="154"/>
      <c r="N1038" s="154"/>
      <c r="Q1038" s="154"/>
    </row>
    <row r="1039" spans="8:17">
      <c r="H1039" s="154"/>
      <c r="K1039" s="154"/>
      <c r="N1039" s="154"/>
      <c r="Q1039" s="154"/>
    </row>
    <row r="1040" spans="8:17">
      <c r="H1040" s="154"/>
      <c r="K1040" s="154"/>
      <c r="N1040" s="154"/>
      <c r="Q1040" s="154"/>
    </row>
    <row r="1041" spans="8:17">
      <c r="H1041" s="154"/>
      <c r="K1041" s="154"/>
      <c r="N1041" s="154"/>
      <c r="Q1041" s="154"/>
    </row>
    <row r="1042" spans="8:17">
      <c r="H1042" s="154"/>
      <c r="K1042" s="154"/>
      <c r="N1042" s="154"/>
      <c r="Q1042" s="154"/>
    </row>
    <row r="1043" spans="8:17">
      <c r="H1043" s="154"/>
      <c r="K1043" s="154"/>
      <c r="N1043" s="154"/>
      <c r="Q1043" s="154"/>
    </row>
    <row r="1044" spans="8:17">
      <c r="H1044" s="154"/>
      <c r="K1044" s="154"/>
      <c r="N1044" s="154"/>
      <c r="Q1044" s="154"/>
    </row>
    <row r="1045" spans="8:17">
      <c r="H1045" s="154"/>
      <c r="K1045" s="154"/>
      <c r="N1045" s="154"/>
      <c r="Q1045" s="154"/>
    </row>
    <row r="1046" spans="8:17">
      <c r="H1046" s="154"/>
      <c r="K1046" s="154"/>
      <c r="N1046" s="154"/>
      <c r="Q1046" s="154"/>
    </row>
    <row r="1047" spans="8:17">
      <c r="H1047" s="154"/>
      <c r="K1047" s="154"/>
      <c r="N1047" s="154"/>
      <c r="Q1047" s="154"/>
    </row>
    <row r="1048" spans="8:17">
      <c r="H1048" s="154"/>
      <c r="K1048" s="154"/>
      <c r="N1048" s="154"/>
      <c r="Q1048" s="154"/>
    </row>
    <row r="1049" spans="8:17">
      <c r="H1049" s="154"/>
      <c r="K1049" s="154"/>
      <c r="N1049" s="154"/>
      <c r="Q1049" s="154"/>
    </row>
    <row r="1050" spans="8:17">
      <c r="H1050" s="154"/>
      <c r="K1050" s="154"/>
      <c r="N1050" s="154"/>
      <c r="Q1050" s="154"/>
    </row>
    <row r="1051" spans="8:17">
      <c r="H1051" s="154"/>
      <c r="K1051" s="154"/>
      <c r="N1051" s="154"/>
      <c r="Q1051" s="154"/>
    </row>
    <row r="1052" spans="8:17">
      <c r="H1052" s="154"/>
      <c r="K1052" s="154"/>
      <c r="N1052" s="154"/>
      <c r="Q1052" s="154"/>
    </row>
    <row r="1053" spans="8:17">
      <c r="H1053" s="154"/>
      <c r="K1053" s="154"/>
      <c r="N1053" s="154"/>
      <c r="Q1053" s="154"/>
    </row>
    <row r="1054" spans="8:17">
      <c r="H1054" s="154"/>
      <c r="K1054" s="154"/>
      <c r="N1054" s="154"/>
      <c r="Q1054" s="154"/>
    </row>
    <row r="1055" spans="8:17">
      <c r="H1055" s="154"/>
      <c r="K1055" s="154"/>
      <c r="N1055" s="154"/>
      <c r="Q1055" s="154"/>
    </row>
    <row r="1056" spans="8:17">
      <c r="H1056" s="154"/>
      <c r="K1056" s="154"/>
      <c r="N1056" s="154"/>
      <c r="Q1056" s="154"/>
    </row>
    <row r="1057" spans="8:17">
      <c r="H1057" s="154"/>
      <c r="K1057" s="154"/>
      <c r="N1057" s="154"/>
      <c r="Q1057" s="154"/>
    </row>
    <row r="1058" spans="8:17">
      <c r="H1058" s="154"/>
      <c r="K1058" s="154"/>
      <c r="N1058" s="154"/>
      <c r="Q1058" s="154"/>
    </row>
    <row r="1059" spans="8:17">
      <c r="H1059" s="154"/>
      <c r="K1059" s="154"/>
      <c r="N1059" s="154"/>
      <c r="Q1059" s="154"/>
    </row>
    <row r="1060" spans="8:17">
      <c r="H1060" s="154"/>
      <c r="K1060" s="154"/>
      <c r="N1060" s="154"/>
      <c r="Q1060" s="154"/>
    </row>
    <row r="1061" spans="8:17">
      <c r="H1061" s="154"/>
      <c r="K1061" s="154"/>
      <c r="N1061" s="154"/>
      <c r="Q1061" s="154"/>
    </row>
    <row r="1062" spans="8:17">
      <c r="H1062" s="154"/>
      <c r="K1062" s="154"/>
      <c r="N1062" s="154"/>
      <c r="Q1062" s="154"/>
    </row>
    <row r="1063" spans="8:17">
      <c r="H1063" s="154"/>
      <c r="K1063" s="154"/>
      <c r="N1063" s="154"/>
      <c r="Q1063" s="154"/>
    </row>
    <row r="1064" spans="8:17">
      <c r="H1064" s="154"/>
      <c r="K1064" s="154"/>
      <c r="N1064" s="154"/>
      <c r="Q1064" s="154"/>
    </row>
    <row r="1065" spans="8:17">
      <c r="H1065" s="154"/>
      <c r="K1065" s="154"/>
      <c r="N1065" s="154"/>
      <c r="Q1065" s="154"/>
    </row>
    <row r="1066" spans="8:17">
      <c r="H1066" s="154"/>
      <c r="K1066" s="154"/>
      <c r="N1066" s="154"/>
      <c r="Q1066" s="154"/>
    </row>
    <row r="1067" spans="8:17">
      <c r="H1067" s="154"/>
      <c r="K1067" s="154"/>
      <c r="N1067" s="154"/>
      <c r="Q1067" s="154"/>
    </row>
    <row r="1068" spans="8:17">
      <c r="H1068" s="154"/>
      <c r="K1068" s="154"/>
      <c r="N1068" s="154"/>
      <c r="Q1068" s="154"/>
    </row>
    <row r="1069" spans="8:17">
      <c r="H1069" s="154"/>
      <c r="K1069" s="154"/>
      <c r="N1069" s="154"/>
      <c r="Q1069" s="154"/>
    </row>
    <row r="1070" spans="8:17">
      <c r="H1070" s="154"/>
      <c r="K1070" s="154"/>
      <c r="N1070" s="154"/>
      <c r="Q1070" s="154"/>
    </row>
    <row r="1071" spans="8:17">
      <c r="H1071" s="154"/>
      <c r="K1071" s="154"/>
      <c r="N1071" s="154"/>
      <c r="Q1071" s="154"/>
    </row>
    <row r="1072" spans="8:17">
      <c r="H1072" s="154"/>
      <c r="K1072" s="154"/>
      <c r="N1072" s="154"/>
      <c r="Q1072" s="154"/>
    </row>
    <row r="1073" spans="8:17">
      <c r="H1073" s="154"/>
      <c r="K1073" s="154"/>
      <c r="N1073" s="154"/>
      <c r="Q1073" s="154"/>
    </row>
    <row r="1074" spans="8:17">
      <c r="H1074" s="154"/>
      <c r="K1074" s="154"/>
      <c r="N1074" s="154"/>
      <c r="Q1074" s="154"/>
    </row>
    <row r="1075" spans="8:17">
      <c r="H1075" s="154"/>
      <c r="K1075" s="154"/>
      <c r="N1075" s="154"/>
      <c r="Q1075" s="154"/>
    </row>
    <row r="1076" spans="8:17">
      <c r="H1076" s="154"/>
      <c r="K1076" s="154"/>
      <c r="N1076" s="154"/>
      <c r="Q1076" s="154"/>
    </row>
    <row r="1077" spans="8:17">
      <c r="H1077" s="154"/>
      <c r="K1077" s="154"/>
      <c r="N1077" s="154"/>
      <c r="Q1077" s="154"/>
    </row>
    <row r="1078" spans="8:17">
      <c r="H1078" s="154"/>
      <c r="K1078" s="154"/>
      <c r="N1078" s="154"/>
      <c r="Q1078" s="154"/>
    </row>
    <row r="1079" spans="8:17">
      <c r="H1079" s="154"/>
      <c r="K1079" s="154"/>
      <c r="N1079" s="154"/>
      <c r="Q1079" s="154"/>
    </row>
    <row r="1080" spans="8:17">
      <c r="H1080" s="154"/>
      <c r="K1080" s="154"/>
      <c r="N1080" s="154"/>
      <c r="Q1080" s="154"/>
    </row>
    <row r="1081" spans="8:17">
      <c r="H1081" s="154"/>
      <c r="K1081" s="154"/>
      <c r="N1081" s="154"/>
      <c r="Q1081" s="154"/>
    </row>
    <row r="1082" spans="8:17">
      <c r="H1082" s="154"/>
      <c r="K1082" s="154"/>
      <c r="N1082" s="154"/>
      <c r="Q1082" s="154"/>
    </row>
    <row r="1083" spans="8:17">
      <c r="H1083" s="154"/>
      <c r="K1083" s="154"/>
      <c r="N1083" s="154"/>
      <c r="Q1083" s="154"/>
    </row>
    <row r="1084" spans="8:17">
      <c r="H1084" s="154"/>
      <c r="K1084" s="154"/>
      <c r="N1084" s="154"/>
      <c r="Q1084" s="154"/>
    </row>
    <row r="1085" spans="8:17">
      <c r="H1085" s="154"/>
      <c r="K1085" s="154"/>
      <c r="N1085" s="154"/>
      <c r="Q1085" s="154"/>
    </row>
    <row r="1086" spans="8:17">
      <c r="H1086" s="154"/>
      <c r="K1086" s="154"/>
      <c r="N1086" s="154"/>
      <c r="Q1086" s="154"/>
    </row>
    <row r="1087" spans="8:17">
      <c r="H1087" s="154"/>
      <c r="K1087" s="154"/>
      <c r="N1087" s="154"/>
      <c r="Q1087" s="154"/>
    </row>
    <row r="1088" spans="8:17">
      <c r="H1088" s="154"/>
      <c r="K1088" s="154"/>
      <c r="N1088" s="154"/>
      <c r="Q1088" s="154"/>
    </row>
    <row r="1089" spans="8:17">
      <c r="H1089" s="154"/>
      <c r="K1089" s="154"/>
      <c r="N1089" s="154"/>
      <c r="Q1089" s="154"/>
    </row>
    <row r="1090" spans="8:17">
      <c r="H1090" s="154"/>
      <c r="K1090" s="154"/>
      <c r="N1090" s="154"/>
      <c r="Q1090" s="154"/>
    </row>
    <row r="1091" spans="8:17">
      <c r="H1091" s="154"/>
      <c r="K1091" s="154"/>
      <c r="N1091" s="154"/>
      <c r="Q1091" s="154"/>
    </row>
    <row r="1092" spans="8:17">
      <c r="H1092" s="154"/>
      <c r="K1092" s="154"/>
      <c r="N1092" s="154"/>
      <c r="Q1092" s="154"/>
    </row>
    <row r="1093" spans="8:17">
      <c r="H1093" s="154"/>
      <c r="K1093" s="154"/>
      <c r="N1093" s="154"/>
      <c r="Q1093" s="154"/>
    </row>
    <row r="1094" spans="8:17">
      <c r="H1094" s="154"/>
      <c r="K1094" s="154"/>
      <c r="N1094" s="154"/>
      <c r="Q1094" s="154"/>
    </row>
    <row r="1095" spans="8:17">
      <c r="H1095" s="154"/>
      <c r="K1095" s="154"/>
      <c r="N1095" s="154"/>
      <c r="Q1095" s="154"/>
    </row>
    <row r="1096" spans="8:17">
      <c r="H1096" s="154"/>
      <c r="K1096" s="154"/>
      <c r="N1096" s="154"/>
      <c r="Q1096" s="154"/>
    </row>
    <row r="1097" spans="8:17">
      <c r="H1097" s="154"/>
      <c r="K1097" s="154"/>
      <c r="N1097" s="154"/>
      <c r="Q1097" s="154"/>
    </row>
    <row r="1098" spans="8:17">
      <c r="H1098" s="154"/>
      <c r="K1098" s="154"/>
      <c r="N1098" s="154"/>
      <c r="Q1098" s="154"/>
    </row>
    <row r="1099" spans="8:17">
      <c r="H1099" s="154"/>
      <c r="K1099" s="154"/>
      <c r="N1099" s="154"/>
      <c r="Q1099" s="154"/>
    </row>
    <row r="1100" spans="8:17">
      <c r="H1100" s="154"/>
      <c r="K1100" s="154"/>
      <c r="N1100" s="154"/>
      <c r="Q1100" s="154"/>
    </row>
    <row r="1101" spans="8:17">
      <c r="H1101" s="154"/>
      <c r="K1101" s="154"/>
      <c r="N1101" s="154"/>
      <c r="Q1101" s="154"/>
    </row>
    <row r="1102" spans="8:17">
      <c r="H1102" s="154"/>
      <c r="K1102" s="154"/>
      <c r="N1102" s="154"/>
      <c r="Q1102" s="154"/>
    </row>
    <row r="1103" spans="8:17">
      <c r="H1103" s="154"/>
      <c r="K1103" s="154"/>
      <c r="N1103" s="154"/>
      <c r="Q1103" s="154"/>
    </row>
    <row r="1104" spans="8:17">
      <c r="H1104" s="154"/>
      <c r="K1104" s="154"/>
      <c r="N1104" s="154"/>
      <c r="Q1104" s="154"/>
    </row>
    <row r="1105" spans="8:17">
      <c r="H1105" s="154"/>
      <c r="K1105" s="154"/>
      <c r="N1105" s="154"/>
      <c r="Q1105" s="154"/>
    </row>
    <row r="1106" spans="8:17">
      <c r="H1106" s="154"/>
      <c r="K1106" s="154"/>
      <c r="N1106" s="154"/>
      <c r="Q1106" s="154"/>
    </row>
    <row r="1107" spans="8:17">
      <c r="H1107" s="154"/>
      <c r="K1107" s="154"/>
      <c r="N1107" s="154"/>
      <c r="Q1107" s="154"/>
    </row>
    <row r="1108" spans="8:17">
      <c r="H1108" s="154"/>
      <c r="K1108" s="154"/>
      <c r="N1108" s="154"/>
      <c r="Q1108" s="154"/>
    </row>
    <row r="1109" spans="8:17">
      <c r="H1109" s="154"/>
      <c r="K1109" s="154"/>
      <c r="N1109" s="154"/>
      <c r="Q1109" s="154"/>
    </row>
    <row r="1110" spans="8:17">
      <c r="H1110" s="154"/>
      <c r="K1110" s="154"/>
      <c r="N1110" s="154"/>
      <c r="Q1110" s="154"/>
    </row>
    <row r="1111" spans="8:17">
      <c r="H1111" s="154"/>
      <c r="K1111" s="154"/>
      <c r="N1111" s="154"/>
      <c r="Q1111" s="154"/>
    </row>
    <row r="1112" spans="8:17">
      <c r="H1112" s="154"/>
      <c r="K1112" s="154"/>
      <c r="N1112" s="154"/>
      <c r="Q1112" s="154"/>
    </row>
    <row r="1113" spans="8:17">
      <c r="H1113" s="154"/>
      <c r="K1113" s="154"/>
      <c r="N1113" s="154"/>
      <c r="Q1113" s="154"/>
    </row>
    <row r="1114" spans="8:17">
      <c r="H1114" s="154"/>
      <c r="K1114" s="154"/>
      <c r="N1114" s="154"/>
      <c r="Q1114" s="154"/>
    </row>
    <row r="1115" spans="8:17">
      <c r="H1115" s="154"/>
      <c r="K1115" s="154"/>
      <c r="N1115" s="154"/>
      <c r="Q1115" s="154"/>
    </row>
    <row r="1116" spans="8:17">
      <c r="H1116" s="154"/>
      <c r="K1116" s="154"/>
      <c r="N1116" s="154"/>
      <c r="Q1116" s="154"/>
    </row>
    <row r="1117" spans="8:17">
      <c r="H1117" s="154"/>
      <c r="K1117" s="154"/>
      <c r="N1117" s="154"/>
      <c r="Q1117" s="154"/>
    </row>
    <row r="1118" spans="8:17">
      <c r="H1118" s="154"/>
      <c r="K1118" s="154"/>
      <c r="N1118" s="154"/>
      <c r="Q1118" s="154"/>
    </row>
    <row r="1119" spans="8:17">
      <c r="H1119" s="154"/>
      <c r="K1119" s="154"/>
      <c r="N1119" s="154"/>
      <c r="Q1119" s="154"/>
    </row>
    <row r="1120" spans="8:17">
      <c r="H1120" s="154"/>
      <c r="K1120" s="154"/>
      <c r="N1120" s="154"/>
      <c r="Q1120" s="154"/>
    </row>
    <row r="1121" spans="8:17">
      <c r="H1121" s="154"/>
      <c r="K1121" s="154"/>
      <c r="N1121" s="154"/>
      <c r="Q1121" s="154"/>
    </row>
    <row r="1122" spans="8:17">
      <c r="H1122" s="154"/>
      <c r="K1122" s="154"/>
      <c r="N1122" s="154"/>
      <c r="Q1122" s="154"/>
    </row>
    <row r="1123" spans="8:17">
      <c r="H1123" s="154"/>
      <c r="K1123" s="154"/>
      <c r="N1123" s="154"/>
      <c r="Q1123" s="154"/>
    </row>
    <row r="1124" spans="8:17">
      <c r="H1124" s="154"/>
      <c r="K1124" s="154"/>
      <c r="N1124" s="154"/>
      <c r="Q1124" s="154"/>
    </row>
    <row r="1125" spans="8:17">
      <c r="H1125" s="154"/>
      <c r="K1125" s="154"/>
      <c r="N1125" s="154"/>
      <c r="Q1125" s="154"/>
    </row>
    <row r="1126" spans="8:17">
      <c r="H1126" s="154"/>
      <c r="K1126" s="154"/>
      <c r="N1126" s="154"/>
      <c r="Q1126" s="154"/>
    </row>
    <row r="1127" spans="8:17">
      <c r="H1127" s="154"/>
      <c r="K1127" s="154"/>
      <c r="N1127" s="154"/>
      <c r="Q1127" s="154"/>
    </row>
    <row r="1128" spans="8:17">
      <c r="H1128" s="154"/>
      <c r="K1128" s="154"/>
      <c r="N1128" s="154"/>
      <c r="Q1128" s="154"/>
    </row>
    <row r="1129" spans="8:17">
      <c r="H1129" s="154"/>
      <c r="K1129" s="154"/>
      <c r="N1129" s="154"/>
      <c r="Q1129" s="154"/>
    </row>
    <row r="1130" spans="8:17">
      <c r="H1130" s="154"/>
      <c r="K1130" s="154"/>
      <c r="N1130" s="154"/>
      <c r="Q1130" s="154"/>
    </row>
    <row r="1131" spans="8:17">
      <c r="H1131" s="154"/>
      <c r="K1131" s="154"/>
      <c r="N1131" s="154"/>
      <c r="Q1131" s="154"/>
    </row>
    <row r="1132" spans="8:17">
      <c r="H1132" s="154"/>
      <c r="K1132" s="154"/>
      <c r="N1132" s="154"/>
      <c r="Q1132" s="154"/>
    </row>
    <row r="1133" spans="8:17">
      <c r="H1133" s="154"/>
      <c r="K1133" s="154"/>
      <c r="N1133" s="154"/>
      <c r="Q1133" s="154"/>
    </row>
    <row r="1134" spans="8:17">
      <c r="H1134" s="154"/>
      <c r="K1134" s="154"/>
      <c r="N1134" s="154"/>
      <c r="Q1134" s="154"/>
    </row>
    <row r="1135" spans="8:17">
      <c r="H1135" s="154"/>
      <c r="K1135" s="154"/>
      <c r="N1135" s="154"/>
      <c r="Q1135" s="154"/>
    </row>
    <row r="1136" spans="8:17">
      <c r="H1136" s="154"/>
      <c r="K1136" s="154"/>
      <c r="N1136" s="154"/>
      <c r="Q1136" s="154"/>
    </row>
    <row r="1137" spans="8:17">
      <c r="H1137" s="154"/>
      <c r="K1137" s="154"/>
      <c r="N1137" s="154"/>
      <c r="Q1137" s="154"/>
    </row>
    <row r="1138" spans="8:17">
      <c r="H1138" s="154"/>
      <c r="K1138" s="154"/>
      <c r="N1138" s="154"/>
      <c r="Q1138" s="154"/>
    </row>
    <row r="1139" spans="8:17">
      <c r="H1139" s="154"/>
      <c r="K1139" s="154"/>
      <c r="N1139" s="154"/>
      <c r="Q1139" s="154"/>
    </row>
    <row r="1140" spans="8:17">
      <c r="H1140" s="154"/>
      <c r="K1140" s="154"/>
      <c r="N1140" s="154"/>
      <c r="Q1140" s="154"/>
    </row>
    <row r="1141" spans="8:17">
      <c r="H1141" s="154"/>
      <c r="K1141" s="154"/>
      <c r="N1141" s="154"/>
      <c r="Q1141" s="154"/>
    </row>
    <row r="1142" spans="8:17">
      <c r="H1142" s="154"/>
      <c r="K1142" s="154"/>
      <c r="N1142" s="154"/>
      <c r="Q1142" s="154"/>
    </row>
    <row r="1143" spans="8:17">
      <c r="H1143" s="154"/>
      <c r="K1143" s="154"/>
      <c r="N1143" s="154"/>
      <c r="Q1143" s="154"/>
    </row>
    <row r="1144" spans="8:17">
      <c r="H1144" s="154"/>
      <c r="K1144" s="154"/>
      <c r="N1144" s="154"/>
      <c r="Q1144" s="154"/>
    </row>
    <row r="1145" spans="8:17">
      <c r="H1145" s="154"/>
      <c r="K1145" s="154"/>
      <c r="N1145" s="154"/>
      <c r="Q1145" s="154"/>
    </row>
    <row r="1146" spans="8:17">
      <c r="H1146" s="154"/>
      <c r="K1146" s="154"/>
      <c r="N1146" s="154"/>
      <c r="Q1146" s="154"/>
    </row>
    <row r="1147" spans="8:17">
      <c r="H1147" s="154"/>
      <c r="K1147" s="154"/>
      <c r="N1147" s="154"/>
      <c r="Q1147" s="154"/>
    </row>
    <row r="1148" spans="8:17">
      <c r="H1148" s="154"/>
      <c r="K1148" s="154"/>
      <c r="N1148" s="154"/>
      <c r="Q1148" s="154"/>
    </row>
    <row r="1149" spans="8:17">
      <c r="H1149" s="154"/>
      <c r="K1149" s="154"/>
      <c r="N1149" s="154"/>
      <c r="Q1149" s="154"/>
    </row>
    <row r="1150" spans="8:17">
      <c r="H1150" s="154"/>
      <c r="K1150" s="154"/>
      <c r="N1150" s="154"/>
      <c r="Q1150" s="154"/>
    </row>
    <row r="1151" spans="8:17">
      <c r="H1151" s="154"/>
      <c r="K1151" s="154"/>
      <c r="N1151" s="154"/>
      <c r="Q1151" s="154"/>
    </row>
    <row r="1152" spans="8:17">
      <c r="H1152" s="154"/>
      <c r="K1152" s="154"/>
      <c r="N1152" s="154"/>
      <c r="Q1152" s="154"/>
    </row>
    <row r="1153" spans="8:17">
      <c r="H1153" s="154"/>
      <c r="K1153" s="154"/>
      <c r="N1153" s="154"/>
      <c r="Q1153" s="154"/>
    </row>
    <row r="1154" spans="8:17">
      <c r="H1154" s="154"/>
      <c r="K1154" s="154"/>
      <c r="N1154" s="154"/>
      <c r="Q1154" s="154"/>
    </row>
    <row r="1155" spans="8:17">
      <c r="H1155" s="154"/>
      <c r="K1155" s="154"/>
      <c r="N1155" s="154"/>
      <c r="Q1155" s="154"/>
    </row>
    <row r="1156" spans="8:17">
      <c r="H1156" s="154"/>
      <c r="K1156" s="154"/>
      <c r="N1156" s="154"/>
      <c r="Q1156" s="154"/>
    </row>
    <row r="1157" spans="8:17">
      <c r="H1157" s="154"/>
      <c r="K1157" s="154"/>
      <c r="N1157" s="154"/>
      <c r="Q1157" s="154"/>
    </row>
    <row r="1158" spans="8:17">
      <c r="H1158" s="154"/>
      <c r="K1158" s="154"/>
      <c r="N1158" s="154"/>
      <c r="Q1158" s="154"/>
    </row>
    <row r="1159" spans="8:17">
      <c r="H1159" s="154"/>
      <c r="K1159" s="154"/>
      <c r="N1159" s="154"/>
      <c r="Q1159" s="154"/>
    </row>
    <row r="1160" spans="8:17">
      <c r="H1160" s="154"/>
      <c r="K1160" s="154"/>
      <c r="N1160" s="154"/>
      <c r="Q1160" s="154"/>
    </row>
    <row r="1161" spans="8:17">
      <c r="H1161" s="154"/>
      <c r="K1161" s="154"/>
      <c r="N1161" s="154"/>
      <c r="Q1161" s="154"/>
    </row>
    <row r="1162" spans="8:17">
      <c r="H1162" s="154"/>
      <c r="K1162" s="154"/>
      <c r="N1162" s="154"/>
      <c r="Q1162" s="154"/>
    </row>
    <row r="1163" spans="8:17">
      <c r="H1163" s="154"/>
      <c r="K1163" s="154"/>
      <c r="N1163" s="154"/>
      <c r="Q1163" s="154"/>
    </row>
    <row r="1164" spans="8:17">
      <c r="H1164" s="154"/>
      <c r="K1164" s="154"/>
      <c r="N1164" s="154"/>
      <c r="Q1164" s="154"/>
    </row>
    <row r="1165" spans="8:17">
      <c r="H1165" s="154"/>
      <c r="K1165" s="154"/>
      <c r="N1165" s="154"/>
      <c r="Q1165" s="154"/>
    </row>
    <row r="1166" spans="8:17">
      <c r="H1166" s="154"/>
      <c r="K1166" s="154"/>
      <c r="N1166" s="154"/>
      <c r="Q1166" s="154"/>
    </row>
    <row r="1167" spans="8:17">
      <c r="H1167" s="154"/>
      <c r="K1167" s="154"/>
      <c r="N1167" s="154"/>
      <c r="Q1167" s="154"/>
    </row>
    <row r="1168" spans="8:17">
      <c r="H1168" s="154"/>
      <c r="K1168" s="154"/>
      <c r="N1168" s="154"/>
      <c r="Q1168" s="154"/>
    </row>
    <row r="1169" spans="8:17">
      <c r="H1169" s="154"/>
      <c r="K1169" s="154"/>
      <c r="N1169" s="154"/>
      <c r="Q1169" s="154"/>
    </row>
    <row r="1170" spans="8:17">
      <c r="H1170" s="154"/>
      <c r="K1170" s="154"/>
      <c r="N1170" s="154"/>
      <c r="Q1170" s="154"/>
    </row>
    <row r="1171" spans="8:17">
      <c r="H1171" s="154"/>
      <c r="K1171" s="154"/>
      <c r="N1171" s="154"/>
      <c r="Q1171" s="154"/>
    </row>
    <row r="1172" spans="8:17">
      <c r="H1172" s="154"/>
      <c r="K1172" s="154"/>
      <c r="N1172" s="154"/>
      <c r="Q1172" s="154"/>
    </row>
    <row r="1173" spans="8:17">
      <c r="H1173" s="154"/>
      <c r="K1173" s="154"/>
      <c r="N1173" s="154"/>
      <c r="Q1173" s="154"/>
    </row>
    <row r="1174" spans="8:17">
      <c r="H1174" s="154"/>
      <c r="K1174" s="154"/>
      <c r="N1174" s="154"/>
      <c r="Q1174" s="154"/>
    </row>
    <row r="1175" spans="8:17">
      <c r="H1175" s="154"/>
      <c r="K1175" s="154"/>
      <c r="N1175" s="154"/>
      <c r="Q1175" s="154"/>
    </row>
    <row r="1176" spans="8:17">
      <c r="H1176" s="154"/>
      <c r="K1176" s="154"/>
      <c r="N1176" s="154"/>
      <c r="Q1176" s="154"/>
    </row>
    <row r="1177" spans="8:17">
      <c r="H1177" s="154"/>
      <c r="K1177" s="154"/>
      <c r="N1177" s="154"/>
      <c r="Q1177" s="154"/>
    </row>
    <row r="1178" spans="8:17">
      <c r="H1178" s="154"/>
      <c r="K1178" s="154"/>
      <c r="N1178" s="154"/>
      <c r="Q1178" s="154"/>
    </row>
    <row r="1179" spans="8:17">
      <c r="H1179" s="154"/>
      <c r="K1179" s="154"/>
      <c r="N1179" s="154"/>
      <c r="Q1179" s="154"/>
    </row>
    <row r="1180" spans="8:17">
      <c r="H1180" s="154"/>
      <c r="K1180" s="154"/>
      <c r="N1180" s="154"/>
      <c r="Q1180" s="154"/>
    </row>
    <row r="1181" spans="8:17">
      <c r="H1181" s="154"/>
      <c r="K1181" s="154"/>
      <c r="N1181" s="154"/>
      <c r="Q1181" s="154"/>
    </row>
    <row r="1182" spans="8:17">
      <c r="H1182" s="154"/>
      <c r="K1182" s="154"/>
      <c r="N1182" s="154"/>
      <c r="Q1182" s="154"/>
    </row>
    <row r="1183" spans="8:17">
      <c r="H1183" s="154"/>
      <c r="K1183" s="154"/>
      <c r="N1183" s="154"/>
      <c r="Q1183" s="154"/>
    </row>
    <row r="1184" spans="8:17">
      <c r="H1184" s="154"/>
      <c r="K1184" s="154"/>
      <c r="N1184" s="154"/>
      <c r="Q1184" s="154"/>
    </row>
    <row r="1185" spans="8:17">
      <c r="H1185" s="154"/>
      <c r="K1185" s="154"/>
      <c r="N1185" s="154"/>
      <c r="Q1185" s="154"/>
    </row>
    <row r="1186" spans="8:17">
      <c r="H1186" s="154"/>
      <c r="K1186" s="154"/>
      <c r="N1186" s="154"/>
      <c r="Q1186" s="154"/>
    </row>
    <row r="1187" spans="8:17">
      <c r="H1187" s="154"/>
      <c r="K1187" s="154"/>
      <c r="N1187" s="154"/>
      <c r="Q1187" s="154"/>
    </row>
    <row r="1188" spans="8:17">
      <c r="H1188" s="154"/>
      <c r="K1188" s="154"/>
      <c r="N1188" s="154"/>
      <c r="Q1188" s="154"/>
    </row>
    <row r="1189" spans="8:17">
      <c r="H1189" s="154"/>
      <c r="K1189" s="154"/>
      <c r="N1189" s="154"/>
      <c r="Q1189" s="154"/>
    </row>
    <row r="1190" spans="8:17">
      <c r="H1190" s="154"/>
      <c r="K1190" s="154"/>
      <c r="N1190" s="154"/>
      <c r="Q1190" s="154"/>
    </row>
    <row r="1191" spans="8:17">
      <c r="H1191" s="154"/>
      <c r="K1191" s="154"/>
      <c r="N1191" s="154"/>
      <c r="Q1191" s="154"/>
    </row>
    <row r="1192" spans="8:17">
      <c r="H1192" s="154"/>
      <c r="K1192" s="154"/>
      <c r="N1192" s="154"/>
      <c r="Q1192" s="154"/>
    </row>
    <row r="1193" spans="8:17">
      <c r="H1193" s="154"/>
      <c r="K1193" s="154"/>
      <c r="N1193" s="154"/>
      <c r="Q1193" s="154"/>
    </row>
    <row r="1194" spans="8:17">
      <c r="H1194" s="154"/>
      <c r="K1194" s="154"/>
      <c r="N1194" s="154"/>
      <c r="Q1194" s="154"/>
    </row>
    <row r="1195" spans="8:17">
      <c r="H1195" s="154"/>
      <c r="K1195" s="154"/>
      <c r="N1195" s="154"/>
      <c r="Q1195" s="154"/>
    </row>
    <row r="1196" spans="8:17">
      <c r="H1196" s="154"/>
      <c r="K1196" s="154"/>
      <c r="N1196" s="154"/>
      <c r="Q1196" s="154"/>
    </row>
    <row r="1197" spans="8:17">
      <c r="H1197" s="154"/>
      <c r="K1197" s="154"/>
      <c r="N1197" s="154"/>
      <c r="Q1197" s="154"/>
    </row>
    <row r="1198" spans="8:17">
      <c r="H1198" s="154"/>
      <c r="K1198" s="154"/>
      <c r="N1198" s="154"/>
      <c r="Q1198" s="154"/>
    </row>
    <row r="1199" spans="8:17">
      <c r="H1199" s="154"/>
      <c r="K1199" s="154"/>
      <c r="N1199" s="154"/>
      <c r="Q1199" s="154"/>
    </row>
    <row r="1200" spans="8:17">
      <c r="H1200" s="154"/>
      <c r="K1200" s="154"/>
      <c r="N1200" s="154"/>
      <c r="Q1200" s="154"/>
    </row>
    <row r="1201" spans="8:17">
      <c r="H1201" s="154"/>
      <c r="K1201" s="154"/>
      <c r="N1201" s="154"/>
      <c r="Q1201" s="154"/>
    </row>
    <row r="1202" spans="8:17">
      <c r="H1202" s="154"/>
      <c r="K1202" s="154"/>
      <c r="N1202" s="154"/>
      <c r="Q1202" s="154"/>
    </row>
    <row r="1203" spans="8:17">
      <c r="H1203" s="154"/>
      <c r="K1203" s="154"/>
      <c r="N1203" s="154"/>
      <c r="Q1203" s="154"/>
    </row>
    <row r="1204" spans="8:17">
      <c r="H1204" s="154"/>
      <c r="K1204" s="154"/>
      <c r="N1204" s="154"/>
      <c r="Q1204" s="154"/>
    </row>
    <row r="1205" spans="8:17">
      <c r="H1205" s="154"/>
      <c r="K1205" s="154"/>
      <c r="N1205" s="154"/>
      <c r="Q1205" s="154"/>
    </row>
    <row r="1206" spans="8:17">
      <c r="H1206" s="154"/>
      <c r="K1206" s="154"/>
      <c r="N1206" s="154"/>
      <c r="Q1206" s="154"/>
    </row>
    <row r="1207" spans="8:17">
      <c r="H1207" s="154"/>
      <c r="K1207" s="154"/>
      <c r="N1207" s="154"/>
      <c r="Q1207" s="154"/>
    </row>
    <row r="1208" spans="8:17">
      <c r="H1208" s="154"/>
      <c r="K1208" s="154"/>
      <c r="N1208" s="154"/>
      <c r="Q1208" s="154"/>
    </row>
    <row r="1209" spans="8:17">
      <c r="H1209" s="154"/>
      <c r="K1209" s="154"/>
      <c r="N1209" s="154"/>
      <c r="Q1209" s="154"/>
    </row>
    <row r="1210" spans="8:17">
      <c r="H1210" s="154"/>
      <c r="K1210" s="154"/>
      <c r="N1210" s="154"/>
      <c r="Q1210" s="154"/>
    </row>
    <row r="1211" spans="8:17">
      <c r="H1211" s="154"/>
      <c r="K1211" s="154"/>
      <c r="N1211" s="154"/>
      <c r="Q1211" s="154"/>
    </row>
    <row r="1212" spans="8:17">
      <c r="H1212" s="154"/>
      <c r="K1212" s="154"/>
      <c r="N1212" s="154"/>
      <c r="Q1212" s="154"/>
    </row>
    <row r="1213" spans="8:17">
      <c r="H1213" s="154"/>
      <c r="K1213" s="154"/>
      <c r="N1213" s="154"/>
      <c r="Q1213" s="154"/>
    </row>
    <row r="1214" spans="8:17">
      <c r="H1214" s="154"/>
      <c r="K1214" s="154"/>
      <c r="N1214" s="154"/>
      <c r="Q1214" s="154"/>
    </row>
    <row r="1215" spans="8:17">
      <c r="H1215" s="154"/>
      <c r="K1215" s="154"/>
      <c r="N1215" s="154"/>
      <c r="Q1215" s="154"/>
    </row>
    <row r="1216" spans="8:17">
      <c r="H1216" s="154"/>
      <c r="K1216" s="154"/>
      <c r="N1216" s="154"/>
      <c r="Q1216" s="154"/>
    </row>
    <row r="1217" spans="8:17">
      <c r="H1217" s="154"/>
      <c r="K1217" s="154"/>
      <c r="N1217" s="154"/>
      <c r="Q1217" s="154"/>
    </row>
    <row r="1218" spans="8:17">
      <c r="H1218" s="154"/>
      <c r="K1218" s="154"/>
      <c r="N1218" s="154"/>
      <c r="Q1218" s="154"/>
    </row>
    <row r="1219" spans="8:17">
      <c r="H1219" s="154"/>
      <c r="K1219" s="154"/>
      <c r="N1219" s="154"/>
      <c r="Q1219" s="154"/>
    </row>
    <row r="1220" spans="8:17">
      <c r="H1220" s="154"/>
      <c r="K1220" s="154"/>
      <c r="N1220" s="154"/>
      <c r="Q1220" s="154"/>
    </row>
    <row r="1221" spans="8:17">
      <c r="H1221" s="154"/>
      <c r="K1221" s="154"/>
      <c r="N1221" s="154"/>
      <c r="Q1221" s="154"/>
    </row>
    <row r="1222" spans="8:17">
      <c r="H1222" s="154"/>
      <c r="K1222" s="154"/>
      <c r="N1222" s="154"/>
      <c r="Q1222" s="154"/>
    </row>
    <row r="1223" spans="8:17">
      <c r="H1223" s="154"/>
      <c r="K1223" s="154"/>
      <c r="N1223" s="154"/>
      <c r="Q1223" s="154"/>
    </row>
    <row r="1224" spans="8:17">
      <c r="H1224" s="154"/>
      <c r="K1224" s="154"/>
      <c r="N1224" s="154"/>
      <c r="Q1224" s="154"/>
    </row>
    <row r="1225" spans="8:17">
      <c r="H1225" s="154"/>
      <c r="K1225" s="154"/>
      <c r="N1225" s="154"/>
      <c r="Q1225" s="154"/>
    </row>
    <row r="1226" spans="8:17">
      <c r="H1226" s="154"/>
      <c r="K1226" s="154"/>
      <c r="N1226" s="154"/>
      <c r="Q1226" s="154"/>
    </row>
    <row r="1227" spans="8:17">
      <c r="H1227" s="154"/>
      <c r="K1227" s="154"/>
      <c r="N1227" s="154"/>
      <c r="Q1227" s="154"/>
    </row>
    <row r="1228" spans="8:17">
      <c r="H1228" s="154"/>
      <c r="K1228" s="154"/>
      <c r="N1228" s="154"/>
      <c r="Q1228" s="154"/>
    </row>
    <row r="1229" spans="8:17">
      <c r="H1229" s="154"/>
      <c r="K1229" s="154"/>
      <c r="N1229" s="154"/>
      <c r="Q1229" s="154"/>
    </row>
    <row r="1230" spans="8:17">
      <c r="H1230" s="154"/>
      <c r="K1230" s="154"/>
      <c r="N1230" s="154"/>
      <c r="Q1230" s="154"/>
    </row>
    <row r="1231" spans="8:17">
      <c r="H1231" s="154"/>
      <c r="K1231" s="154"/>
      <c r="N1231" s="154"/>
      <c r="Q1231" s="154"/>
    </row>
    <row r="1232" spans="8:17">
      <c r="H1232" s="154"/>
      <c r="K1232" s="154"/>
      <c r="N1232" s="154"/>
      <c r="Q1232" s="154"/>
    </row>
    <row r="1233" spans="8:17">
      <c r="H1233" s="154"/>
      <c r="K1233" s="154"/>
      <c r="N1233" s="154"/>
      <c r="Q1233" s="154"/>
    </row>
    <row r="1234" spans="8:17">
      <c r="H1234" s="154"/>
      <c r="K1234" s="154"/>
      <c r="N1234" s="154"/>
      <c r="Q1234" s="154"/>
    </row>
    <row r="1235" spans="8:17">
      <c r="H1235" s="154"/>
      <c r="K1235" s="154"/>
      <c r="N1235" s="154"/>
      <c r="Q1235" s="154"/>
    </row>
    <row r="1236" spans="8:17">
      <c r="H1236" s="154"/>
      <c r="K1236" s="154"/>
      <c r="N1236" s="154"/>
      <c r="Q1236" s="154"/>
    </row>
    <row r="1237" spans="8:17">
      <c r="H1237" s="154"/>
      <c r="K1237" s="154"/>
      <c r="N1237" s="154"/>
      <c r="Q1237" s="154"/>
    </row>
    <row r="1238" spans="8:17">
      <c r="H1238" s="154"/>
      <c r="K1238" s="154"/>
      <c r="N1238" s="154"/>
      <c r="Q1238" s="154"/>
    </row>
    <row r="1239" spans="8:17">
      <c r="H1239" s="154"/>
      <c r="K1239" s="154"/>
      <c r="N1239" s="154"/>
      <c r="Q1239" s="154"/>
    </row>
    <row r="1240" spans="8:17">
      <c r="H1240" s="154"/>
      <c r="K1240" s="154"/>
      <c r="N1240" s="154"/>
      <c r="Q1240" s="154"/>
    </row>
    <row r="1241" spans="8:17">
      <c r="H1241" s="154"/>
      <c r="K1241" s="154"/>
      <c r="N1241" s="154"/>
      <c r="Q1241" s="154"/>
    </row>
    <row r="1242" spans="8:17">
      <c r="H1242" s="154"/>
      <c r="K1242" s="154"/>
      <c r="N1242" s="154"/>
      <c r="Q1242" s="154"/>
    </row>
    <row r="1243" spans="8:17">
      <c r="H1243" s="154"/>
      <c r="K1243" s="154"/>
      <c r="N1243" s="154"/>
      <c r="Q1243" s="154"/>
    </row>
    <row r="1244" spans="8:17">
      <c r="H1244" s="154"/>
      <c r="K1244" s="154"/>
      <c r="N1244" s="154"/>
      <c r="Q1244" s="154"/>
    </row>
    <row r="1245" spans="8:17">
      <c r="H1245" s="154"/>
      <c r="K1245" s="154"/>
      <c r="N1245" s="154"/>
      <c r="Q1245" s="154"/>
    </row>
    <row r="1246" spans="8:17">
      <c r="H1246" s="154"/>
      <c r="K1246" s="154"/>
      <c r="N1246" s="154"/>
      <c r="Q1246" s="154"/>
    </row>
    <row r="1247" spans="8:17">
      <c r="H1247" s="154"/>
      <c r="K1247" s="154"/>
      <c r="N1247" s="154"/>
      <c r="Q1247" s="154"/>
    </row>
    <row r="1248" spans="8:17">
      <c r="H1248" s="154"/>
      <c r="K1248" s="154"/>
      <c r="N1248" s="154"/>
      <c r="Q1248" s="154"/>
    </row>
    <row r="1249" spans="8:17">
      <c r="H1249" s="154"/>
      <c r="K1249" s="154"/>
      <c r="N1249" s="154"/>
      <c r="Q1249" s="154"/>
    </row>
    <row r="1250" spans="8:17">
      <c r="H1250" s="154"/>
      <c r="K1250" s="154"/>
      <c r="N1250" s="154"/>
      <c r="Q1250" s="154"/>
    </row>
    <row r="1251" spans="8:17">
      <c r="H1251" s="154"/>
      <c r="K1251" s="154"/>
      <c r="N1251" s="154"/>
      <c r="Q1251" s="154"/>
    </row>
    <row r="1252" spans="8:17">
      <c r="H1252" s="154"/>
      <c r="K1252" s="154"/>
      <c r="N1252" s="154"/>
      <c r="Q1252" s="154"/>
    </row>
    <row r="1253" spans="8:17">
      <c r="H1253" s="154"/>
      <c r="K1253" s="154"/>
      <c r="N1253" s="154"/>
      <c r="Q1253" s="154"/>
    </row>
    <row r="1254" spans="8:17">
      <c r="H1254" s="154"/>
      <c r="K1254" s="154"/>
      <c r="N1254" s="154"/>
      <c r="Q1254" s="154"/>
    </row>
    <row r="1255" spans="8:17">
      <c r="H1255" s="154"/>
      <c r="K1255" s="154"/>
      <c r="N1255" s="154"/>
      <c r="Q1255" s="154"/>
    </row>
    <row r="1256" spans="8:17">
      <c r="H1256" s="154"/>
      <c r="K1256" s="154"/>
      <c r="N1256" s="154"/>
      <c r="Q1256" s="154"/>
    </row>
    <row r="1257" spans="8:17">
      <c r="H1257" s="154"/>
      <c r="K1257" s="154"/>
      <c r="N1257" s="154"/>
      <c r="Q1257" s="154"/>
    </row>
    <row r="1258" spans="8:17">
      <c r="H1258" s="154"/>
      <c r="K1258" s="154"/>
      <c r="N1258" s="154"/>
      <c r="Q1258" s="154"/>
    </row>
    <row r="1259" spans="8:17">
      <c r="H1259" s="154"/>
      <c r="K1259" s="154"/>
      <c r="N1259" s="154"/>
      <c r="Q1259" s="154"/>
    </row>
    <row r="1260" spans="8:17">
      <c r="H1260" s="154"/>
      <c r="K1260" s="154"/>
      <c r="N1260" s="154"/>
      <c r="Q1260" s="154"/>
    </row>
    <row r="1261" spans="8:17">
      <c r="H1261" s="154"/>
      <c r="K1261" s="154"/>
      <c r="N1261" s="154"/>
      <c r="Q1261" s="154"/>
    </row>
    <row r="1262" spans="8:17">
      <c r="H1262" s="154"/>
      <c r="K1262" s="154"/>
      <c r="N1262" s="154"/>
      <c r="Q1262" s="154"/>
    </row>
    <row r="1263" spans="8:17">
      <c r="H1263" s="154"/>
      <c r="K1263" s="154"/>
      <c r="N1263" s="154"/>
      <c r="Q1263" s="154"/>
    </row>
  </sheetData>
  <hyperlinks>
    <hyperlink ref="J8" r:id="rId1" xr:uid="{00000000-0004-0000-0600-000000000000}"/>
    <hyperlink ref="M8" r:id="rId2" xr:uid="{00000000-0004-0000-0600-000001000000}"/>
    <hyperlink ref="P8" r:id="rId3" xr:uid="{00000000-0004-0000-0600-000002000000}"/>
    <hyperlink ref="S8" r:id="rId4" xr:uid="{00000000-0004-0000-0600-000003000000}"/>
    <hyperlink ref="V8" r:id="rId5" xr:uid="{00000000-0004-0000-0600-000004000000}"/>
  </hyperlinks>
  <pageMargins left="0.511811024" right="0.511811024" top="0.78740157499999996" bottom="0.78740157499999996" header="0.31496062000000002" footer="0.31496062000000002"/>
  <tableParts count="14">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1263"/>
  <sheetViews>
    <sheetView topLeftCell="E1" workbookViewId="0">
      <selection activeCell="W5" sqref="W5"/>
    </sheetView>
  </sheetViews>
  <sheetFormatPr defaultColWidth="12.5703125" defaultRowHeight="15" customHeight="1"/>
  <cols>
    <col min="6" max="6" width="11.140625" customWidth="1"/>
    <col min="8" max="8" width="8.42578125" customWidth="1"/>
    <col min="9" max="10" width="6.85546875" customWidth="1"/>
    <col min="11" max="11" width="9.42578125" customWidth="1"/>
    <col min="12" max="13" width="6.42578125" customWidth="1"/>
    <col min="14" max="14" width="8.5703125" customWidth="1"/>
    <col min="15" max="15" width="5.85546875" customWidth="1"/>
    <col min="16" max="16" width="7.28515625" customWidth="1"/>
    <col min="17" max="17" width="8.7109375" customWidth="1"/>
    <col min="18" max="20" width="7.7109375" customWidth="1"/>
    <col min="21" max="21" width="6.5703125" customWidth="1"/>
    <col min="22" max="22" width="7.140625" customWidth="1"/>
  </cols>
  <sheetData>
    <row r="1" spans="1:23" ht="18">
      <c r="A1" s="28" t="s">
        <v>754</v>
      </c>
      <c r="B1" s="2"/>
      <c r="C1" s="2"/>
      <c r="D1" s="2"/>
      <c r="E1" s="2"/>
      <c r="F1" s="2"/>
      <c r="G1" s="2"/>
      <c r="H1" s="29"/>
      <c r="I1" s="2"/>
      <c r="J1" s="2"/>
      <c r="K1" s="29"/>
      <c r="L1" s="2"/>
      <c r="M1" s="2"/>
      <c r="N1" s="29"/>
      <c r="O1" s="2"/>
      <c r="P1" s="2"/>
      <c r="Q1" s="29"/>
      <c r="R1" s="2"/>
      <c r="S1" s="2"/>
      <c r="T1" s="2"/>
      <c r="U1" s="2"/>
      <c r="V1" s="34"/>
      <c r="W1" s="2"/>
    </row>
    <row r="2" spans="1:23">
      <c r="A2" s="33" t="s">
        <v>4</v>
      </c>
      <c r="B2" s="2"/>
      <c r="C2" s="2"/>
      <c r="D2" s="2"/>
      <c r="E2" s="2"/>
      <c r="F2" s="2"/>
      <c r="G2" s="2"/>
      <c r="H2" s="29"/>
      <c r="I2" s="2"/>
      <c r="J2" s="2"/>
      <c r="K2" s="29"/>
      <c r="L2" s="2"/>
      <c r="M2" s="2"/>
      <c r="N2" s="29"/>
      <c r="O2" s="2"/>
      <c r="P2" s="2"/>
      <c r="Q2" s="29"/>
      <c r="R2" s="2"/>
      <c r="S2" s="2"/>
      <c r="T2" s="2"/>
      <c r="U2" s="2"/>
      <c r="V2" s="34"/>
      <c r="W2" s="2"/>
    </row>
    <row r="3" spans="1:23">
      <c r="A3" s="1" t="s">
        <v>4</v>
      </c>
      <c r="B3" s="2"/>
      <c r="C3" s="2"/>
      <c r="D3" s="2"/>
      <c r="E3" s="2"/>
      <c r="F3" s="2"/>
      <c r="G3" s="2"/>
      <c r="H3" s="2" t="s">
        <v>5</v>
      </c>
      <c r="I3" s="2"/>
      <c r="J3" s="2"/>
      <c r="K3" s="29"/>
      <c r="L3" s="2"/>
      <c r="M3" s="2"/>
      <c r="N3" s="29"/>
      <c r="O3" s="2"/>
      <c r="P3" s="2"/>
      <c r="Q3" s="29"/>
      <c r="R3" s="2"/>
      <c r="S3" s="2"/>
      <c r="T3" s="2"/>
      <c r="U3" s="2"/>
      <c r="V3" s="34"/>
      <c r="W3" s="2" t="s">
        <v>455</v>
      </c>
    </row>
    <row r="4" spans="1:23">
      <c r="A4" s="2"/>
      <c r="B4" s="2"/>
      <c r="C4" s="2"/>
      <c r="D4" s="2"/>
      <c r="E4" s="2"/>
      <c r="F4" s="2"/>
      <c r="G4" s="2"/>
      <c r="H4" s="29"/>
      <c r="I4" s="2"/>
      <c r="J4" s="34"/>
      <c r="K4" s="29"/>
      <c r="L4" s="2"/>
      <c r="M4" s="34"/>
      <c r="N4" s="29"/>
      <c r="O4" s="2"/>
      <c r="P4" s="34"/>
      <c r="Q4" s="29"/>
      <c r="R4" s="2"/>
      <c r="S4" s="34"/>
      <c r="T4" s="161"/>
      <c r="U4" s="19"/>
      <c r="V4" s="162"/>
      <c r="W4" s="2" t="s">
        <v>455</v>
      </c>
    </row>
    <row r="5" spans="1:23">
      <c r="A5" s="2"/>
      <c r="B5" s="2"/>
      <c r="C5" s="2"/>
      <c r="D5" s="2"/>
      <c r="E5" s="2"/>
      <c r="F5" s="2"/>
      <c r="G5" s="2"/>
      <c r="H5" s="35" t="s">
        <v>439</v>
      </c>
      <c r="I5" s="2"/>
      <c r="J5" s="34"/>
      <c r="K5" s="35" t="s">
        <v>439</v>
      </c>
      <c r="L5" s="2"/>
      <c r="M5" s="34"/>
      <c r="N5" s="35" t="s">
        <v>439</v>
      </c>
      <c r="O5" s="2"/>
      <c r="P5" s="34"/>
      <c r="Q5" s="35" t="s">
        <v>439</v>
      </c>
      <c r="R5" s="2"/>
      <c r="S5" s="34"/>
      <c r="T5" s="163" t="s">
        <v>439</v>
      </c>
      <c r="U5" s="19"/>
      <c r="V5" s="162"/>
      <c r="W5" s="2" t="s">
        <v>455</v>
      </c>
    </row>
    <row r="6" spans="1:23">
      <c r="A6" s="2"/>
      <c r="B6" s="2"/>
      <c r="C6" s="2"/>
      <c r="D6" s="2"/>
      <c r="E6" s="2"/>
      <c r="F6" s="2"/>
      <c r="G6" s="2"/>
      <c r="H6" s="29" t="s">
        <v>440</v>
      </c>
      <c r="I6" s="2"/>
      <c r="J6" s="34"/>
      <c r="K6" s="29" t="s">
        <v>441</v>
      </c>
      <c r="L6" s="2"/>
      <c r="M6" s="34"/>
      <c r="N6" s="29" t="s">
        <v>442</v>
      </c>
      <c r="O6" s="2"/>
      <c r="P6" s="34"/>
      <c r="Q6" s="29" t="s">
        <v>442</v>
      </c>
      <c r="R6" s="2"/>
      <c r="S6" s="34"/>
      <c r="T6" s="161"/>
      <c r="U6" s="19"/>
      <c r="V6" s="162"/>
      <c r="W6" s="2" t="s">
        <v>455</v>
      </c>
    </row>
    <row r="7" spans="1:23">
      <c r="A7" s="2"/>
      <c r="B7" s="2"/>
      <c r="C7" s="2"/>
      <c r="D7" s="2"/>
      <c r="E7" s="2"/>
      <c r="F7" s="2"/>
      <c r="G7" s="2"/>
      <c r="H7" s="29"/>
      <c r="I7" s="2"/>
      <c r="J7" s="34"/>
      <c r="K7" s="29" t="s">
        <v>443</v>
      </c>
      <c r="L7" s="2"/>
      <c r="M7" s="34"/>
      <c r="N7" s="29"/>
      <c r="O7" s="2"/>
      <c r="P7" s="34"/>
      <c r="Q7" s="29"/>
      <c r="R7" s="2"/>
      <c r="S7" s="34"/>
      <c r="T7" s="161"/>
      <c r="U7" s="19"/>
      <c r="V7" s="162"/>
      <c r="W7" s="2" t="s">
        <v>455</v>
      </c>
    </row>
    <row r="8" spans="1:23" ht="18">
      <c r="A8" s="28" t="s">
        <v>444</v>
      </c>
      <c r="B8" s="2"/>
      <c r="C8" s="2"/>
      <c r="D8" s="2"/>
      <c r="E8" s="1"/>
      <c r="F8" s="2"/>
      <c r="G8" s="2"/>
      <c r="H8" s="35" t="s">
        <v>445</v>
      </c>
      <c r="I8" s="36"/>
      <c r="J8" s="37" t="s">
        <v>446</v>
      </c>
      <c r="K8" s="35" t="s">
        <v>447</v>
      </c>
      <c r="L8" s="36"/>
      <c r="M8" s="37" t="s">
        <v>448</v>
      </c>
      <c r="N8" s="35" t="s">
        <v>449</v>
      </c>
      <c r="O8" s="36"/>
      <c r="P8" s="37" t="s">
        <v>450</v>
      </c>
      <c r="Q8" s="35" t="s">
        <v>485</v>
      </c>
      <c r="R8" s="36"/>
      <c r="S8" s="37" t="s">
        <v>452</v>
      </c>
      <c r="T8" s="163" t="s">
        <v>453</v>
      </c>
      <c r="U8" s="164"/>
      <c r="V8" s="165" t="s">
        <v>454</v>
      </c>
      <c r="W8" s="2" t="s">
        <v>455</v>
      </c>
    </row>
    <row r="9" spans="1:23">
      <c r="A9" s="39" t="s">
        <v>456</v>
      </c>
      <c r="B9" s="39" t="s">
        <v>457</v>
      </c>
      <c r="C9" s="39" t="s">
        <v>458</v>
      </c>
      <c r="D9" s="40" t="s">
        <v>15</v>
      </c>
      <c r="E9" s="40" t="s">
        <v>16</v>
      </c>
      <c r="F9" s="40" t="s">
        <v>17</v>
      </c>
      <c r="G9" s="1"/>
      <c r="H9" s="41" t="s">
        <v>421</v>
      </c>
      <c r="I9" s="1" t="s">
        <v>459</v>
      </c>
      <c r="J9" s="42" t="s">
        <v>460</v>
      </c>
      <c r="K9" s="41" t="s">
        <v>421</v>
      </c>
      <c r="L9" s="1" t="s">
        <v>459</v>
      </c>
      <c r="M9" s="42" t="s">
        <v>460</v>
      </c>
      <c r="N9" s="41" t="s">
        <v>421</v>
      </c>
      <c r="O9" s="1" t="s">
        <v>459</v>
      </c>
      <c r="P9" s="42" t="s">
        <v>460</v>
      </c>
      <c r="Q9" s="41" t="s">
        <v>421</v>
      </c>
      <c r="R9" s="1" t="s">
        <v>459</v>
      </c>
      <c r="S9" s="42" t="s">
        <v>460</v>
      </c>
      <c r="T9" s="166" t="s">
        <v>421</v>
      </c>
      <c r="U9" s="1" t="s">
        <v>459</v>
      </c>
      <c r="V9" s="167" t="s">
        <v>460</v>
      </c>
      <c r="W9" s="2" t="s">
        <v>455</v>
      </c>
    </row>
    <row r="10" spans="1:23">
      <c r="A10" s="43">
        <v>1</v>
      </c>
      <c r="B10" s="43" t="s">
        <v>19</v>
      </c>
      <c r="C10" s="43" t="s">
        <v>20</v>
      </c>
      <c r="D10" s="43">
        <v>0</v>
      </c>
      <c r="E10" s="43">
        <v>0</v>
      </c>
      <c r="F10" s="44">
        <f t="shared" ref="F10:F45" si="0">SUM(D10:E10)/2</f>
        <v>0</v>
      </c>
      <c r="G10" s="45"/>
      <c r="H10" s="168">
        <v>20</v>
      </c>
      <c r="I10" s="169">
        <f t="shared" ref="I10:I138" si="1">(H10-F10)^2</f>
        <v>400</v>
      </c>
      <c r="J10" s="170">
        <f t="shared" ref="J10:J138" si="2">ABS(H10-F10)</f>
        <v>20</v>
      </c>
      <c r="K10" s="168">
        <v>25</v>
      </c>
      <c r="L10" s="169">
        <f t="shared" ref="L10:L138" si="3">(K10-F10)^2</f>
        <v>625</v>
      </c>
      <c r="M10" s="170">
        <f t="shared" ref="M10:M138" si="4">ABS(K10-F10)</f>
        <v>25</v>
      </c>
      <c r="N10" s="168">
        <v>10</v>
      </c>
      <c r="O10" s="169">
        <f t="shared" ref="O10:O138" si="5">(N10-F10)^2</f>
        <v>100</v>
      </c>
      <c r="P10" s="170">
        <f t="shared" ref="P10:P138" si="6">ABS(N10-F10)</f>
        <v>10</v>
      </c>
      <c r="Q10" s="168">
        <v>25</v>
      </c>
      <c r="R10" s="169">
        <f t="shared" ref="R10:R138" si="7">(Q10-F10)^2</f>
        <v>625</v>
      </c>
      <c r="S10" s="170">
        <f t="shared" ref="S10:S138" si="8">ABS(Q10-F10)</f>
        <v>25</v>
      </c>
      <c r="T10" s="171">
        <v>20</v>
      </c>
      <c r="U10" s="169">
        <f t="shared" ref="U10:U138" si="9">(T10-F10)^2</f>
        <v>400</v>
      </c>
      <c r="V10" s="170">
        <f t="shared" ref="V10:V138" si="10">ABS(T10-F10)</f>
        <v>20</v>
      </c>
      <c r="W10" s="2"/>
    </row>
    <row r="11" spans="1:23">
      <c r="A11" s="49">
        <v>2</v>
      </c>
      <c r="B11" s="49" t="s">
        <v>19</v>
      </c>
      <c r="C11" s="49" t="s">
        <v>23</v>
      </c>
      <c r="D11" s="49">
        <v>20</v>
      </c>
      <c r="E11" s="49">
        <v>0</v>
      </c>
      <c r="F11" s="50">
        <f t="shared" si="0"/>
        <v>10</v>
      </c>
      <c r="G11" s="45"/>
      <c r="H11" s="168">
        <v>20</v>
      </c>
      <c r="I11" s="169">
        <f t="shared" si="1"/>
        <v>100</v>
      </c>
      <c r="J11" s="170">
        <f t="shared" si="2"/>
        <v>10</v>
      </c>
      <c r="K11" s="168">
        <v>10</v>
      </c>
      <c r="L11" s="169">
        <f t="shared" si="3"/>
        <v>0</v>
      </c>
      <c r="M11" s="170">
        <f t="shared" si="4"/>
        <v>0</v>
      </c>
      <c r="N11" s="168">
        <v>30</v>
      </c>
      <c r="O11" s="169">
        <f t="shared" si="5"/>
        <v>400</v>
      </c>
      <c r="P11" s="170">
        <f t="shared" si="6"/>
        <v>20</v>
      </c>
      <c r="Q11" s="168">
        <v>25</v>
      </c>
      <c r="R11" s="169">
        <f t="shared" si="7"/>
        <v>225</v>
      </c>
      <c r="S11" s="170">
        <f t="shared" si="8"/>
        <v>15</v>
      </c>
      <c r="T11" s="171">
        <v>20</v>
      </c>
      <c r="U11" s="169">
        <f t="shared" si="9"/>
        <v>100</v>
      </c>
      <c r="V11" s="170">
        <f t="shared" si="10"/>
        <v>10</v>
      </c>
      <c r="W11" s="2"/>
    </row>
    <row r="12" spans="1:23">
      <c r="A12" s="49">
        <v>3</v>
      </c>
      <c r="B12" s="49" t="s">
        <v>19</v>
      </c>
      <c r="C12" s="49" t="s">
        <v>26</v>
      </c>
      <c r="D12" s="49">
        <v>20</v>
      </c>
      <c r="E12" s="49">
        <v>15</v>
      </c>
      <c r="F12" s="50">
        <f t="shared" si="0"/>
        <v>17.5</v>
      </c>
      <c r="G12" s="45"/>
      <c r="H12" s="168">
        <v>20</v>
      </c>
      <c r="I12" s="169">
        <f t="shared" si="1"/>
        <v>6.25</v>
      </c>
      <c r="J12" s="170">
        <f t="shared" si="2"/>
        <v>2.5</v>
      </c>
      <c r="K12" s="168">
        <v>20</v>
      </c>
      <c r="L12" s="169">
        <f t="shared" si="3"/>
        <v>6.25</v>
      </c>
      <c r="M12" s="170">
        <f t="shared" si="4"/>
        <v>2.5</v>
      </c>
      <c r="N12" s="168">
        <v>20</v>
      </c>
      <c r="O12" s="169">
        <f t="shared" si="5"/>
        <v>6.25</v>
      </c>
      <c r="P12" s="170">
        <f t="shared" si="6"/>
        <v>2.5</v>
      </c>
      <c r="Q12" s="168">
        <v>15</v>
      </c>
      <c r="R12" s="169">
        <f t="shared" si="7"/>
        <v>6.25</v>
      </c>
      <c r="S12" s="170">
        <f t="shared" si="8"/>
        <v>2.5</v>
      </c>
      <c r="T12" s="171">
        <v>20</v>
      </c>
      <c r="U12" s="169">
        <f t="shared" si="9"/>
        <v>6.25</v>
      </c>
      <c r="V12" s="170">
        <f t="shared" si="10"/>
        <v>2.5</v>
      </c>
      <c r="W12" s="2"/>
    </row>
    <row r="13" spans="1:23">
      <c r="A13" s="51">
        <v>4</v>
      </c>
      <c r="B13" s="49" t="s">
        <v>19</v>
      </c>
      <c r="C13" s="50" t="s">
        <v>29</v>
      </c>
      <c r="D13" s="49">
        <v>40</v>
      </c>
      <c r="E13" s="49">
        <v>30</v>
      </c>
      <c r="F13" s="50">
        <f t="shared" si="0"/>
        <v>35</v>
      </c>
      <c r="G13" s="45"/>
      <c r="H13" s="168">
        <v>30</v>
      </c>
      <c r="I13" s="169">
        <f t="shared" si="1"/>
        <v>25</v>
      </c>
      <c r="J13" s="170">
        <f t="shared" si="2"/>
        <v>5</v>
      </c>
      <c r="K13" s="168">
        <v>40</v>
      </c>
      <c r="L13" s="169">
        <f t="shared" si="3"/>
        <v>25</v>
      </c>
      <c r="M13" s="170">
        <f t="shared" si="4"/>
        <v>5</v>
      </c>
      <c r="N13" s="168">
        <v>40</v>
      </c>
      <c r="O13" s="169">
        <f t="shared" si="5"/>
        <v>25</v>
      </c>
      <c r="P13" s="170">
        <f t="shared" si="6"/>
        <v>5</v>
      </c>
      <c r="Q13" s="168">
        <v>35</v>
      </c>
      <c r="R13" s="169">
        <f t="shared" si="7"/>
        <v>0</v>
      </c>
      <c r="S13" s="170">
        <f t="shared" si="8"/>
        <v>0</v>
      </c>
      <c r="T13" s="171">
        <v>30</v>
      </c>
      <c r="U13" s="169">
        <f t="shared" si="9"/>
        <v>25</v>
      </c>
      <c r="V13" s="170">
        <f t="shared" si="10"/>
        <v>5</v>
      </c>
      <c r="W13" s="2"/>
    </row>
    <row r="14" spans="1:23">
      <c r="A14" s="49">
        <v>5</v>
      </c>
      <c r="B14" s="49" t="s">
        <v>19</v>
      </c>
      <c r="C14" s="49" t="s">
        <v>32</v>
      </c>
      <c r="D14" s="49">
        <v>5</v>
      </c>
      <c r="E14" s="49">
        <v>10</v>
      </c>
      <c r="F14" s="50">
        <f t="shared" si="0"/>
        <v>7.5</v>
      </c>
      <c r="G14" s="45"/>
      <c r="H14" s="168">
        <v>10</v>
      </c>
      <c r="I14" s="169">
        <f t="shared" si="1"/>
        <v>6.25</v>
      </c>
      <c r="J14" s="170">
        <f t="shared" si="2"/>
        <v>2.5</v>
      </c>
      <c r="K14" s="171">
        <v>25</v>
      </c>
      <c r="L14" s="169">
        <f t="shared" si="3"/>
        <v>306.25</v>
      </c>
      <c r="M14" s="170">
        <f t="shared" si="4"/>
        <v>17.5</v>
      </c>
      <c r="N14" s="171">
        <v>10</v>
      </c>
      <c r="O14" s="169">
        <f t="shared" si="5"/>
        <v>6.25</v>
      </c>
      <c r="P14" s="170">
        <f t="shared" si="6"/>
        <v>2.5</v>
      </c>
      <c r="Q14" s="171">
        <v>15</v>
      </c>
      <c r="R14" s="169">
        <f t="shared" si="7"/>
        <v>56.25</v>
      </c>
      <c r="S14" s="170">
        <f t="shared" si="8"/>
        <v>7.5</v>
      </c>
      <c r="T14" s="171">
        <v>20</v>
      </c>
      <c r="U14" s="169">
        <f t="shared" si="9"/>
        <v>156.25</v>
      </c>
      <c r="V14" s="170">
        <f t="shared" si="10"/>
        <v>12.5</v>
      </c>
      <c r="W14" s="2"/>
    </row>
    <row r="15" spans="1:23">
      <c r="A15" s="49">
        <v>6</v>
      </c>
      <c r="B15" s="50" t="s">
        <v>19</v>
      </c>
      <c r="C15" s="50" t="s">
        <v>35</v>
      </c>
      <c r="D15" s="49">
        <v>5</v>
      </c>
      <c r="E15" s="49">
        <v>10</v>
      </c>
      <c r="F15" s="50">
        <f t="shared" si="0"/>
        <v>7.5</v>
      </c>
      <c r="G15" s="45"/>
      <c r="H15" s="168">
        <v>20</v>
      </c>
      <c r="I15" s="169">
        <f t="shared" si="1"/>
        <v>156.25</v>
      </c>
      <c r="J15" s="170">
        <f t="shared" si="2"/>
        <v>12.5</v>
      </c>
      <c r="K15" s="168">
        <v>20</v>
      </c>
      <c r="L15" s="169">
        <f t="shared" si="3"/>
        <v>156.25</v>
      </c>
      <c r="M15" s="170">
        <f t="shared" si="4"/>
        <v>12.5</v>
      </c>
      <c r="N15" s="168">
        <v>20</v>
      </c>
      <c r="O15" s="169">
        <f t="shared" si="5"/>
        <v>156.25</v>
      </c>
      <c r="P15" s="170">
        <f t="shared" si="6"/>
        <v>12.5</v>
      </c>
      <c r="Q15" s="168">
        <v>25</v>
      </c>
      <c r="R15" s="169">
        <f t="shared" si="7"/>
        <v>306.25</v>
      </c>
      <c r="S15" s="170">
        <f t="shared" si="8"/>
        <v>17.5</v>
      </c>
      <c r="T15" s="171">
        <v>20</v>
      </c>
      <c r="U15" s="169">
        <f t="shared" si="9"/>
        <v>156.25</v>
      </c>
      <c r="V15" s="170">
        <f t="shared" si="10"/>
        <v>12.5</v>
      </c>
      <c r="W15" s="2"/>
    </row>
    <row r="16" spans="1:23">
      <c r="A16" s="43">
        <v>7</v>
      </c>
      <c r="B16" s="49" t="s">
        <v>19</v>
      </c>
      <c r="C16" s="49" t="s">
        <v>37</v>
      </c>
      <c r="D16" s="49">
        <v>15</v>
      </c>
      <c r="E16" s="49">
        <v>15</v>
      </c>
      <c r="F16" s="50">
        <f t="shared" si="0"/>
        <v>15</v>
      </c>
      <c r="G16" s="45"/>
      <c r="H16" s="168">
        <v>20</v>
      </c>
      <c r="I16" s="169">
        <f t="shared" si="1"/>
        <v>25</v>
      </c>
      <c r="J16" s="170">
        <f t="shared" si="2"/>
        <v>5</v>
      </c>
      <c r="K16" s="168">
        <v>30</v>
      </c>
      <c r="L16" s="169">
        <f t="shared" si="3"/>
        <v>225</v>
      </c>
      <c r="M16" s="170">
        <f t="shared" si="4"/>
        <v>15</v>
      </c>
      <c r="N16" s="168">
        <v>30</v>
      </c>
      <c r="O16" s="169">
        <f t="shared" si="5"/>
        <v>225</v>
      </c>
      <c r="P16" s="170">
        <f t="shared" si="6"/>
        <v>15</v>
      </c>
      <c r="Q16" s="168">
        <v>25</v>
      </c>
      <c r="R16" s="169">
        <f t="shared" si="7"/>
        <v>100</v>
      </c>
      <c r="S16" s="170">
        <f t="shared" si="8"/>
        <v>10</v>
      </c>
      <c r="T16" s="171">
        <v>20</v>
      </c>
      <c r="U16" s="169">
        <f t="shared" si="9"/>
        <v>25</v>
      </c>
      <c r="V16" s="170">
        <f t="shared" si="10"/>
        <v>5</v>
      </c>
      <c r="W16" s="2"/>
    </row>
    <row r="17" spans="1:23">
      <c r="A17" s="49">
        <v>8</v>
      </c>
      <c r="B17" s="49" t="s">
        <v>19</v>
      </c>
      <c r="C17" s="50" t="s">
        <v>40</v>
      </c>
      <c r="D17" s="49">
        <v>25</v>
      </c>
      <c r="E17" s="49">
        <v>10</v>
      </c>
      <c r="F17" s="50">
        <f t="shared" si="0"/>
        <v>17.5</v>
      </c>
      <c r="G17" s="45"/>
      <c r="H17" s="168">
        <v>20</v>
      </c>
      <c r="I17" s="169">
        <f t="shared" si="1"/>
        <v>6.25</v>
      </c>
      <c r="J17" s="170">
        <f t="shared" si="2"/>
        <v>2.5</v>
      </c>
      <c r="K17" s="168">
        <v>25</v>
      </c>
      <c r="L17" s="169">
        <f t="shared" si="3"/>
        <v>56.25</v>
      </c>
      <c r="M17" s="170">
        <f t="shared" si="4"/>
        <v>7.5</v>
      </c>
      <c r="N17" s="168">
        <v>10</v>
      </c>
      <c r="O17" s="169">
        <f t="shared" si="5"/>
        <v>56.25</v>
      </c>
      <c r="P17" s="170">
        <f t="shared" si="6"/>
        <v>7.5</v>
      </c>
      <c r="Q17" s="168">
        <v>25</v>
      </c>
      <c r="R17" s="169">
        <f t="shared" si="7"/>
        <v>56.25</v>
      </c>
      <c r="S17" s="170">
        <f t="shared" si="8"/>
        <v>7.5</v>
      </c>
      <c r="T17" s="171">
        <v>20</v>
      </c>
      <c r="U17" s="169">
        <f t="shared" si="9"/>
        <v>6.25</v>
      </c>
      <c r="V17" s="170">
        <f t="shared" si="10"/>
        <v>2.5</v>
      </c>
      <c r="W17" s="2"/>
    </row>
    <row r="18" spans="1:23">
      <c r="A18" s="49">
        <v>9</v>
      </c>
      <c r="B18" s="49" t="s">
        <v>19</v>
      </c>
      <c r="C18" s="49" t="s">
        <v>43</v>
      </c>
      <c r="D18" s="49">
        <v>25</v>
      </c>
      <c r="E18" s="49">
        <v>25</v>
      </c>
      <c r="F18" s="50">
        <f t="shared" si="0"/>
        <v>25</v>
      </c>
      <c r="G18" s="45"/>
      <c r="H18" s="168">
        <v>20</v>
      </c>
      <c r="I18" s="169">
        <f t="shared" si="1"/>
        <v>25</v>
      </c>
      <c r="J18" s="170">
        <f t="shared" si="2"/>
        <v>5</v>
      </c>
      <c r="K18" s="168">
        <v>15</v>
      </c>
      <c r="L18" s="169">
        <f t="shared" si="3"/>
        <v>100</v>
      </c>
      <c r="M18" s="170">
        <f t="shared" si="4"/>
        <v>10</v>
      </c>
      <c r="N18" s="168">
        <v>10</v>
      </c>
      <c r="O18" s="169">
        <f t="shared" si="5"/>
        <v>225</v>
      </c>
      <c r="P18" s="170">
        <f t="shared" si="6"/>
        <v>15</v>
      </c>
      <c r="Q18" s="168">
        <v>25</v>
      </c>
      <c r="R18" s="169">
        <f t="shared" si="7"/>
        <v>0</v>
      </c>
      <c r="S18" s="170">
        <f t="shared" si="8"/>
        <v>0</v>
      </c>
      <c r="T18" s="171">
        <v>10</v>
      </c>
      <c r="U18" s="169">
        <f t="shared" si="9"/>
        <v>225</v>
      </c>
      <c r="V18" s="170">
        <f t="shared" si="10"/>
        <v>15</v>
      </c>
      <c r="W18" s="2"/>
    </row>
    <row r="19" spans="1:23">
      <c r="A19" s="51">
        <v>10</v>
      </c>
      <c r="B19" s="49" t="s">
        <v>19</v>
      </c>
      <c r="C19" s="49" t="s">
        <v>46</v>
      </c>
      <c r="D19" s="49">
        <v>40</v>
      </c>
      <c r="E19" s="49">
        <v>40</v>
      </c>
      <c r="F19" s="50">
        <f t="shared" si="0"/>
        <v>40</v>
      </c>
      <c r="G19" s="45"/>
      <c r="H19" s="168">
        <v>30</v>
      </c>
      <c r="I19" s="169">
        <f t="shared" si="1"/>
        <v>100</v>
      </c>
      <c r="J19" s="170">
        <f t="shared" si="2"/>
        <v>10</v>
      </c>
      <c r="K19" s="168">
        <v>40</v>
      </c>
      <c r="L19" s="169">
        <f t="shared" si="3"/>
        <v>0</v>
      </c>
      <c r="M19" s="170">
        <f t="shared" si="4"/>
        <v>0</v>
      </c>
      <c r="N19" s="168">
        <v>40</v>
      </c>
      <c r="O19" s="169">
        <f t="shared" si="5"/>
        <v>0</v>
      </c>
      <c r="P19" s="170">
        <f t="shared" si="6"/>
        <v>0</v>
      </c>
      <c r="Q19" s="168">
        <v>35</v>
      </c>
      <c r="R19" s="169">
        <f t="shared" si="7"/>
        <v>25</v>
      </c>
      <c r="S19" s="170">
        <f t="shared" si="8"/>
        <v>5</v>
      </c>
      <c r="T19" s="171">
        <v>35</v>
      </c>
      <c r="U19" s="169">
        <f t="shared" si="9"/>
        <v>25</v>
      </c>
      <c r="V19" s="170">
        <f t="shared" si="10"/>
        <v>5</v>
      </c>
      <c r="W19" s="2"/>
    </row>
    <row r="20" spans="1:23">
      <c r="A20" s="49">
        <v>11</v>
      </c>
      <c r="B20" s="50" t="s">
        <v>19</v>
      </c>
      <c r="C20" s="49" t="s">
        <v>49</v>
      </c>
      <c r="D20" s="49">
        <v>0</v>
      </c>
      <c r="E20" s="49">
        <v>0</v>
      </c>
      <c r="F20" s="50">
        <f t="shared" si="0"/>
        <v>0</v>
      </c>
      <c r="G20" s="45"/>
      <c r="H20" s="168">
        <v>20</v>
      </c>
      <c r="I20" s="169">
        <f t="shared" si="1"/>
        <v>400</v>
      </c>
      <c r="J20" s="170">
        <f t="shared" si="2"/>
        <v>20</v>
      </c>
      <c r="K20" s="168">
        <v>25</v>
      </c>
      <c r="L20" s="169">
        <f t="shared" si="3"/>
        <v>625</v>
      </c>
      <c r="M20" s="170">
        <f t="shared" si="4"/>
        <v>25</v>
      </c>
      <c r="N20" s="168">
        <v>25</v>
      </c>
      <c r="O20" s="169">
        <f t="shared" si="5"/>
        <v>625</v>
      </c>
      <c r="P20" s="170">
        <f t="shared" si="6"/>
        <v>25</v>
      </c>
      <c r="Q20" s="168">
        <v>25</v>
      </c>
      <c r="R20" s="169">
        <f t="shared" si="7"/>
        <v>625</v>
      </c>
      <c r="S20" s="170">
        <f t="shared" si="8"/>
        <v>25</v>
      </c>
      <c r="T20" s="171">
        <v>20</v>
      </c>
      <c r="U20" s="169">
        <f t="shared" si="9"/>
        <v>400</v>
      </c>
      <c r="V20" s="170">
        <f t="shared" si="10"/>
        <v>20</v>
      </c>
      <c r="W20" s="2"/>
    </row>
    <row r="21" spans="1:23">
      <c r="A21" s="49">
        <v>12</v>
      </c>
      <c r="B21" s="49" t="s">
        <v>19</v>
      </c>
      <c r="C21" s="49" t="s">
        <v>52</v>
      </c>
      <c r="D21" s="49">
        <v>40</v>
      </c>
      <c r="E21" s="49">
        <v>40</v>
      </c>
      <c r="F21" s="50">
        <f t="shared" si="0"/>
        <v>40</v>
      </c>
      <c r="G21" s="45"/>
      <c r="H21" s="168">
        <v>30</v>
      </c>
      <c r="I21" s="169">
        <f t="shared" si="1"/>
        <v>100</v>
      </c>
      <c r="J21" s="170">
        <f t="shared" si="2"/>
        <v>10</v>
      </c>
      <c r="K21" s="168">
        <v>40</v>
      </c>
      <c r="L21" s="169">
        <f t="shared" si="3"/>
        <v>0</v>
      </c>
      <c r="M21" s="170">
        <f t="shared" si="4"/>
        <v>0</v>
      </c>
      <c r="N21" s="168">
        <v>35</v>
      </c>
      <c r="O21" s="169">
        <f t="shared" si="5"/>
        <v>25</v>
      </c>
      <c r="P21" s="170">
        <f t="shared" si="6"/>
        <v>5</v>
      </c>
      <c r="Q21" s="168">
        <v>30</v>
      </c>
      <c r="R21" s="169">
        <f t="shared" si="7"/>
        <v>100</v>
      </c>
      <c r="S21" s="170">
        <f t="shared" si="8"/>
        <v>10</v>
      </c>
      <c r="T21" s="171">
        <v>40</v>
      </c>
      <c r="U21" s="169">
        <f t="shared" si="9"/>
        <v>0</v>
      </c>
      <c r="V21" s="170">
        <f t="shared" si="10"/>
        <v>0</v>
      </c>
      <c r="W21" s="2"/>
    </row>
    <row r="22" spans="1:23">
      <c r="A22" s="43">
        <v>13</v>
      </c>
      <c r="B22" s="50" t="s">
        <v>19</v>
      </c>
      <c r="C22" s="50" t="s">
        <v>55</v>
      </c>
      <c r="D22" s="49">
        <v>0</v>
      </c>
      <c r="E22" s="49">
        <v>10</v>
      </c>
      <c r="F22" s="50">
        <f t="shared" si="0"/>
        <v>5</v>
      </c>
      <c r="G22" s="45"/>
      <c r="H22" s="168">
        <v>20</v>
      </c>
      <c r="I22" s="169">
        <f t="shared" si="1"/>
        <v>225</v>
      </c>
      <c r="J22" s="170">
        <f t="shared" si="2"/>
        <v>15</v>
      </c>
      <c r="K22" s="168">
        <v>20</v>
      </c>
      <c r="L22" s="169">
        <f t="shared" si="3"/>
        <v>225</v>
      </c>
      <c r="M22" s="170">
        <f t="shared" si="4"/>
        <v>15</v>
      </c>
      <c r="N22" s="168">
        <v>10</v>
      </c>
      <c r="O22" s="169">
        <f t="shared" si="5"/>
        <v>25</v>
      </c>
      <c r="P22" s="170">
        <f t="shared" si="6"/>
        <v>5</v>
      </c>
      <c r="Q22" s="168">
        <v>10</v>
      </c>
      <c r="R22" s="169">
        <f t="shared" si="7"/>
        <v>25</v>
      </c>
      <c r="S22" s="170">
        <f t="shared" si="8"/>
        <v>5</v>
      </c>
      <c r="T22" s="171">
        <v>20</v>
      </c>
      <c r="U22" s="169">
        <f t="shared" si="9"/>
        <v>225</v>
      </c>
      <c r="V22" s="170">
        <f t="shared" si="10"/>
        <v>15</v>
      </c>
      <c r="W22" s="2"/>
    </row>
    <row r="23" spans="1:23">
      <c r="A23" s="49">
        <v>15</v>
      </c>
      <c r="B23" s="50" t="s">
        <v>19</v>
      </c>
      <c r="C23" s="49" t="s">
        <v>61</v>
      </c>
      <c r="D23" s="49">
        <v>27</v>
      </c>
      <c r="E23" s="49">
        <v>25</v>
      </c>
      <c r="F23" s="50">
        <f t="shared" si="0"/>
        <v>26</v>
      </c>
      <c r="G23" s="45"/>
      <c r="H23" s="168">
        <v>20</v>
      </c>
      <c r="I23" s="169">
        <f t="shared" si="1"/>
        <v>36</v>
      </c>
      <c r="J23" s="170">
        <f t="shared" si="2"/>
        <v>6</v>
      </c>
      <c r="K23" s="168">
        <v>35</v>
      </c>
      <c r="L23" s="169">
        <f t="shared" si="3"/>
        <v>81</v>
      </c>
      <c r="M23" s="170">
        <f t="shared" si="4"/>
        <v>9</v>
      </c>
      <c r="N23" s="168">
        <v>30</v>
      </c>
      <c r="O23" s="169">
        <f t="shared" si="5"/>
        <v>16</v>
      </c>
      <c r="P23" s="170">
        <f t="shared" si="6"/>
        <v>4</v>
      </c>
      <c r="Q23" s="168">
        <v>25</v>
      </c>
      <c r="R23" s="169">
        <f t="shared" si="7"/>
        <v>1</v>
      </c>
      <c r="S23" s="170">
        <f t="shared" si="8"/>
        <v>1</v>
      </c>
      <c r="T23" s="171">
        <v>20</v>
      </c>
      <c r="U23" s="169">
        <f t="shared" si="9"/>
        <v>36</v>
      </c>
      <c r="V23" s="170">
        <f t="shared" si="10"/>
        <v>6</v>
      </c>
      <c r="W23" s="2"/>
    </row>
    <row r="24" spans="1:23">
      <c r="A24" s="43">
        <v>16</v>
      </c>
      <c r="B24" s="50" t="s">
        <v>19</v>
      </c>
      <c r="C24" s="50" t="s">
        <v>64</v>
      </c>
      <c r="D24" s="49">
        <v>38</v>
      </c>
      <c r="E24" s="49">
        <v>35</v>
      </c>
      <c r="F24" s="50">
        <f t="shared" si="0"/>
        <v>36.5</v>
      </c>
      <c r="G24" s="45"/>
      <c r="H24" s="168">
        <v>30</v>
      </c>
      <c r="I24" s="169">
        <f t="shared" si="1"/>
        <v>42.25</v>
      </c>
      <c r="J24" s="170">
        <f t="shared" si="2"/>
        <v>6.5</v>
      </c>
      <c r="K24" s="168">
        <v>40</v>
      </c>
      <c r="L24" s="169">
        <f t="shared" si="3"/>
        <v>12.25</v>
      </c>
      <c r="M24" s="170">
        <f t="shared" si="4"/>
        <v>3.5</v>
      </c>
      <c r="N24" s="168">
        <v>40</v>
      </c>
      <c r="O24" s="169">
        <f t="shared" si="5"/>
        <v>12.25</v>
      </c>
      <c r="P24" s="170">
        <f t="shared" si="6"/>
        <v>3.5</v>
      </c>
      <c r="Q24" s="168">
        <v>35</v>
      </c>
      <c r="R24" s="169">
        <f t="shared" si="7"/>
        <v>2.25</v>
      </c>
      <c r="S24" s="170">
        <f t="shared" si="8"/>
        <v>1.5</v>
      </c>
      <c r="T24" s="171">
        <v>40</v>
      </c>
      <c r="U24" s="169">
        <f t="shared" si="9"/>
        <v>12.25</v>
      </c>
      <c r="V24" s="170">
        <f t="shared" si="10"/>
        <v>3.5</v>
      </c>
      <c r="W24" s="2"/>
    </row>
    <row r="25" spans="1:23">
      <c r="A25" s="49">
        <v>17</v>
      </c>
      <c r="B25" s="50" t="s">
        <v>19</v>
      </c>
      <c r="C25" s="50" t="s">
        <v>67</v>
      </c>
      <c r="D25" s="49">
        <v>20</v>
      </c>
      <c r="E25" s="49">
        <v>20</v>
      </c>
      <c r="F25" s="50">
        <f t="shared" si="0"/>
        <v>20</v>
      </c>
      <c r="G25" s="45"/>
      <c r="H25" s="168">
        <v>30</v>
      </c>
      <c r="I25" s="169">
        <f t="shared" si="1"/>
        <v>100</v>
      </c>
      <c r="J25" s="170">
        <f t="shared" si="2"/>
        <v>10</v>
      </c>
      <c r="K25" s="168">
        <v>30</v>
      </c>
      <c r="L25" s="169">
        <f t="shared" si="3"/>
        <v>100</v>
      </c>
      <c r="M25" s="170">
        <f t="shared" si="4"/>
        <v>10</v>
      </c>
      <c r="N25" s="168">
        <v>30</v>
      </c>
      <c r="O25" s="169">
        <f t="shared" si="5"/>
        <v>100</v>
      </c>
      <c r="P25" s="170">
        <f t="shared" si="6"/>
        <v>10</v>
      </c>
      <c r="Q25" s="168">
        <v>30</v>
      </c>
      <c r="R25" s="169">
        <f t="shared" si="7"/>
        <v>100</v>
      </c>
      <c r="S25" s="170">
        <f t="shared" si="8"/>
        <v>10</v>
      </c>
      <c r="T25" s="171">
        <v>40</v>
      </c>
      <c r="U25" s="169">
        <f t="shared" si="9"/>
        <v>400</v>
      </c>
      <c r="V25" s="170">
        <f t="shared" si="10"/>
        <v>20</v>
      </c>
      <c r="W25" s="2"/>
    </row>
    <row r="26" spans="1:23">
      <c r="A26" s="49">
        <v>18</v>
      </c>
      <c r="B26" s="50" t="s">
        <v>19</v>
      </c>
      <c r="C26" s="49" t="s">
        <v>70</v>
      </c>
      <c r="D26" s="49">
        <v>10</v>
      </c>
      <c r="E26" s="49">
        <v>15</v>
      </c>
      <c r="F26" s="50">
        <f t="shared" si="0"/>
        <v>12.5</v>
      </c>
      <c r="G26" s="45"/>
      <c r="H26" s="168">
        <v>20</v>
      </c>
      <c r="I26" s="169">
        <f t="shared" si="1"/>
        <v>56.25</v>
      </c>
      <c r="J26" s="170">
        <f t="shared" si="2"/>
        <v>7.5</v>
      </c>
      <c r="K26" s="168">
        <v>25</v>
      </c>
      <c r="L26" s="169">
        <f t="shared" si="3"/>
        <v>156.25</v>
      </c>
      <c r="M26" s="170">
        <f t="shared" si="4"/>
        <v>12.5</v>
      </c>
      <c r="N26" s="168">
        <v>25</v>
      </c>
      <c r="O26" s="169">
        <f t="shared" si="5"/>
        <v>156.25</v>
      </c>
      <c r="P26" s="170">
        <f t="shared" si="6"/>
        <v>12.5</v>
      </c>
      <c r="Q26" s="168">
        <v>25</v>
      </c>
      <c r="R26" s="169">
        <f t="shared" si="7"/>
        <v>156.25</v>
      </c>
      <c r="S26" s="170">
        <f t="shared" si="8"/>
        <v>12.5</v>
      </c>
      <c r="T26" s="171">
        <v>20</v>
      </c>
      <c r="U26" s="169">
        <f t="shared" si="9"/>
        <v>56.25</v>
      </c>
      <c r="V26" s="170">
        <f t="shared" si="10"/>
        <v>7.5</v>
      </c>
      <c r="W26" s="2"/>
    </row>
    <row r="27" spans="1:23">
      <c r="A27" s="51">
        <v>19</v>
      </c>
      <c r="B27" s="50" t="s">
        <v>19</v>
      </c>
      <c r="C27" s="50" t="s">
        <v>73</v>
      </c>
      <c r="D27" s="49">
        <v>20</v>
      </c>
      <c r="E27" s="49">
        <v>0</v>
      </c>
      <c r="F27" s="50">
        <f t="shared" si="0"/>
        <v>10</v>
      </c>
      <c r="G27" s="45"/>
      <c r="H27" s="168">
        <v>20</v>
      </c>
      <c r="I27" s="169">
        <f t="shared" si="1"/>
        <v>100</v>
      </c>
      <c r="J27" s="170">
        <f t="shared" si="2"/>
        <v>10</v>
      </c>
      <c r="K27" s="168">
        <v>20</v>
      </c>
      <c r="L27" s="169">
        <f t="shared" si="3"/>
        <v>100</v>
      </c>
      <c r="M27" s="170">
        <f t="shared" si="4"/>
        <v>10</v>
      </c>
      <c r="N27" s="168">
        <v>10</v>
      </c>
      <c r="O27" s="169">
        <f t="shared" si="5"/>
        <v>0</v>
      </c>
      <c r="P27" s="170">
        <f t="shared" si="6"/>
        <v>0</v>
      </c>
      <c r="Q27" s="168">
        <v>15</v>
      </c>
      <c r="R27" s="169">
        <f t="shared" si="7"/>
        <v>25</v>
      </c>
      <c r="S27" s="170">
        <f t="shared" si="8"/>
        <v>5</v>
      </c>
      <c r="T27" s="171">
        <v>20</v>
      </c>
      <c r="U27" s="169">
        <f t="shared" si="9"/>
        <v>100</v>
      </c>
      <c r="V27" s="170">
        <f t="shared" si="10"/>
        <v>10</v>
      </c>
      <c r="W27" s="2"/>
    </row>
    <row r="28" spans="1:23">
      <c r="A28" s="49">
        <v>20</v>
      </c>
      <c r="B28" s="50" t="s">
        <v>19</v>
      </c>
      <c r="C28" s="50" t="s">
        <v>76</v>
      </c>
      <c r="D28" s="49">
        <v>30</v>
      </c>
      <c r="E28" s="49">
        <v>25</v>
      </c>
      <c r="F28" s="50">
        <f t="shared" si="0"/>
        <v>27.5</v>
      </c>
      <c r="G28" s="45"/>
      <c r="H28" s="168">
        <v>30</v>
      </c>
      <c r="I28" s="169">
        <f t="shared" si="1"/>
        <v>6.25</v>
      </c>
      <c r="J28" s="170">
        <f t="shared" si="2"/>
        <v>2.5</v>
      </c>
      <c r="K28" s="168">
        <v>30</v>
      </c>
      <c r="L28" s="169">
        <f t="shared" si="3"/>
        <v>6.25</v>
      </c>
      <c r="M28" s="170">
        <f t="shared" si="4"/>
        <v>2.5</v>
      </c>
      <c r="N28" s="168">
        <v>10</v>
      </c>
      <c r="O28" s="169">
        <f t="shared" si="5"/>
        <v>306.25</v>
      </c>
      <c r="P28" s="170">
        <f t="shared" si="6"/>
        <v>17.5</v>
      </c>
      <c r="Q28" s="168">
        <v>30</v>
      </c>
      <c r="R28" s="169">
        <f t="shared" si="7"/>
        <v>6.25</v>
      </c>
      <c r="S28" s="170">
        <f t="shared" si="8"/>
        <v>2.5</v>
      </c>
      <c r="T28" s="171">
        <v>25</v>
      </c>
      <c r="U28" s="169">
        <f t="shared" si="9"/>
        <v>6.25</v>
      </c>
      <c r="V28" s="170">
        <f t="shared" si="10"/>
        <v>2.5</v>
      </c>
      <c r="W28" s="2"/>
    </row>
    <row r="29" spans="1:23">
      <c r="A29" s="49">
        <v>21</v>
      </c>
      <c r="B29" s="50" t="s">
        <v>19</v>
      </c>
      <c r="C29" s="50" t="s">
        <v>79</v>
      </c>
      <c r="D29" s="49">
        <v>20</v>
      </c>
      <c r="E29" s="49">
        <v>10</v>
      </c>
      <c r="F29" s="50">
        <f t="shared" si="0"/>
        <v>15</v>
      </c>
      <c r="G29" s="45"/>
      <c r="H29" s="168">
        <v>20</v>
      </c>
      <c r="I29" s="169">
        <f t="shared" si="1"/>
        <v>25</v>
      </c>
      <c r="J29" s="170">
        <f t="shared" si="2"/>
        <v>5</v>
      </c>
      <c r="K29" s="168">
        <v>40</v>
      </c>
      <c r="L29" s="169">
        <f t="shared" si="3"/>
        <v>625</v>
      </c>
      <c r="M29" s="170">
        <f t="shared" si="4"/>
        <v>25</v>
      </c>
      <c r="N29" s="168">
        <v>10</v>
      </c>
      <c r="O29" s="169">
        <f t="shared" si="5"/>
        <v>25</v>
      </c>
      <c r="P29" s="170">
        <f t="shared" si="6"/>
        <v>5</v>
      </c>
      <c r="Q29" s="168">
        <v>30</v>
      </c>
      <c r="R29" s="169">
        <f t="shared" si="7"/>
        <v>225</v>
      </c>
      <c r="S29" s="170">
        <f t="shared" si="8"/>
        <v>15</v>
      </c>
      <c r="T29" s="171">
        <v>20</v>
      </c>
      <c r="U29" s="169">
        <f t="shared" si="9"/>
        <v>25</v>
      </c>
      <c r="V29" s="170">
        <f t="shared" si="10"/>
        <v>5</v>
      </c>
      <c r="W29" s="2"/>
    </row>
    <row r="30" spans="1:23">
      <c r="A30" s="43">
        <v>22</v>
      </c>
      <c r="B30" s="49" t="s">
        <v>19</v>
      </c>
      <c r="C30" s="50" t="s">
        <v>82</v>
      </c>
      <c r="D30" s="49">
        <v>20</v>
      </c>
      <c r="E30" s="49">
        <v>20</v>
      </c>
      <c r="F30" s="50">
        <f t="shared" si="0"/>
        <v>20</v>
      </c>
      <c r="G30" s="45"/>
      <c r="H30" s="168">
        <v>20</v>
      </c>
      <c r="I30" s="169">
        <f t="shared" si="1"/>
        <v>0</v>
      </c>
      <c r="J30" s="170">
        <f t="shared" si="2"/>
        <v>0</v>
      </c>
      <c r="K30" s="168">
        <v>20</v>
      </c>
      <c r="L30" s="169">
        <f t="shared" si="3"/>
        <v>0</v>
      </c>
      <c r="M30" s="170">
        <f t="shared" si="4"/>
        <v>0</v>
      </c>
      <c r="N30" s="168">
        <v>30</v>
      </c>
      <c r="O30" s="169">
        <f t="shared" si="5"/>
        <v>100</v>
      </c>
      <c r="P30" s="170">
        <f t="shared" si="6"/>
        <v>10</v>
      </c>
      <c r="Q30" s="168">
        <v>25</v>
      </c>
      <c r="R30" s="169">
        <f t="shared" si="7"/>
        <v>25</v>
      </c>
      <c r="S30" s="170">
        <f t="shared" si="8"/>
        <v>5</v>
      </c>
      <c r="T30" s="171">
        <v>25</v>
      </c>
      <c r="U30" s="169">
        <f t="shared" si="9"/>
        <v>25</v>
      </c>
      <c r="V30" s="170">
        <f t="shared" si="10"/>
        <v>5</v>
      </c>
      <c r="W30" s="2"/>
    </row>
    <row r="31" spans="1:23">
      <c r="A31" s="49">
        <v>23</v>
      </c>
      <c r="B31" s="50" t="s">
        <v>19</v>
      </c>
      <c r="C31" s="50" t="s">
        <v>85</v>
      </c>
      <c r="D31" s="49">
        <v>40</v>
      </c>
      <c r="E31" s="49">
        <v>35</v>
      </c>
      <c r="F31" s="50">
        <f t="shared" si="0"/>
        <v>37.5</v>
      </c>
      <c r="G31" s="45"/>
      <c r="H31" s="168">
        <v>30</v>
      </c>
      <c r="I31" s="169">
        <f t="shared" si="1"/>
        <v>56.25</v>
      </c>
      <c r="J31" s="170">
        <f t="shared" si="2"/>
        <v>7.5</v>
      </c>
      <c r="K31" s="168">
        <v>30</v>
      </c>
      <c r="L31" s="169">
        <f t="shared" si="3"/>
        <v>56.25</v>
      </c>
      <c r="M31" s="170">
        <f t="shared" si="4"/>
        <v>7.5</v>
      </c>
      <c r="N31" s="168">
        <v>35</v>
      </c>
      <c r="O31" s="169">
        <f t="shared" si="5"/>
        <v>6.25</v>
      </c>
      <c r="P31" s="170">
        <f t="shared" si="6"/>
        <v>2.5</v>
      </c>
      <c r="Q31" s="168">
        <v>30</v>
      </c>
      <c r="R31" s="169">
        <f t="shared" si="7"/>
        <v>56.25</v>
      </c>
      <c r="S31" s="170">
        <f t="shared" si="8"/>
        <v>7.5</v>
      </c>
      <c r="T31" s="171">
        <v>35</v>
      </c>
      <c r="U31" s="169">
        <f t="shared" si="9"/>
        <v>6.25</v>
      </c>
      <c r="V31" s="170">
        <f t="shared" si="10"/>
        <v>2.5</v>
      </c>
      <c r="W31" s="2"/>
    </row>
    <row r="32" spans="1:23">
      <c r="A32" s="49">
        <v>24</v>
      </c>
      <c r="B32" s="50" t="s">
        <v>19</v>
      </c>
      <c r="C32" s="50" t="s">
        <v>88</v>
      </c>
      <c r="D32" s="49">
        <v>15</v>
      </c>
      <c r="E32" s="49">
        <v>20</v>
      </c>
      <c r="F32" s="50">
        <f t="shared" si="0"/>
        <v>17.5</v>
      </c>
      <c r="G32" s="45"/>
      <c r="H32" s="168">
        <v>20</v>
      </c>
      <c r="I32" s="169">
        <f t="shared" si="1"/>
        <v>6.25</v>
      </c>
      <c r="J32" s="170">
        <f t="shared" si="2"/>
        <v>2.5</v>
      </c>
      <c r="K32" s="168">
        <v>35</v>
      </c>
      <c r="L32" s="169">
        <f t="shared" si="3"/>
        <v>306.25</v>
      </c>
      <c r="M32" s="170">
        <f t="shared" si="4"/>
        <v>17.5</v>
      </c>
      <c r="N32" s="168">
        <v>35</v>
      </c>
      <c r="O32" s="169">
        <f t="shared" si="5"/>
        <v>306.25</v>
      </c>
      <c r="P32" s="170">
        <f t="shared" si="6"/>
        <v>17.5</v>
      </c>
      <c r="Q32" s="168">
        <v>25</v>
      </c>
      <c r="R32" s="169">
        <f t="shared" si="7"/>
        <v>56.25</v>
      </c>
      <c r="S32" s="170">
        <f t="shared" si="8"/>
        <v>7.5</v>
      </c>
      <c r="T32" s="171">
        <v>30</v>
      </c>
      <c r="U32" s="169">
        <f t="shared" si="9"/>
        <v>156.25</v>
      </c>
      <c r="V32" s="170">
        <f t="shared" si="10"/>
        <v>12.5</v>
      </c>
      <c r="W32" s="2"/>
    </row>
    <row r="33" spans="1:23">
      <c r="A33" s="51">
        <v>25</v>
      </c>
      <c r="B33" s="50" t="s">
        <v>19</v>
      </c>
      <c r="C33" s="49" t="s">
        <v>91</v>
      </c>
      <c r="D33" s="49">
        <v>40</v>
      </c>
      <c r="E33" s="49">
        <v>40</v>
      </c>
      <c r="F33" s="50">
        <f t="shared" si="0"/>
        <v>40</v>
      </c>
      <c r="G33" s="45"/>
      <c r="H33" s="168">
        <v>30</v>
      </c>
      <c r="I33" s="169">
        <f t="shared" si="1"/>
        <v>100</v>
      </c>
      <c r="J33" s="170">
        <f t="shared" si="2"/>
        <v>10</v>
      </c>
      <c r="K33" s="168">
        <v>30</v>
      </c>
      <c r="L33" s="169">
        <f t="shared" si="3"/>
        <v>100</v>
      </c>
      <c r="M33" s="170">
        <f t="shared" si="4"/>
        <v>10</v>
      </c>
      <c r="N33" s="168">
        <v>35</v>
      </c>
      <c r="O33" s="169">
        <f t="shared" si="5"/>
        <v>25</v>
      </c>
      <c r="P33" s="170">
        <f t="shared" si="6"/>
        <v>5</v>
      </c>
      <c r="Q33" s="168">
        <v>30</v>
      </c>
      <c r="R33" s="169">
        <f t="shared" si="7"/>
        <v>100</v>
      </c>
      <c r="S33" s="170">
        <f t="shared" si="8"/>
        <v>10</v>
      </c>
      <c r="T33" s="171">
        <v>20</v>
      </c>
      <c r="U33" s="169">
        <f t="shared" si="9"/>
        <v>400</v>
      </c>
      <c r="V33" s="170">
        <f t="shared" si="10"/>
        <v>20</v>
      </c>
      <c r="W33" s="2"/>
    </row>
    <row r="34" spans="1:23">
      <c r="A34" s="49">
        <v>26</v>
      </c>
      <c r="B34" s="50" t="s">
        <v>19</v>
      </c>
      <c r="C34" s="49" t="s">
        <v>94</v>
      </c>
      <c r="D34" s="49">
        <v>40</v>
      </c>
      <c r="E34" s="49">
        <v>40</v>
      </c>
      <c r="F34" s="50">
        <f t="shared" si="0"/>
        <v>40</v>
      </c>
      <c r="G34" s="45"/>
      <c r="H34" s="168">
        <v>30</v>
      </c>
      <c r="I34" s="169">
        <f t="shared" si="1"/>
        <v>100</v>
      </c>
      <c r="J34" s="170">
        <f t="shared" si="2"/>
        <v>10</v>
      </c>
      <c r="K34" s="168">
        <v>35</v>
      </c>
      <c r="L34" s="169">
        <f t="shared" si="3"/>
        <v>25</v>
      </c>
      <c r="M34" s="170">
        <f t="shared" si="4"/>
        <v>5</v>
      </c>
      <c r="N34" s="168">
        <v>10</v>
      </c>
      <c r="O34" s="169">
        <f t="shared" si="5"/>
        <v>900</v>
      </c>
      <c r="P34" s="170">
        <f t="shared" si="6"/>
        <v>30</v>
      </c>
      <c r="Q34" s="168">
        <v>30</v>
      </c>
      <c r="R34" s="169">
        <f t="shared" si="7"/>
        <v>100</v>
      </c>
      <c r="S34" s="170">
        <f t="shared" si="8"/>
        <v>10</v>
      </c>
      <c r="T34" s="171">
        <v>20</v>
      </c>
      <c r="U34" s="169">
        <f t="shared" si="9"/>
        <v>400</v>
      </c>
      <c r="V34" s="170">
        <f t="shared" si="10"/>
        <v>20</v>
      </c>
      <c r="W34" s="2"/>
    </row>
    <row r="35" spans="1:23">
      <c r="A35" s="51">
        <v>28</v>
      </c>
      <c r="B35" s="49" t="s">
        <v>19</v>
      </c>
      <c r="C35" s="50" t="s">
        <v>100</v>
      </c>
      <c r="D35" s="49">
        <v>20</v>
      </c>
      <c r="E35" s="49">
        <v>35</v>
      </c>
      <c r="F35" s="50">
        <f t="shared" si="0"/>
        <v>27.5</v>
      </c>
      <c r="G35" s="45"/>
      <c r="H35" s="168">
        <v>30</v>
      </c>
      <c r="I35" s="169">
        <f t="shared" si="1"/>
        <v>6.25</v>
      </c>
      <c r="J35" s="170">
        <f t="shared" si="2"/>
        <v>2.5</v>
      </c>
      <c r="K35" s="168">
        <v>30</v>
      </c>
      <c r="L35" s="169">
        <f t="shared" si="3"/>
        <v>6.25</v>
      </c>
      <c r="M35" s="170">
        <f t="shared" si="4"/>
        <v>2.5</v>
      </c>
      <c r="N35" s="168">
        <v>35</v>
      </c>
      <c r="O35" s="169">
        <f t="shared" si="5"/>
        <v>56.25</v>
      </c>
      <c r="P35" s="170">
        <f t="shared" si="6"/>
        <v>7.5</v>
      </c>
      <c r="Q35" s="168">
        <v>30</v>
      </c>
      <c r="R35" s="169">
        <f t="shared" si="7"/>
        <v>6.25</v>
      </c>
      <c r="S35" s="170">
        <f t="shared" si="8"/>
        <v>2.5</v>
      </c>
      <c r="T35" s="171">
        <v>35</v>
      </c>
      <c r="U35" s="169">
        <f t="shared" si="9"/>
        <v>56.25</v>
      </c>
      <c r="V35" s="170">
        <f t="shared" si="10"/>
        <v>7.5</v>
      </c>
      <c r="W35" s="2"/>
    </row>
    <row r="36" spans="1:23">
      <c r="A36" s="49">
        <v>29</v>
      </c>
      <c r="B36" s="50" t="s">
        <v>19</v>
      </c>
      <c r="C36" s="49" t="s">
        <v>103</v>
      </c>
      <c r="D36" s="49">
        <v>20</v>
      </c>
      <c r="E36" s="49">
        <v>25</v>
      </c>
      <c r="F36" s="50">
        <f t="shared" si="0"/>
        <v>22.5</v>
      </c>
      <c r="G36" s="45"/>
      <c r="H36" s="168">
        <v>10</v>
      </c>
      <c r="I36" s="169">
        <f t="shared" si="1"/>
        <v>156.25</v>
      </c>
      <c r="J36" s="170">
        <f t="shared" si="2"/>
        <v>12.5</v>
      </c>
      <c r="K36" s="168">
        <v>10</v>
      </c>
      <c r="L36" s="169">
        <f t="shared" si="3"/>
        <v>156.25</v>
      </c>
      <c r="M36" s="170">
        <f t="shared" si="4"/>
        <v>12.5</v>
      </c>
      <c r="N36" s="168">
        <v>10</v>
      </c>
      <c r="O36" s="169">
        <f t="shared" si="5"/>
        <v>156.25</v>
      </c>
      <c r="P36" s="170">
        <f t="shared" si="6"/>
        <v>12.5</v>
      </c>
      <c r="Q36" s="168">
        <v>15</v>
      </c>
      <c r="R36" s="169">
        <f t="shared" si="7"/>
        <v>56.25</v>
      </c>
      <c r="S36" s="170">
        <f t="shared" si="8"/>
        <v>7.5</v>
      </c>
      <c r="T36" s="171">
        <v>20</v>
      </c>
      <c r="U36" s="169">
        <f t="shared" si="9"/>
        <v>6.25</v>
      </c>
      <c r="V36" s="170">
        <f t="shared" si="10"/>
        <v>2.5</v>
      </c>
      <c r="W36" s="2"/>
    </row>
    <row r="37" spans="1:23">
      <c r="A37" s="49">
        <v>30</v>
      </c>
      <c r="B37" s="50" t="s">
        <v>19</v>
      </c>
      <c r="C37" s="49" t="s">
        <v>106</v>
      </c>
      <c r="D37" s="49">
        <v>35</v>
      </c>
      <c r="E37" s="49">
        <v>30</v>
      </c>
      <c r="F37" s="50">
        <f t="shared" si="0"/>
        <v>32.5</v>
      </c>
      <c r="G37" s="45"/>
      <c r="H37" s="168">
        <v>20</v>
      </c>
      <c r="I37" s="169">
        <f t="shared" si="1"/>
        <v>156.25</v>
      </c>
      <c r="J37" s="170">
        <f t="shared" si="2"/>
        <v>12.5</v>
      </c>
      <c r="K37" s="168">
        <v>30</v>
      </c>
      <c r="L37" s="169">
        <f t="shared" si="3"/>
        <v>6.25</v>
      </c>
      <c r="M37" s="170">
        <f t="shared" si="4"/>
        <v>2.5</v>
      </c>
      <c r="N37" s="168">
        <v>10</v>
      </c>
      <c r="O37" s="169">
        <f t="shared" si="5"/>
        <v>506.25</v>
      </c>
      <c r="P37" s="170">
        <f t="shared" si="6"/>
        <v>22.5</v>
      </c>
      <c r="Q37" s="168">
        <v>25</v>
      </c>
      <c r="R37" s="169">
        <f t="shared" si="7"/>
        <v>56.25</v>
      </c>
      <c r="S37" s="170">
        <f t="shared" si="8"/>
        <v>7.5</v>
      </c>
      <c r="T37" s="171">
        <v>20</v>
      </c>
      <c r="U37" s="169">
        <f t="shared" si="9"/>
        <v>156.25</v>
      </c>
      <c r="V37" s="170">
        <f t="shared" si="10"/>
        <v>12.5</v>
      </c>
      <c r="W37" s="2"/>
    </row>
    <row r="38" spans="1:23">
      <c r="A38" s="43">
        <v>31</v>
      </c>
      <c r="B38" s="50" t="s">
        <v>19</v>
      </c>
      <c r="C38" s="49" t="s">
        <v>109</v>
      </c>
      <c r="D38" s="49">
        <v>30</v>
      </c>
      <c r="E38" s="49">
        <v>35</v>
      </c>
      <c r="F38" s="50">
        <f t="shared" si="0"/>
        <v>32.5</v>
      </c>
      <c r="G38" s="45"/>
      <c r="H38" s="168">
        <v>10</v>
      </c>
      <c r="I38" s="169">
        <f t="shared" si="1"/>
        <v>506.25</v>
      </c>
      <c r="J38" s="170">
        <f t="shared" si="2"/>
        <v>22.5</v>
      </c>
      <c r="K38" s="168">
        <v>10</v>
      </c>
      <c r="L38" s="169">
        <f t="shared" si="3"/>
        <v>506.25</v>
      </c>
      <c r="M38" s="170">
        <f t="shared" si="4"/>
        <v>22.5</v>
      </c>
      <c r="N38" s="168">
        <v>10</v>
      </c>
      <c r="O38" s="169">
        <f t="shared" si="5"/>
        <v>506.25</v>
      </c>
      <c r="P38" s="170">
        <f t="shared" si="6"/>
        <v>22.5</v>
      </c>
      <c r="Q38" s="168">
        <v>15</v>
      </c>
      <c r="R38" s="169">
        <f t="shared" si="7"/>
        <v>306.25</v>
      </c>
      <c r="S38" s="170">
        <f t="shared" si="8"/>
        <v>17.5</v>
      </c>
      <c r="T38" s="171">
        <v>20</v>
      </c>
      <c r="U38" s="169">
        <f t="shared" si="9"/>
        <v>156.25</v>
      </c>
      <c r="V38" s="170">
        <f t="shared" si="10"/>
        <v>12.5</v>
      </c>
      <c r="W38" s="2"/>
    </row>
    <row r="39" spans="1:23">
      <c r="A39" s="49">
        <v>32</v>
      </c>
      <c r="B39" s="50" t="s">
        <v>19</v>
      </c>
      <c r="C39" s="49" t="s">
        <v>112</v>
      </c>
      <c r="D39" s="49">
        <v>20</v>
      </c>
      <c r="E39" s="49">
        <v>25</v>
      </c>
      <c r="F39" s="50">
        <f t="shared" si="0"/>
        <v>22.5</v>
      </c>
      <c r="G39" s="45"/>
      <c r="H39" s="168">
        <v>20</v>
      </c>
      <c r="I39" s="169">
        <f t="shared" si="1"/>
        <v>6.25</v>
      </c>
      <c r="J39" s="170">
        <f t="shared" si="2"/>
        <v>2.5</v>
      </c>
      <c r="K39" s="168">
        <v>30</v>
      </c>
      <c r="L39" s="169">
        <f t="shared" si="3"/>
        <v>56.25</v>
      </c>
      <c r="M39" s="170">
        <f t="shared" si="4"/>
        <v>7.5</v>
      </c>
      <c r="N39" s="168">
        <v>30</v>
      </c>
      <c r="O39" s="169">
        <f t="shared" si="5"/>
        <v>56.25</v>
      </c>
      <c r="P39" s="170">
        <f t="shared" si="6"/>
        <v>7.5</v>
      </c>
      <c r="Q39" s="168">
        <v>25</v>
      </c>
      <c r="R39" s="169">
        <f t="shared" si="7"/>
        <v>6.25</v>
      </c>
      <c r="S39" s="170">
        <f t="shared" si="8"/>
        <v>2.5</v>
      </c>
      <c r="T39" s="171">
        <v>20</v>
      </c>
      <c r="U39" s="169">
        <f t="shared" si="9"/>
        <v>6.25</v>
      </c>
      <c r="V39" s="170">
        <f t="shared" si="10"/>
        <v>2.5</v>
      </c>
      <c r="W39" s="2"/>
    </row>
    <row r="40" spans="1:23">
      <c r="A40" s="49">
        <v>33</v>
      </c>
      <c r="B40" s="50" t="s">
        <v>19</v>
      </c>
      <c r="C40" s="50" t="s">
        <v>115</v>
      </c>
      <c r="D40" s="49">
        <v>10</v>
      </c>
      <c r="E40" s="49">
        <v>10</v>
      </c>
      <c r="F40" s="50">
        <f t="shared" si="0"/>
        <v>10</v>
      </c>
      <c r="G40" s="45"/>
      <c r="H40" s="168">
        <v>30</v>
      </c>
      <c r="I40" s="169">
        <f t="shared" si="1"/>
        <v>400</v>
      </c>
      <c r="J40" s="170">
        <f t="shared" si="2"/>
        <v>20</v>
      </c>
      <c r="K40" s="168">
        <v>25</v>
      </c>
      <c r="L40" s="169">
        <f t="shared" si="3"/>
        <v>225</v>
      </c>
      <c r="M40" s="170">
        <f t="shared" si="4"/>
        <v>15</v>
      </c>
      <c r="N40" s="168">
        <v>35</v>
      </c>
      <c r="O40" s="169">
        <f t="shared" si="5"/>
        <v>625</v>
      </c>
      <c r="P40" s="170">
        <f t="shared" si="6"/>
        <v>25</v>
      </c>
      <c r="Q40" s="168">
        <v>30</v>
      </c>
      <c r="R40" s="169">
        <f t="shared" si="7"/>
        <v>400</v>
      </c>
      <c r="S40" s="170">
        <f t="shared" si="8"/>
        <v>20</v>
      </c>
      <c r="T40" s="171">
        <v>20</v>
      </c>
      <c r="U40" s="169">
        <f t="shared" si="9"/>
        <v>100</v>
      </c>
      <c r="V40" s="170">
        <f t="shared" si="10"/>
        <v>10</v>
      </c>
      <c r="W40" s="2"/>
    </row>
    <row r="41" spans="1:23">
      <c r="A41" s="51">
        <v>34</v>
      </c>
      <c r="B41" s="50" t="s">
        <v>19</v>
      </c>
      <c r="C41" s="49" t="s">
        <v>118</v>
      </c>
      <c r="D41" s="49">
        <v>0</v>
      </c>
      <c r="E41" s="49">
        <v>0</v>
      </c>
      <c r="F41" s="50">
        <f t="shared" si="0"/>
        <v>0</v>
      </c>
      <c r="G41" s="45"/>
      <c r="H41" s="168">
        <v>20</v>
      </c>
      <c r="I41" s="169">
        <f t="shared" si="1"/>
        <v>400</v>
      </c>
      <c r="J41" s="170">
        <f t="shared" si="2"/>
        <v>20</v>
      </c>
      <c r="K41" s="168">
        <v>25</v>
      </c>
      <c r="L41" s="169">
        <f t="shared" si="3"/>
        <v>625</v>
      </c>
      <c r="M41" s="170">
        <f t="shared" si="4"/>
        <v>25</v>
      </c>
      <c r="N41" s="168">
        <v>10</v>
      </c>
      <c r="O41" s="169">
        <f t="shared" si="5"/>
        <v>100</v>
      </c>
      <c r="P41" s="170">
        <f t="shared" si="6"/>
        <v>10</v>
      </c>
      <c r="Q41" s="168">
        <v>25</v>
      </c>
      <c r="R41" s="169">
        <f t="shared" si="7"/>
        <v>625</v>
      </c>
      <c r="S41" s="170">
        <f t="shared" si="8"/>
        <v>25</v>
      </c>
      <c r="T41" s="171">
        <v>20</v>
      </c>
      <c r="U41" s="169">
        <f t="shared" si="9"/>
        <v>400</v>
      </c>
      <c r="V41" s="170">
        <f t="shared" si="10"/>
        <v>20</v>
      </c>
      <c r="W41" s="2"/>
    </row>
    <row r="42" spans="1:23">
      <c r="A42" s="49">
        <v>35</v>
      </c>
      <c r="B42" s="50" t="s">
        <v>19</v>
      </c>
      <c r="C42" s="50" t="s">
        <v>121</v>
      </c>
      <c r="D42" s="49">
        <v>40</v>
      </c>
      <c r="E42" s="49">
        <v>40</v>
      </c>
      <c r="F42" s="50">
        <f t="shared" si="0"/>
        <v>40</v>
      </c>
      <c r="G42" s="45"/>
      <c r="H42" s="168">
        <v>30</v>
      </c>
      <c r="I42" s="169">
        <f t="shared" si="1"/>
        <v>100</v>
      </c>
      <c r="J42" s="170">
        <f t="shared" si="2"/>
        <v>10</v>
      </c>
      <c r="K42" s="168">
        <v>40</v>
      </c>
      <c r="L42" s="169">
        <f t="shared" si="3"/>
        <v>0</v>
      </c>
      <c r="M42" s="170">
        <f t="shared" si="4"/>
        <v>0</v>
      </c>
      <c r="N42" s="168">
        <v>40</v>
      </c>
      <c r="O42" s="169">
        <f t="shared" si="5"/>
        <v>0</v>
      </c>
      <c r="P42" s="170">
        <f t="shared" si="6"/>
        <v>0</v>
      </c>
      <c r="Q42" s="168">
        <v>35</v>
      </c>
      <c r="R42" s="169">
        <f t="shared" si="7"/>
        <v>25</v>
      </c>
      <c r="S42" s="170">
        <f t="shared" si="8"/>
        <v>5</v>
      </c>
      <c r="T42" s="171">
        <v>20</v>
      </c>
      <c r="U42" s="169">
        <f t="shared" si="9"/>
        <v>400</v>
      </c>
      <c r="V42" s="170">
        <f t="shared" si="10"/>
        <v>20</v>
      </c>
      <c r="W42" s="2"/>
    </row>
    <row r="43" spans="1:23">
      <c r="A43" s="49">
        <v>36</v>
      </c>
      <c r="B43" s="50" t="s">
        <v>19</v>
      </c>
      <c r="C43" s="49" t="s">
        <v>124</v>
      </c>
      <c r="D43" s="49">
        <v>40</v>
      </c>
      <c r="E43" s="49">
        <v>40</v>
      </c>
      <c r="F43" s="50">
        <f t="shared" si="0"/>
        <v>40</v>
      </c>
      <c r="G43" s="45"/>
      <c r="H43" s="168">
        <v>30</v>
      </c>
      <c r="I43" s="169">
        <f t="shared" si="1"/>
        <v>100</v>
      </c>
      <c r="J43" s="170">
        <f t="shared" si="2"/>
        <v>10</v>
      </c>
      <c r="K43" s="168">
        <v>35</v>
      </c>
      <c r="L43" s="169">
        <f t="shared" si="3"/>
        <v>25</v>
      </c>
      <c r="M43" s="170">
        <f t="shared" si="4"/>
        <v>5</v>
      </c>
      <c r="N43" s="168">
        <v>35</v>
      </c>
      <c r="O43" s="169">
        <f t="shared" si="5"/>
        <v>25</v>
      </c>
      <c r="P43" s="170">
        <f t="shared" si="6"/>
        <v>5</v>
      </c>
      <c r="Q43" s="168">
        <v>25</v>
      </c>
      <c r="R43" s="169">
        <f t="shared" si="7"/>
        <v>225</v>
      </c>
      <c r="S43" s="170">
        <f t="shared" si="8"/>
        <v>15</v>
      </c>
      <c r="T43" s="171">
        <v>20</v>
      </c>
      <c r="U43" s="169">
        <f t="shared" si="9"/>
        <v>400</v>
      </c>
      <c r="V43" s="170">
        <f t="shared" si="10"/>
        <v>20</v>
      </c>
      <c r="W43" s="2"/>
    </row>
    <row r="44" spans="1:23">
      <c r="A44" s="49">
        <v>38</v>
      </c>
      <c r="B44" s="49" t="s">
        <v>19</v>
      </c>
      <c r="C44" s="50" t="s">
        <v>129</v>
      </c>
      <c r="D44" s="49">
        <v>40</v>
      </c>
      <c r="E44" s="49">
        <v>30</v>
      </c>
      <c r="F44" s="50">
        <f t="shared" si="0"/>
        <v>35</v>
      </c>
      <c r="G44" s="45"/>
      <c r="H44" s="168">
        <v>30</v>
      </c>
      <c r="I44" s="169">
        <f t="shared" si="1"/>
        <v>25</v>
      </c>
      <c r="J44" s="170">
        <f t="shared" si="2"/>
        <v>5</v>
      </c>
      <c r="K44" s="168">
        <v>30</v>
      </c>
      <c r="L44" s="169">
        <f t="shared" si="3"/>
        <v>25</v>
      </c>
      <c r="M44" s="170">
        <f t="shared" si="4"/>
        <v>5</v>
      </c>
      <c r="N44" s="168">
        <v>10</v>
      </c>
      <c r="O44" s="169">
        <f t="shared" si="5"/>
        <v>625</v>
      </c>
      <c r="P44" s="170">
        <f t="shared" si="6"/>
        <v>25</v>
      </c>
      <c r="Q44" s="168">
        <v>25</v>
      </c>
      <c r="R44" s="169">
        <f t="shared" si="7"/>
        <v>100</v>
      </c>
      <c r="S44" s="170">
        <f t="shared" si="8"/>
        <v>10</v>
      </c>
      <c r="T44" s="171">
        <v>20</v>
      </c>
      <c r="U44" s="169">
        <f t="shared" si="9"/>
        <v>225</v>
      </c>
      <c r="V44" s="170">
        <f t="shared" si="10"/>
        <v>15</v>
      </c>
      <c r="W44" s="2"/>
    </row>
    <row r="45" spans="1:23">
      <c r="A45" s="49">
        <v>39</v>
      </c>
      <c r="B45" s="49" t="s">
        <v>19</v>
      </c>
      <c r="C45" s="49" t="s">
        <v>132</v>
      </c>
      <c r="D45" s="49">
        <v>10</v>
      </c>
      <c r="E45" s="49">
        <v>10</v>
      </c>
      <c r="F45" s="50">
        <f t="shared" si="0"/>
        <v>10</v>
      </c>
      <c r="G45" s="45"/>
      <c r="H45" s="168">
        <v>20</v>
      </c>
      <c r="I45" s="169">
        <f t="shared" si="1"/>
        <v>100</v>
      </c>
      <c r="J45" s="170">
        <f t="shared" si="2"/>
        <v>10</v>
      </c>
      <c r="K45" s="168">
        <v>20</v>
      </c>
      <c r="L45" s="169">
        <f t="shared" si="3"/>
        <v>100</v>
      </c>
      <c r="M45" s="170">
        <f t="shared" si="4"/>
        <v>10</v>
      </c>
      <c r="N45" s="168">
        <v>20</v>
      </c>
      <c r="O45" s="169">
        <f t="shared" si="5"/>
        <v>100</v>
      </c>
      <c r="P45" s="170">
        <f t="shared" si="6"/>
        <v>10</v>
      </c>
      <c r="Q45" s="168">
        <v>15</v>
      </c>
      <c r="R45" s="169">
        <f t="shared" si="7"/>
        <v>25</v>
      </c>
      <c r="S45" s="170">
        <f t="shared" si="8"/>
        <v>5</v>
      </c>
      <c r="T45" s="171">
        <v>20</v>
      </c>
      <c r="U45" s="169">
        <f t="shared" si="9"/>
        <v>100</v>
      </c>
      <c r="V45" s="170">
        <f t="shared" si="10"/>
        <v>10</v>
      </c>
      <c r="W45" s="2"/>
    </row>
    <row r="46" spans="1:23">
      <c r="A46" s="43">
        <v>40</v>
      </c>
      <c r="B46" s="49" t="s">
        <v>19</v>
      </c>
      <c r="C46" s="49" t="s">
        <v>135</v>
      </c>
      <c r="D46" s="49">
        <v>0</v>
      </c>
      <c r="E46" s="49">
        <v>0</v>
      </c>
      <c r="F46" s="49">
        <v>0</v>
      </c>
      <c r="G46" s="45"/>
      <c r="H46" s="168">
        <v>20</v>
      </c>
      <c r="I46" s="169">
        <f t="shared" si="1"/>
        <v>400</v>
      </c>
      <c r="J46" s="170">
        <f t="shared" si="2"/>
        <v>20</v>
      </c>
      <c r="K46" s="168">
        <v>20</v>
      </c>
      <c r="L46" s="169">
        <f t="shared" si="3"/>
        <v>400</v>
      </c>
      <c r="M46" s="170">
        <f t="shared" si="4"/>
        <v>20</v>
      </c>
      <c r="N46" s="168">
        <v>10</v>
      </c>
      <c r="O46" s="169">
        <f t="shared" si="5"/>
        <v>100</v>
      </c>
      <c r="P46" s="170">
        <f t="shared" si="6"/>
        <v>10</v>
      </c>
      <c r="Q46" s="168">
        <v>15</v>
      </c>
      <c r="R46" s="169">
        <f t="shared" si="7"/>
        <v>225</v>
      </c>
      <c r="S46" s="170">
        <f t="shared" si="8"/>
        <v>15</v>
      </c>
      <c r="T46" s="171">
        <v>20</v>
      </c>
      <c r="U46" s="169">
        <f t="shared" si="9"/>
        <v>400</v>
      </c>
      <c r="V46" s="170">
        <f t="shared" si="10"/>
        <v>20</v>
      </c>
      <c r="W46" s="2"/>
    </row>
    <row r="47" spans="1:23">
      <c r="A47" s="49">
        <v>41</v>
      </c>
      <c r="B47" s="50" t="s">
        <v>19</v>
      </c>
      <c r="C47" s="50" t="s">
        <v>138</v>
      </c>
      <c r="D47" s="49">
        <v>0</v>
      </c>
      <c r="E47" s="49">
        <v>0</v>
      </c>
      <c r="F47" s="50">
        <f t="shared" ref="F47:F137" si="11">SUM(D47:E47)/2</f>
        <v>0</v>
      </c>
      <c r="G47" s="45"/>
      <c r="H47" s="168">
        <v>20</v>
      </c>
      <c r="I47" s="169">
        <f t="shared" si="1"/>
        <v>400</v>
      </c>
      <c r="J47" s="170">
        <f t="shared" si="2"/>
        <v>20</v>
      </c>
      <c r="K47" s="168">
        <v>25</v>
      </c>
      <c r="L47" s="169">
        <f t="shared" si="3"/>
        <v>625</v>
      </c>
      <c r="M47" s="170">
        <f t="shared" si="4"/>
        <v>25</v>
      </c>
      <c r="N47" s="168">
        <v>10</v>
      </c>
      <c r="O47" s="169">
        <f t="shared" si="5"/>
        <v>100</v>
      </c>
      <c r="P47" s="170">
        <f t="shared" si="6"/>
        <v>10</v>
      </c>
      <c r="Q47" s="168">
        <v>25</v>
      </c>
      <c r="R47" s="169">
        <f t="shared" si="7"/>
        <v>625</v>
      </c>
      <c r="S47" s="170">
        <f t="shared" si="8"/>
        <v>25</v>
      </c>
      <c r="T47" s="171">
        <v>20</v>
      </c>
      <c r="U47" s="169">
        <f t="shared" si="9"/>
        <v>400</v>
      </c>
      <c r="V47" s="170">
        <f t="shared" si="10"/>
        <v>20</v>
      </c>
      <c r="W47" s="2"/>
    </row>
    <row r="48" spans="1:23">
      <c r="A48" s="49">
        <v>42</v>
      </c>
      <c r="B48" s="50" t="s">
        <v>19</v>
      </c>
      <c r="C48" s="50" t="s">
        <v>141</v>
      </c>
      <c r="D48" s="49">
        <v>15</v>
      </c>
      <c r="E48" s="49">
        <v>15</v>
      </c>
      <c r="F48" s="50">
        <f t="shared" si="11"/>
        <v>15</v>
      </c>
      <c r="G48" s="45"/>
      <c r="H48" s="168">
        <v>20</v>
      </c>
      <c r="I48" s="169">
        <f t="shared" si="1"/>
        <v>25</v>
      </c>
      <c r="J48" s="170">
        <f t="shared" si="2"/>
        <v>5</v>
      </c>
      <c r="K48" s="168">
        <v>20</v>
      </c>
      <c r="L48" s="169">
        <f t="shared" si="3"/>
        <v>25</v>
      </c>
      <c r="M48" s="170">
        <f t="shared" si="4"/>
        <v>5</v>
      </c>
      <c r="N48" s="168">
        <v>20</v>
      </c>
      <c r="O48" s="169">
        <f t="shared" si="5"/>
        <v>25</v>
      </c>
      <c r="P48" s="170">
        <f t="shared" si="6"/>
        <v>5</v>
      </c>
      <c r="Q48" s="168">
        <v>25</v>
      </c>
      <c r="R48" s="169">
        <f t="shared" si="7"/>
        <v>100</v>
      </c>
      <c r="S48" s="170">
        <f t="shared" si="8"/>
        <v>10</v>
      </c>
      <c r="T48" s="171">
        <v>20</v>
      </c>
      <c r="U48" s="169">
        <f t="shared" si="9"/>
        <v>25</v>
      </c>
      <c r="V48" s="170">
        <f t="shared" si="10"/>
        <v>5</v>
      </c>
      <c r="W48" s="2"/>
    </row>
    <row r="49" spans="1:23">
      <c r="A49" s="51">
        <v>43</v>
      </c>
      <c r="B49" s="50" t="s">
        <v>19</v>
      </c>
      <c r="C49" s="50" t="s">
        <v>144</v>
      </c>
      <c r="D49" s="49">
        <v>40</v>
      </c>
      <c r="E49" s="49">
        <v>40</v>
      </c>
      <c r="F49" s="50">
        <f t="shared" si="11"/>
        <v>40</v>
      </c>
      <c r="G49" s="45"/>
      <c r="H49" s="168">
        <v>30</v>
      </c>
      <c r="I49" s="169">
        <f t="shared" si="1"/>
        <v>100</v>
      </c>
      <c r="J49" s="170">
        <f t="shared" si="2"/>
        <v>10</v>
      </c>
      <c r="K49" s="168">
        <v>30</v>
      </c>
      <c r="L49" s="169">
        <f t="shared" si="3"/>
        <v>100</v>
      </c>
      <c r="M49" s="170">
        <f t="shared" si="4"/>
        <v>10</v>
      </c>
      <c r="N49" s="168">
        <v>40</v>
      </c>
      <c r="O49" s="169">
        <f t="shared" si="5"/>
        <v>0</v>
      </c>
      <c r="P49" s="170">
        <f t="shared" si="6"/>
        <v>0</v>
      </c>
      <c r="Q49" s="168">
        <v>30</v>
      </c>
      <c r="R49" s="169">
        <f t="shared" si="7"/>
        <v>100</v>
      </c>
      <c r="S49" s="170">
        <f t="shared" si="8"/>
        <v>10</v>
      </c>
      <c r="T49" s="171">
        <v>20</v>
      </c>
      <c r="U49" s="169">
        <f t="shared" si="9"/>
        <v>400</v>
      </c>
      <c r="V49" s="170">
        <f t="shared" si="10"/>
        <v>20</v>
      </c>
      <c r="W49" s="2"/>
    </row>
    <row r="50" spans="1:23">
      <c r="A50" s="49">
        <v>44</v>
      </c>
      <c r="B50" s="50" t="s">
        <v>19</v>
      </c>
      <c r="C50" s="50" t="s">
        <v>147</v>
      </c>
      <c r="D50" s="49">
        <v>30</v>
      </c>
      <c r="E50" s="49">
        <v>20</v>
      </c>
      <c r="F50" s="50">
        <f t="shared" si="11"/>
        <v>25</v>
      </c>
      <c r="G50" s="45"/>
      <c r="H50" s="168">
        <v>20</v>
      </c>
      <c r="I50" s="169">
        <f t="shared" si="1"/>
        <v>25</v>
      </c>
      <c r="J50" s="170">
        <f t="shared" si="2"/>
        <v>5</v>
      </c>
      <c r="K50" s="168">
        <v>20</v>
      </c>
      <c r="L50" s="169">
        <f t="shared" si="3"/>
        <v>25</v>
      </c>
      <c r="M50" s="170">
        <f t="shared" si="4"/>
        <v>5</v>
      </c>
      <c r="N50" s="168">
        <v>10</v>
      </c>
      <c r="O50" s="169">
        <f t="shared" si="5"/>
        <v>225</v>
      </c>
      <c r="P50" s="170">
        <f t="shared" si="6"/>
        <v>15</v>
      </c>
      <c r="Q50" s="168">
        <v>15</v>
      </c>
      <c r="R50" s="169">
        <f t="shared" si="7"/>
        <v>100</v>
      </c>
      <c r="S50" s="170">
        <f t="shared" si="8"/>
        <v>10</v>
      </c>
      <c r="T50" s="171">
        <v>20</v>
      </c>
      <c r="U50" s="169">
        <f t="shared" si="9"/>
        <v>25</v>
      </c>
      <c r="V50" s="170">
        <f t="shared" si="10"/>
        <v>5</v>
      </c>
      <c r="W50" s="2"/>
    </row>
    <row r="51" spans="1:23" ht="15.75" customHeight="1">
      <c r="A51" s="49">
        <v>45</v>
      </c>
      <c r="B51" s="50" t="s">
        <v>19</v>
      </c>
      <c r="C51" s="49" t="s">
        <v>150</v>
      </c>
      <c r="D51" s="49">
        <v>25</v>
      </c>
      <c r="E51" s="49">
        <v>20</v>
      </c>
      <c r="F51" s="50">
        <f t="shared" si="11"/>
        <v>22.5</v>
      </c>
      <c r="G51" s="45"/>
      <c r="H51" s="168">
        <v>30</v>
      </c>
      <c r="I51" s="169">
        <f t="shared" si="1"/>
        <v>56.25</v>
      </c>
      <c r="J51" s="170">
        <f t="shared" si="2"/>
        <v>7.5</v>
      </c>
      <c r="K51" s="168">
        <v>30</v>
      </c>
      <c r="L51" s="169">
        <f t="shared" si="3"/>
        <v>56.25</v>
      </c>
      <c r="M51" s="170">
        <f t="shared" si="4"/>
        <v>7.5</v>
      </c>
      <c r="N51" s="168">
        <v>10</v>
      </c>
      <c r="O51" s="169">
        <f t="shared" si="5"/>
        <v>156.25</v>
      </c>
      <c r="P51" s="170">
        <f t="shared" si="6"/>
        <v>12.5</v>
      </c>
      <c r="Q51" s="168">
        <v>25</v>
      </c>
      <c r="R51" s="169">
        <f t="shared" si="7"/>
        <v>6.25</v>
      </c>
      <c r="S51" s="170">
        <f t="shared" si="8"/>
        <v>2.5</v>
      </c>
      <c r="T51" s="171">
        <v>20</v>
      </c>
      <c r="U51" s="169">
        <f t="shared" si="9"/>
        <v>6.25</v>
      </c>
      <c r="V51" s="170">
        <f t="shared" si="10"/>
        <v>2.5</v>
      </c>
      <c r="W51" s="2"/>
    </row>
    <row r="52" spans="1:23">
      <c r="A52" s="43">
        <v>46</v>
      </c>
      <c r="B52" s="49" t="s">
        <v>19</v>
      </c>
      <c r="C52" s="50" t="s">
        <v>153</v>
      </c>
      <c r="D52" s="49">
        <v>15</v>
      </c>
      <c r="E52" s="49">
        <v>30</v>
      </c>
      <c r="F52" s="50">
        <f t="shared" si="11"/>
        <v>22.5</v>
      </c>
      <c r="G52" s="45"/>
      <c r="H52" s="168">
        <v>30</v>
      </c>
      <c r="I52" s="169">
        <f t="shared" si="1"/>
        <v>56.25</v>
      </c>
      <c r="J52" s="170">
        <f t="shared" si="2"/>
        <v>7.5</v>
      </c>
      <c r="K52" s="168">
        <v>35</v>
      </c>
      <c r="L52" s="169">
        <f t="shared" si="3"/>
        <v>156.25</v>
      </c>
      <c r="M52" s="170">
        <f t="shared" si="4"/>
        <v>12.5</v>
      </c>
      <c r="N52" s="168">
        <v>30</v>
      </c>
      <c r="O52" s="169">
        <f t="shared" si="5"/>
        <v>56.25</v>
      </c>
      <c r="P52" s="170">
        <f t="shared" si="6"/>
        <v>7.5</v>
      </c>
      <c r="Q52" s="168">
        <v>30</v>
      </c>
      <c r="R52" s="169">
        <f t="shared" si="7"/>
        <v>56.25</v>
      </c>
      <c r="S52" s="170">
        <f t="shared" si="8"/>
        <v>7.5</v>
      </c>
      <c r="T52" s="171">
        <v>20</v>
      </c>
      <c r="U52" s="169">
        <f t="shared" si="9"/>
        <v>6.25</v>
      </c>
      <c r="V52" s="170">
        <f t="shared" si="10"/>
        <v>2.5</v>
      </c>
      <c r="W52" s="2"/>
    </row>
    <row r="53" spans="1:23">
      <c r="A53" s="49">
        <v>47</v>
      </c>
      <c r="B53" s="50" t="s">
        <v>19</v>
      </c>
      <c r="C53" s="49" t="s">
        <v>156</v>
      </c>
      <c r="D53" s="49">
        <v>30</v>
      </c>
      <c r="E53" s="49">
        <v>30</v>
      </c>
      <c r="F53" s="50">
        <f t="shared" si="11"/>
        <v>30</v>
      </c>
      <c r="G53" s="45"/>
      <c r="H53" s="168">
        <v>30</v>
      </c>
      <c r="I53" s="169">
        <f t="shared" si="1"/>
        <v>0</v>
      </c>
      <c r="J53" s="170">
        <f t="shared" si="2"/>
        <v>0</v>
      </c>
      <c r="K53" s="168">
        <v>40</v>
      </c>
      <c r="L53" s="169">
        <f t="shared" si="3"/>
        <v>100</v>
      </c>
      <c r="M53" s="170">
        <f t="shared" si="4"/>
        <v>10</v>
      </c>
      <c r="N53" s="168">
        <v>40</v>
      </c>
      <c r="O53" s="169">
        <f t="shared" si="5"/>
        <v>100</v>
      </c>
      <c r="P53" s="170">
        <f t="shared" si="6"/>
        <v>10</v>
      </c>
      <c r="Q53" s="168">
        <v>35</v>
      </c>
      <c r="R53" s="169">
        <f t="shared" si="7"/>
        <v>25</v>
      </c>
      <c r="S53" s="170">
        <f t="shared" si="8"/>
        <v>5</v>
      </c>
      <c r="T53" s="171">
        <v>30</v>
      </c>
      <c r="U53" s="169">
        <f t="shared" si="9"/>
        <v>0</v>
      </c>
      <c r="V53" s="170">
        <f t="shared" si="10"/>
        <v>0</v>
      </c>
      <c r="W53" s="2"/>
    </row>
    <row r="54" spans="1:23">
      <c r="A54" s="49">
        <v>48</v>
      </c>
      <c r="B54" s="50" t="s">
        <v>19</v>
      </c>
      <c r="C54" s="49" t="s">
        <v>159</v>
      </c>
      <c r="D54" s="49">
        <v>35</v>
      </c>
      <c r="E54" s="49">
        <v>35</v>
      </c>
      <c r="F54" s="50">
        <f t="shared" si="11"/>
        <v>35</v>
      </c>
      <c r="G54" s="45"/>
      <c r="H54" s="168">
        <v>30</v>
      </c>
      <c r="I54" s="169">
        <f t="shared" si="1"/>
        <v>25</v>
      </c>
      <c r="J54" s="170">
        <f t="shared" si="2"/>
        <v>5</v>
      </c>
      <c r="K54" s="168">
        <v>35</v>
      </c>
      <c r="L54" s="169">
        <f t="shared" si="3"/>
        <v>0</v>
      </c>
      <c r="M54" s="170">
        <f t="shared" si="4"/>
        <v>0</v>
      </c>
      <c r="N54" s="168">
        <v>35</v>
      </c>
      <c r="O54" s="169">
        <f t="shared" si="5"/>
        <v>0</v>
      </c>
      <c r="P54" s="170">
        <f t="shared" si="6"/>
        <v>0</v>
      </c>
      <c r="Q54" s="168">
        <v>30</v>
      </c>
      <c r="R54" s="169">
        <f t="shared" si="7"/>
        <v>25</v>
      </c>
      <c r="S54" s="170">
        <f t="shared" si="8"/>
        <v>5</v>
      </c>
      <c r="T54" s="171">
        <v>20</v>
      </c>
      <c r="U54" s="169">
        <f t="shared" si="9"/>
        <v>225</v>
      </c>
      <c r="V54" s="170">
        <f t="shared" si="10"/>
        <v>15</v>
      </c>
      <c r="W54" s="2"/>
    </row>
    <row r="55" spans="1:23" ht="18.75" customHeight="1">
      <c r="A55" s="51">
        <v>49</v>
      </c>
      <c r="B55" s="50" t="s">
        <v>19</v>
      </c>
      <c r="C55" s="49" t="s">
        <v>162</v>
      </c>
      <c r="D55" s="49">
        <v>10</v>
      </c>
      <c r="E55" s="49">
        <v>10</v>
      </c>
      <c r="F55" s="50">
        <f t="shared" si="11"/>
        <v>10</v>
      </c>
      <c r="G55" s="45"/>
      <c r="H55" s="168">
        <v>10</v>
      </c>
      <c r="I55" s="169">
        <f t="shared" si="1"/>
        <v>0</v>
      </c>
      <c r="J55" s="170">
        <f t="shared" si="2"/>
        <v>0</v>
      </c>
      <c r="K55" s="168">
        <v>30</v>
      </c>
      <c r="L55" s="169">
        <f t="shared" si="3"/>
        <v>400</v>
      </c>
      <c r="M55" s="170">
        <f t="shared" si="4"/>
        <v>20</v>
      </c>
      <c r="N55" s="168">
        <v>10</v>
      </c>
      <c r="O55" s="169">
        <f t="shared" si="5"/>
        <v>0</v>
      </c>
      <c r="P55" s="170">
        <f t="shared" si="6"/>
        <v>0</v>
      </c>
      <c r="Q55" s="168">
        <v>15</v>
      </c>
      <c r="R55" s="169">
        <f t="shared" si="7"/>
        <v>25</v>
      </c>
      <c r="S55" s="170">
        <f t="shared" si="8"/>
        <v>5</v>
      </c>
      <c r="T55" s="171">
        <v>20</v>
      </c>
      <c r="U55" s="169">
        <f t="shared" si="9"/>
        <v>100</v>
      </c>
      <c r="V55" s="170">
        <f t="shared" si="10"/>
        <v>10</v>
      </c>
      <c r="W55" s="2"/>
    </row>
    <row r="56" spans="1:23">
      <c r="A56" s="49">
        <v>50</v>
      </c>
      <c r="B56" s="50" t="s">
        <v>19</v>
      </c>
      <c r="C56" s="50" t="s">
        <v>165</v>
      </c>
      <c r="D56" s="49">
        <v>10</v>
      </c>
      <c r="E56" s="49">
        <v>15</v>
      </c>
      <c r="F56" s="50">
        <f t="shared" si="11"/>
        <v>12.5</v>
      </c>
      <c r="G56" s="45"/>
      <c r="H56" s="168">
        <v>20</v>
      </c>
      <c r="I56" s="169">
        <f t="shared" si="1"/>
        <v>56.25</v>
      </c>
      <c r="J56" s="170">
        <f t="shared" si="2"/>
        <v>7.5</v>
      </c>
      <c r="K56" s="168">
        <v>25</v>
      </c>
      <c r="L56" s="169">
        <f t="shared" si="3"/>
        <v>156.25</v>
      </c>
      <c r="M56" s="170">
        <f t="shared" si="4"/>
        <v>12.5</v>
      </c>
      <c r="N56" s="168">
        <v>35</v>
      </c>
      <c r="O56" s="169">
        <f t="shared" si="5"/>
        <v>506.25</v>
      </c>
      <c r="P56" s="170">
        <f t="shared" si="6"/>
        <v>22.5</v>
      </c>
      <c r="Q56" s="168">
        <v>20</v>
      </c>
      <c r="R56" s="169">
        <f t="shared" si="7"/>
        <v>56.25</v>
      </c>
      <c r="S56" s="170">
        <f t="shared" si="8"/>
        <v>7.5</v>
      </c>
      <c r="T56" s="171">
        <v>20</v>
      </c>
      <c r="U56" s="169">
        <f t="shared" si="9"/>
        <v>56.25</v>
      </c>
      <c r="V56" s="170">
        <f t="shared" si="10"/>
        <v>7.5</v>
      </c>
      <c r="W56" s="2"/>
    </row>
    <row r="57" spans="1:23">
      <c r="A57" s="49">
        <v>51</v>
      </c>
      <c r="B57" s="50" t="s">
        <v>19</v>
      </c>
      <c r="C57" s="50" t="s">
        <v>168</v>
      </c>
      <c r="D57" s="49">
        <v>30</v>
      </c>
      <c r="E57" s="49">
        <v>35</v>
      </c>
      <c r="F57" s="50">
        <f t="shared" si="11"/>
        <v>32.5</v>
      </c>
      <c r="G57" s="45"/>
      <c r="H57" s="168">
        <v>30</v>
      </c>
      <c r="I57" s="169">
        <f t="shared" si="1"/>
        <v>6.25</v>
      </c>
      <c r="J57" s="170">
        <f t="shared" si="2"/>
        <v>2.5</v>
      </c>
      <c r="K57" s="168">
        <v>35</v>
      </c>
      <c r="L57" s="169">
        <f t="shared" si="3"/>
        <v>6.25</v>
      </c>
      <c r="M57" s="170">
        <f t="shared" si="4"/>
        <v>2.5</v>
      </c>
      <c r="N57" s="168">
        <v>35</v>
      </c>
      <c r="O57" s="169">
        <f t="shared" si="5"/>
        <v>6.25</v>
      </c>
      <c r="P57" s="170">
        <f t="shared" si="6"/>
        <v>2.5</v>
      </c>
      <c r="Q57" s="168">
        <v>25</v>
      </c>
      <c r="R57" s="169">
        <f t="shared" si="7"/>
        <v>56.25</v>
      </c>
      <c r="S57" s="170">
        <f t="shared" si="8"/>
        <v>7.5</v>
      </c>
      <c r="T57" s="171">
        <v>30</v>
      </c>
      <c r="U57" s="169">
        <f t="shared" si="9"/>
        <v>6.25</v>
      </c>
      <c r="V57" s="170">
        <f t="shared" si="10"/>
        <v>2.5</v>
      </c>
      <c r="W57" s="2"/>
    </row>
    <row r="58" spans="1:23">
      <c r="A58" s="43">
        <v>52</v>
      </c>
      <c r="B58" s="50" t="s">
        <v>19</v>
      </c>
      <c r="C58" s="49" t="s">
        <v>171</v>
      </c>
      <c r="D58" s="49">
        <v>40</v>
      </c>
      <c r="E58" s="49">
        <v>35</v>
      </c>
      <c r="F58" s="50">
        <f t="shared" si="11"/>
        <v>37.5</v>
      </c>
      <c r="G58" s="45"/>
      <c r="H58" s="168">
        <v>30</v>
      </c>
      <c r="I58" s="169">
        <f t="shared" si="1"/>
        <v>56.25</v>
      </c>
      <c r="J58" s="170">
        <f t="shared" si="2"/>
        <v>7.5</v>
      </c>
      <c r="K58" s="168">
        <v>40</v>
      </c>
      <c r="L58" s="169">
        <f t="shared" si="3"/>
        <v>6.25</v>
      </c>
      <c r="M58" s="170">
        <f t="shared" si="4"/>
        <v>2.5</v>
      </c>
      <c r="N58" s="168">
        <v>10</v>
      </c>
      <c r="O58" s="169">
        <f t="shared" si="5"/>
        <v>756.25</v>
      </c>
      <c r="P58" s="170">
        <f t="shared" si="6"/>
        <v>27.5</v>
      </c>
      <c r="Q58" s="168">
        <v>35</v>
      </c>
      <c r="R58" s="169">
        <f t="shared" si="7"/>
        <v>6.25</v>
      </c>
      <c r="S58" s="170">
        <f t="shared" si="8"/>
        <v>2.5</v>
      </c>
      <c r="T58" s="171">
        <v>35</v>
      </c>
      <c r="U58" s="169">
        <f t="shared" si="9"/>
        <v>6.25</v>
      </c>
      <c r="V58" s="170">
        <f t="shared" si="10"/>
        <v>2.5</v>
      </c>
      <c r="W58" s="2"/>
    </row>
    <row r="59" spans="1:23">
      <c r="A59" s="49">
        <v>53</v>
      </c>
      <c r="B59" s="50" t="s">
        <v>19</v>
      </c>
      <c r="C59" s="49" t="s">
        <v>174</v>
      </c>
      <c r="D59" s="49">
        <v>20</v>
      </c>
      <c r="E59" s="49">
        <v>25</v>
      </c>
      <c r="F59" s="50">
        <f t="shared" si="11"/>
        <v>22.5</v>
      </c>
      <c r="G59" s="45"/>
      <c r="H59" s="168">
        <v>30</v>
      </c>
      <c r="I59" s="169">
        <f t="shared" si="1"/>
        <v>56.25</v>
      </c>
      <c r="J59" s="170">
        <f t="shared" si="2"/>
        <v>7.5</v>
      </c>
      <c r="K59" s="168">
        <v>35</v>
      </c>
      <c r="L59" s="169">
        <f t="shared" si="3"/>
        <v>156.25</v>
      </c>
      <c r="M59" s="170">
        <f t="shared" si="4"/>
        <v>12.5</v>
      </c>
      <c r="N59" s="168">
        <v>35</v>
      </c>
      <c r="O59" s="169">
        <f t="shared" si="5"/>
        <v>156.25</v>
      </c>
      <c r="P59" s="170">
        <f t="shared" si="6"/>
        <v>12.5</v>
      </c>
      <c r="Q59" s="168">
        <v>35</v>
      </c>
      <c r="R59" s="169">
        <f t="shared" si="7"/>
        <v>156.25</v>
      </c>
      <c r="S59" s="170">
        <f t="shared" si="8"/>
        <v>12.5</v>
      </c>
      <c r="T59" s="171">
        <v>20</v>
      </c>
      <c r="U59" s="169">
        <f t="shared" si="9"/>
        <v>6.25</v>
      </c>
      <c r="V59" s="170">
        <f t="shared" si="10"/>
        <v>2.5</v>
      </c>
      <c r="W59" s="2"/>
    </row>
    <row r="60" spans="1:23">
      <c r="A60" s="49">
        <v>54</v>
      </c>
      <c r="B60" s="50" t="s">
        <v>19</v>
      </c>
      <c r="C60" s="49" t="s">
        <v>177</v>
      </c>
      <c r="D60" s="49">
        <v>27</v>
      </c>
      <c r="E60" s="49">
        <v>28</v>
      </c>
      <c r="F60" s="50">
        <f t="shared" si="11"/>
        <v>27.5</v>
      </c>
      <c r="G60" s="45"/>
      <c r="H60" s="168">
        <v>30</v>
      </c>
      <c r="I60" s="169">
        <f t="shared" si="1"/>
        <v>6.25</v>
      </c>
      <c r="J60" s="170">
        <f t="shared" si="2"/>
        <v>2.5</v>
      </c>
      <c r="K60" s="168">
        <v>40</v>
      </c>
      <c r="L60" s="169">
        <f t="shared" si="3"/>
        <v>156.25</v>
      </c>
      <c r="M60" s="170">
        <f t="shared" si="4"/>
        <v>12.5</v>
      </c>
      <c r="N60" s="168">
        <v>40</v>
      </c>
      <c r="O60" s="169">
        <f t="shared" si="5"/>
        <v>156.25</v>
      </c>
      <c r="P60" s="170">
        <f t="shared" si="6"/>
        <v>12.5</v>
      </c>
      <c r="Q60" s="168">
        <v>30</v>
      </c>
      <c r="R60" s="169">
        <f t="shared" si="7"/>
        <v>6.25</v>
      </c>
      <c r="S60" s="170">
        <f t="shared" si="8"/>
        <v>2.5</v>
      </c>
      <c r="T60" s="171">
        <v>35</v>
      </c>
      <c r="U60" s="169">
        <f t="shared" si="9"/>
        <v>56.25</v>
      </c>
      <c r="V60" s="170">
        <f t="shared" si="10"/>
        <v>7.5</v>
      </c>
      <c r="W60" s="2"/>
    </row>
    <row r="61" spans="1:23">
      <c r="A61" s="51">
        <v>55</v>
      </c>
      <c r="B61" s="50" t="s">
        <v>19</v>
      </c>
      <c r="C61" s="49" t="s">
        <v>180</v>
      </c>
      <c r="D61" s="49">
        <v>40</v>
      </c>
      <c r="E61" s="49">
        <v>40</v>
      </c>
      <c r="F61" s="50">
        <f t="shared" si="11"/>
        <v>40</v>
      </c>
      <c r="G61" s="45"/>
      <c r="H61" s="168">
        <v>30</v>
      </c>
      <c r="I61" s="169">
        <f t="shared" si="1"/>
        <v>100</v>
      </c>
      <c r="J61" s="170">
        <f t="shared" si="2"/>
        <v>10</v>
      </c>
      <c r="K61" s="168">
        <v>40</v>
      </c>
      <c r="L61" s="169">
        <f t="shared" si="3"/>
        <v>0</v>
      </c>
      <c r="M61" s="170">
        <f t="shared" si="4"/>
        <v>0</v>
      </c>
      <c r="N61" s="168">
        <v>40</v>
      </c>
      <c r="O61" s="169">
        <f t="shared" si="5"/>
        <v>0</v>
      </c>
      <c r="P61" s="170">
        <f t="shared" si="6"/>
        <v>0</v>
      </c>
      <c r="Q61" s="168">
        <v>35</v>
      </c>
      <c r="R61" s="169">
        <f t="shared" si="7"/>
        <v>25</v>
      </c>
      <c r="S61" s="170">
        <f t="shared" si="8"/>
        <v>5</v>
      </c>
      <c r="T61" s="171">
        <v>35</v>
      </c>
      <c r="U61" s="169">
        <f t="shared" si="9"/>
        <v>25</v>
      </c>
      <c r="V61" s="170">
        <f t="shared" si="10"/>
        <v>5</v>
      </c>
      <c r="W61" s="2"/>
    </row>
    <row r="62" spans="1:23">
      <c r="A62" s="49">
        <v>56</v>
      </c>
      <c r="B62" s="50" t="s">
        <v>19</v>
      </c>
      <c r="C62" s="50" t="s">
        <v>183</v>
      </c>
      <c r="D62" s="49">
        <v>25</v>
      </c>
      <c r="E62" s="49">
        <v>20</v>
      </c>
      <c r="F62" s="50">
        <f t="shared" si="11"/>
        <v>22.5</v>
      </c>
      <c r="G62" s="45"/>
      <c r="H62" s="168">
        <v>20</v>
      </c>
      <c r="I62" s="169">
        <f t="shared" si="1"/>
        <v>6.25</v>
      </c>
      <c r="J62" s="170">
        <f t="shared" si="2"/>
        <v>2.5</v>
      </c>
      <c r="K62" s="168">
        <v>20</v>
      </c>
      <c r="L62" s="169">
        <f t="shared" si="3"/>
        <v>6.25</v>
      </c>
      <c r="M62" s="170">
        <f t="shared" si="4"/>
        <v>2.5</v>
      </c>
      <c r="N62" s="168">
        <v>15</v>
      </c>
      <c r="O62" s="169">
        <f t="shared" si="5"/>
        <v>56.25</v>
      </c>
      <c r="P62" s="170">
        <f t="shared" si="6"/>
        <v>7.5</v>
      </c>
      <c r="Q62" s="168">
        <v>20</v>
      </c>
      <c r="R62" s="169">
        <f t="shared" si="7"/>
        <v>6.25</v>
      </c>
      <c r="S62" s="170">
        <f t="shared" si="8"/>
        <v>2.5</v>
      </c>
      <c r="T62" s="171">
        <v>20</v>
      </c>
      <c r="U62" s="169">
        <f t="shared" si="9"/>
        <v>6.25</v>
      </c>
      <c r="V62" s="170">
        <f t="shared" si="10"/>
        <v>2.5</v>
      </c>
      <c r="W62" s="2"/>
    </row>
    <row r="63" spans="1:23">
      <c r="A63" s="49">
        <v>57</v>
      </c>
      <c r="B63" s="49" t="s">
        <v>19</v>
      </c>
      <c r="C63" s="49" t="s">
        <v>186</v>
      </c>
      <c r="D63" s="49">
        <v>30</v>
      </c>
      <c r="E63" s="49">
        <v>30</v>
      </c>
      <c r="F63" s="50">
        <f t="shared" si="11"/>
        <v>30</v>
      </c>
      <c r="G63" s="45"/>
      <c r="H63" s="168">
        <v>30</v>
      </c>
      <c r="I63" s="169">
        <f t="shared" si="1"/>
        <v>0</v>
      </c>
      <c r="J63" s="170">
        <f t="shared" si="2"/>
        <v>0</v>
      </c>
      <c r="K63" s="168">
        <v>30</v>
      </c>
      <c r="L63" s="169">
        <f t="shared" si="3"/>
        <v>0</v>
      </c>
      <c r="M63" s="170">
        <f t="shared" si="4"/>
        <v>0</v>
      </c>
      <c r="N63" s="168">
        <v>15</v>
      </c>
      <c r="O63" s="169">
        <f t="shared" si="5"/>
        <v>225</v>
      </c>
      <c r="P63" s="170">
        <f t="shared" si="6"/>
        <v>15</v>
      </c>
      <c r="Q63" s="168">
        <v>25</v>
      </c>
      <c r="R63" s="169">
        <f t="shared" si="7"/>
        <v>25</v>
      </c>
      <c r="S63" s="170">
        <f t="shared" si="8"/>
        <v>5</v>
      </c>
      <c r="T63" s="171">
        <v>20</v>
      </c>
      <c r="U63" s="169">
        <f t="shared" si="9"/>
        <v>100</v>
      </c>
      <c r="V63" s="170">
        <f t="shared" si="10"/>
        <v>10</v>
      </c>
      <c r="W63" s="2"/>
    </row>
    <row r="64" spans="1:23">
      <c r="A64" s="43">
        <v>58</v>
      </c>
      <c r="B64" s="50" t="s">
        <v>19</v>
      </c>
      <c r="C64" s="50" t="s">
        <v>189</v>
      </c>
      <c r="D64" s="49">
        <v>0</v>
      </c>
      <c r="E64" s="49">
        <v>0</v>
      </c>
      <c r="F64" s="50">
        <f t="shared" si="11"/>
        <v>0</v>
      </c>
      <c r="G64" s="45"/>
      <c r="H64" s="168">
        <v>20</v>
      </c>
      <c r="I64" s="169">
        <f t="shared" si="1"/>
        <v>400</v>
      </c>
      <c r="J64" s="170">
        <f t="shared" si="2"/>
        <v>20</v>
      </c>
      <c r="K64" s="168">
        <v>20</v>
      </c>
      <c r="L64" s="169">
        <f t="shared" si="3"/>
        <v>400</v>
      </c>
      <c r="M64" s="170">
        <f t="shared" si="4"/>
        <v>20</v>
      </c>
      <c r="N64" s="168">
        <v>10</v>
      </c>
      <c r="O64" s="169">
        <f t="shared" si="5"/>
        <v>100</v>
      </c>
      <c r="P64" s="170">
        <f t="shared" si="6"/>
        <v>10</v>
      </c>
      <c r="Q64" s="168">
        <v>10</v>
      </c>
      <c r="R64" s="169">
        <f t="shared" si="7"/>
        <v>100</v>
      </c>
      <c r="S64" s="170">
        <f t="shared" si="8"/>
        <v>10</v>
      </c>
      <c r="T64" s="171">
        <v>20</v>
      </c>
      <c r="U64" s="169">
        <f t="shared" si="9"/>
        <v>400</v>
      </c>
      <c r="V64" s="170">
        <f t="shared" si="10"/>
        <v>20</v>
      </c>
      <c r="W64" s="2"/>
    </row>
    <row r="65" spans="1:23">
      <c r="A65" s="49">
        <v>59</v>
      </c>
      <c r="B65" s="50" t="s">
        <v>19</v>
      </c>
      <c r="C65" s="50" t="s">
        <v>192</v>
      </c>
      <c r="D65" s="49">
        <v>30</v>
      </c>
      <c r="E65" s="49">
        <v>30</v>
      </c>
      <c r="F65" s="50">
        <f t="shared" si="11"/>
        <v>30</v>
      </c>
      <c r="G65" s="45"/>
      <c r="H65" s="168">
        <v>20</v>
      </c>
      <c r="I65" s="169">
        <f t="shared" si="1"/>
        <v>100</v>
      </c>
      <c r="J65" s="170">
        <f t="shared" si="2"/>
        <v>10</v>
      </c>
      <c r="K65" s="168">
        <v>25</v>
      </c>
      <c r="L65" s="169">
        <f t="shared" si="3"/>
        <v>25</v>
      </c>
      <c r="M65" s="170">
        <f t="shared" si="4"/>
        <v>5</v>
      </c>
      <c r="N65" s="168">
        <v>10</v>
      </c>
      <c r="O65" s="169">
        <f t="shared" si="5"/>
        <v>400</v>
      </c>
      <c r="P65" s="170">
        <f t="shared" si="6"/>
        <v>20</v>
      </c>
      <c r="Q65" s="168">
        <v>25</v>
      </c>
      <c r="R65" s="169">
        <f t="shared" si="7"/>
        <v>25</v>
      </c>
      <c r="S65" s="170">
        <f t="shared" si="8"/>
        <v>5</v>
      </c>
      <c r="T65" s="171">
        <v>20</v>
      </c>
      <c r="U65" s="169">
        <f t="shared" si="9"/>
        <v>100</v>
      </c>
      <c r="V65" s="170">
        <f t="shared" si="10"/>
        <v>10</v>
      </c>
      <c r="W65" s="2"/>
    </row>
    <row r="66" spans="1:23">
      <c r="A66" s="49">
        <v>60</v>
      </c>
      <c r="B66" s="50" t="s">
        <v>19</v>
      </c>
      <c r="C66" s="50" t="s">
        <v>195</v>
      </c>
      <c r="D66" s="49">
        <v>40</v>
      </c>
      <c r="E66" s="49">
        <v>40</v>
      </c>
      <c r="F66" s="50">
        <f t="shared" si="11"/>
        <v>40</v>
      </c>
      <c r="G66" s="45"/>
      <c r="H66" s="168">
        <v>30</v>
      </c>
      <c r="I66" s="169">
        <f t="shared" si="1"/>
        <v>100</v>
      </c>
      <c r="J66" s="170">
        <f t="shared" si="2"/>
        <v>10</v>
      </c>
      <c r="K66" s="168">
        <v>40</v>
      </c>
      <c r="L66" s="169">
        <f t="shared" si="3"/>
        <v>0</v>
      </c>
      <c r="M66" s="170">
        <f t="shared" si="4"/>
        <v>0</v>
      </c>
      <c r="N66" s="168">
        <v>40</v>
      </c>
      <c r="O66" s="169">
        <f t="shared" si="5"/>
        <v>0</v>
      </c>
      <c r="P66" s="170">
        <f t="shared" si="6"/>
        <v>0</v>
      </c>
      <c r="Q66" s="168">
        <v>35</v>
      </c>
      <c r="R66" s="169">
        <f t="shared" si="7"/>
        <v>25</v>
      </c>
      <c r="S66" s="170">
        <f t="shared" si="8"/>
        <v>5</v>
      </c>
      <c r="T66" s="171">
        <v>20</v>
      </c>
      <c r="U66" s="169">
        <f t="shared" si="9"/>
        <v>400</v>
      </c>
      <c r="V66" s="170">
        <f t="shared" si="10"/>
        <v>20</v>
      </c>
      <c r="W66" s="2"/>
    </row>
    <row r="67" spans="1:23">
      <c r="A67" s="51">
        <v>61</v>
      </c>
      <c r="B67" s="50" t="s">
        <v>19</v>
      </c>
      <c r="C67" s="49" t="s">
        <v>198</v>
      </c>
      <c r="D67" s="49">
        <v>10</v>
      </c>
      <c r="E67" s="49">
        <v>10</v>
      </c>
      <c r="F67" s="50">
        <f t="shared" si="11"/>
        <v>10</v>
      </c>
      <c r="G67" s="45"/>
      <c r="H67" s="168">
        <v>30</v>
      </c>
      <c r="I67" s="169">
        <f t="shared" si="1"/>
        <v>400</v>
      </c>
      <c r="J67" s="170">
        <f t="shared" si="2"/>
        <v>20</v>
      </c>
      <c r="K67" s="168">
        <v>30</v>
      </c>
      <c r="L67" s="169">
        <f t="shared" si="3"/>
        <v>400</v>
      </c>
      <c r="M67" s="170">
        <f t="shared" si="4"/>
        <v>20</v>
      </c>
      <c r="N67" s="168">
        <v>10</v>
      </c>
      <c r="O67" s="169">
        <f t="shared" si="5"/>
        <v>0</v>
      </c>
      <c r="P67" s="170">
        <f t="shared" si="6"/>
        <v>0</v>
      </c>
      <c r="Q67" s="168">
        <v>30</v>
      </c>
      <c r="R67" s="169">
        <f t="shared" si="7"/>
        <v>400</v>
      </c>
      <c r="S67" s="170">
        <f t="shared" si="8"/>
        <v>20</v>
      </c>
      <c r="T67" s="171">
        <v>20</v>
      </c>
      <c r="U67" s="169">
        <f t="shared" si="9"/>
        <v>100</v>
      </c>
      <c r="V67" s="170">
        <f t="shared" si="10"/>
        <v>10</v>
      </c>
      <c r="W67" s="2"/>
    </row>
    <row r="68" spans="1:23">
      <c r="A68" s="49">
        <v>62</v>
      </c>
      <c r="B68" s="50" t="s">
        <v>19</v>
      </c>
      <c r="C68" s="49" t="s">
        <v>201</v>
      </c>
      <c r="D68" s="49">
        <v>10</v>
      </c>
      <c r="E68" s="49">
        <v>0</v>
      </c>
      <c r="F68" s="50">
        <f t="shared" si="11"/>
        <v>5</v>
      </c>
      <c r="G68" s="45"/>
      <c r="H68" s="168">
        <v>20</v>
      </c>
      <c r="I68" s="169">
        <f t="shared" si="1"/>
        <v>225</v>
      </c>
      <c r="J68" s="170">
        <f t="shared" si="2"/>
        <v>15</v>
      </c>
      <c r="K68" s="168">
        <v>20</v>
      </c>
      <c r="L68" s="169">
        <f t="shared" si="3"/>
        <v>225</v>
      </c>
      <c r="M68" s="170">
        <f t="shared" si="4"/>
        <v>15</v>
      </c>
      <c r="N68" s="168">
        <v>10</v>
      </c>
      <c r="O68" s="169">
        <f t="shared" si="5"/>
        <v>25</v>
      </c>
      <c r="P68" s="170">
        <f t="shared" si="6"/>
        <v>5</v>
      </c>
      <c r="Q68" s="168">
        <v>25</v>
      </c>
      <c r="R68" s="169">
        <f t="shared" si="7"/>
        <v>400</v>
      </c>
      <c r="S68" s="170">
        <f t="shared" si="8"/>
        <v>20</v>
      </c>
      <c r="T68" s="171">
        <v>20</v>
      </c>
      <c r="U68" s="169">
        <f t="shared" si="9"/>
        <v>225</v>
      </c>
      <c r="V68" s="170">
        <f t="shared" si="10"/>
        <v>15</v>
      </c>
      <c r="W68" s="2"/>
    </row>
    <row r="69" spans="1:23">
      <c r="A69" s="49">
        <v>63</v>
      </c>
      <c r="B69" s="50" t="s">
        <v>19</v>
      </c>
      <c r="C69" s="50" t="s">
        <v>204</v>
      </c>
      <c r="D69" s="49">
        <v>30</v>
      </c>
      <c r="E69" s="49">
        <v>30</v>
      </c>
      <c r="F69" s="50">
        <f t="shared" si="11"/>
        <v>30</v>
      </c>
      <c r="G69" s="45"/>
      <c r="H69" s="168">
        <v>20</v>
      </c>
      <c r="I69" s="169">
        <f t="shared" si="1"/>
        <v>100</v>
      </c>
      <c r="J69" s="170">
        <f t="shared" si="2"/>
        <v>10</v>
      </c>
      <c r="K69" s="168">
        <v>35</v>
      </c>
      <c r="L69" s="169">
        <f t="shared" si="3"/>
        <v>25</v>
      </c>
      <c r="M69" s="170">
        <f t="shared" si="4"/>
        <v>5</v>
      </c>
      <c r="N69" s="168">
        <v>35</v>
      </c>
      <c r="O69" s="169">
        <f t="shared" si="5"/>
        <v>25</v>
      </c>
      <c r="P69" s="170">
        <f t="shared" si="6"/>
        <v>5</v>
      </c>
      <c r="Q69" s="168">
        <v>25</v>
      </c>
      <c r="R69" s="169">
        <f t="shared" si="7"/>
        <v>25</v>
      </c>
      <c r="S69" s="170">
        <f t="shared" si="8"/>
        <v>5</v>
      </c>
      <c r="T69" s="171">
        <v>20</v>
      </c>
      <c r="U69" s="169">
        <f t="shared" si="9"/>
        <v>100</v>
      </c>
      <c r="V69" s="170">
        <f t="shared" si="10"/>
        <v>10</v>
      </c>
      <c r="W69" s="2"/>
    </row>
    <row r="70" spans="1:23">
      <c r="A70" s="43">
        <v>64</v>
      </c>
      <c r="B70" s="49" t="s">
        <v>19</v>
      </c>
      <c r="C70" s="49" t="s">
        <v>207</v>
      </c>
      <c r="D70" s="49">
        <v>25</v>
      </c>
      <c r="E70" s="49">
        <v>20</v>
      </c>
      <c r="F70" s="50">
        <f t="shared" si="11"/>
        <v>22.5</v>
      </c>
      <c r="G70" s="45"/>
      <c r="H70" s="168">
        <v>30</v>
      </c>
      <c r="I70" s="169">
        <f t="shared" si="1"/>
        <v>56.25</v>
      </c>
      <c r="J70" s="170">
        <f t="shared" si="2"/>
        <v>7.5</v>
      </c>
      <c r="K70" s="168">
        <v>30</v>
      </c>
      <c r="L70" s="169">
        <f t="shared" si="3"/>
        <v>56.25</v>
      </c>
      <c r="M70" s="170">
        <f t="shared" si="4"/>
        <v>7.5</v>
      </c>
      <c r="N70" s="168">
        <v>35</v>
      </c>
      <c r="O70" s="169">
        <f t="shared" si="5"/>
        <v>156.25</v>
      </c>
      <c r="P70" s="170">
        <f t="shared" si="6"/>
        <v>12.5</v>
      </c>
      <c r="Q70" s="168">
        <v>30</v>
      </c>
      <c r="R70" s="169">
        <f t="shared" si="7"/>
        <v>56.25</v>
      </c>
      <c r="S70" s="170">
        <f t="shared" si="8"/>
        <v>7.5</v>
      </c>
      <c r="T70" s="171">
        <v>20</v>
      </c>
      <c r="U70" s="169">
        <f t="shared" si="9"/>
        <v>6.25</v>
      </c>
      <c r="V70" s="170">
        <f t="shared" si="10"/>
        <v>2.5</v>
      </c>
      <c r="W70" s="2"/>
    </row>
    <row r="71" spans="1:23">
      <c r="A71" s="49">
        <v>65</v>
      </c>
      <c r="B71" s="49" t="s">
        <v>19</v>
      </c>
      <c r="C71" s="49" t="s">
        <v>124</v>
      </c>
      <c r="D71" s="49">
        <v>40</v>
      </c>
      <c r="E71" s="49">
        <v>40</v>
      </c>
      <c r="F71" s="50">
        <f t="shared" si="11"/>
        <v>40</v>
      </c>
      <c r="G71" s="45"/>
      <c r="H71" s="168">
        <v>30</v>
      </c>
      <c r="I71" s="169">
        <f t="shared" si="1"/>
        <v>100</v>
      </c>
      <c r="J71" s="170">
        <f t="shared" si="2"/>
        <v>10</v>
      </c>
      <c r="K71" s="168">
        <v>25</v>
      </c>
      <c r="L71" s="169">
        <f t="shared" si="3"/>
        <v>225</v>
      </c>
      <c r="M71" s="170">
        <f t="shared" si="4"/>
        <v>15</v>
      </c>
      <c r="N71" s="168">
        <v>30</v>
      </c>
      <c r="O71" s="169">
        <f t="shared" si="5"/>
        <v>100</v>
      </c>
      <c r="P71" s="170">
        <f t="shared" si="6"/>
        <v>10</v>
      </c>
      <c r="Q71" s="168">
        <v>25</v>
      </c>
      <c r="R71" s="169">
        <f t="shared" si="7"/>
        <v>225</v>
      </c>
      <c r="S71" s="170">
        <f t="shared" si="8"/>
        <v>15</v>
      </c>
      <c r="T71" s="171">
        <v>30</v>
      </c>
      <c r="U71" s="169">
        <f t="shared" si="9"/>
        <v>100</v>
      </c>
      <c r="V71" s="170">
        <f t="shared" si="10"/>
        <v>10</v>
      </c>
      <c r="W71" s="2"/>
    </row>
    <row r="72" spans="1:23">
      <c r="A72" s="49">
        <v>66</v>
      </c>
      <c r="B72" s="49" t="s">
        <v>19</v>
      </c>
      <c r="C72" s="50" t="s">
        <v>212</v>
      </c>
      <c r="D72" s="49">
        <v>10</v>
      </c>
      <c r="E72" s="49">
        <v>25</v>
      </c>
      <c r="F72" s="50">
        <f t="shared" si="11"/>
        <v>17.5</v>
      </c>
      <c r="G72" s="45"/>
      <c r="H72" s="168">
        <v>10</v>
      </c>
      <c r="I72" s="169">
        <f t="shared" si="1"/>
        <v>56.25</v>
      </c>
      <c r="J72" s="170">
        <f t="shared" si="2"/>
        <v>7.5</v>
      </c>
      <c r="K72" s="168">
        <v>25</v>
      </c>
      <c r="L72" s="169">
        <f t="shared" si="3"/>
        <v>56.25</v>
      </c>
      <c r="M72" s="170">
        <f t="shared" si="4"/>
        <v>7.5</v>
      </c>
      <c r="N72" s="168">
        <v>10</v>
      </c>
      <c r="O72" s="169">
        <f t="shared" si="5"/>
        <v>56.25</v>
      </c>
      <c r="P72" s="170">
        <f t="shared" si="6"/>
        <v>7.5</v>
      </c>
      <c r="Q72" s="168">
        <v>15</v>
      </c>
      <c r="R72" s="169">
        <f t="shared" si="7"/>
        <v>6.25</v>
      </c>
      <c r="S72" s="170">
        <f t="shared" si="8"/>
        <v>2.5</v>
      </c>
      <c r="T72" s="171">
        <v>10</v>
      </c>
      <c r="U72" s="169">
        <f t="shared" si="9"/>
        <v>56.25</v>
      </c>
      <c r="V72" s="170">
        <f t="shared" si="10"/>
        <v>7.5</v>
      </c>
      <c r="W72" s="2"/>
    </row>
    <row r="73" spans="1:23">
      <c r="A73" s="51">
        <v>67</v>
      </c>
      <c r="B73" s="50" t="s">
        <v>19</v>
      </c>
      <c r="C73" s="50" t="s">
        <v>215</v>
      </c>
      <c r="D73" s="49">
        <v>0</v>
      </c>
      <c r="E73" s="49">
        <v>0</v>
      </c>
      <c r="F73" s="50">
        <f t="shared" si="11"/>
        <v>0</v>
      </c>
      <c r="G73" s="45"/>
      <c r="H73" s="168">
        <v>20</v>
      </c>
      <c r="I73" s="169">
        <f t="shared" si="1"/>
        <v>400</v>
      </c>
      <c r="J73" s="170">
        <f t="shared" si="2"/>
        <v>20</v>
      </c>
      <c r="K73" s="168">
        <v>25</v>
      </c>
      <c r="L73" s="169">
        <f t="shared" si="3"/>
        <v>625</v>
      </c>
      <c r="M73" s="170">
        <f t="shared" si="4"/>
        <v>25</v>
      </c>
      <c r="N73" s="168">
        <v>20</v>
      </c>
      <c r="O73" s="169">
        <f t="shared" si="5"/>
        <v>400</v>
      </c>
      <c r="P73" s="170">
        <f t="shared" si="6"/>
        <v>20</v>
      </c>
      <c r="Q73" s="168">
        <v>15</v>
      </c>
      <c r="R73" s="169">
        <f t="shared" si="7"/>
        <v>225</v>
      </c>
      <c r="S73" s="170">
        <f t="shared" si="8"/>
        <v>15</v>
      </c>
      <c r="T73" s="171">
        <v>20</v>
      </c>
      <c r="U73" s="169">
        <f t="shared" si="9"/>
        <v>400</v>
      </c>
      <c r="V73" s="170">
        <f t="shared" si="10"/>
        <v>20</v>
      </c>
      <c r="W73" s="2"/>
    </row>
    <row r="74" spans="1:23">
      <c r="A74" s="49">
        <v>68</v>
      </c>
      <c r="B74" s="50" t="s">
        <v>19</v>
      </c>
      <c r="C74" s="50" t="s">
        <v>218</v>
      </c>
      <c r="D74" s="49">
        <v>10</v>
      </c>
      <c r="E74" s="49">
        <v>10</v>
      </c>
      <c r="F74" s="50">
        <f t="shared" si="11"/>
        <v>10</v>
      </c>
      <c r="G74" s="45"/>
      <c r="H74" s="168">
        <v>20</v>
      </c>
      <c r="I74" s="169">
        <f t="shared" si="1"/>
        <v>100</v>
      </c>
      <c r="J74" s="170">
        <f t="shared" si="2"/>
        <v>10</v>
      </c>
      <c r="K74" s="168">
        <v>30</v>
      </c>
      <c r="L74" s="169">
        <f t="shared" si="3"/>
        <v>400</v>
      </c>
      <c r="M74" s="170">
        <f t="shared" si="4"/>
        <v>20</v>
      </c>
      <c r="N74" s="168">
        <v>20</v>
      </c>
      <c r="O74" s="169">
        <f t="shared" si="5"/>
        <v>100</v>
      </c>
      <c r="P74" s="170">
        <f t="shared" si="6"/>
        <v>10</v>
      </c>
      <c r="Q74" s="168">
        <v>30</v>
      </c>
      <c r="R74" s="169">
        <f t="shared" si="7"/>
        <v>400</v>
      </c>
      <c r="S74" s="170">
        <f t="shared" si="8"/>
        <v>20</v>
      </c>
      <c r="T74" s="171">
        <v>20</v>
      </c>
      <c r="U74" s="169">
        <f t="shared" si="9"/>
        <v>100</v>
      </c>
      <c r="V74" s="170">
        <f t="shared" si="10"/>
        <v>10</v>
      </c>
      <c r="W74" s="2"/>
    </row>
    <row r="75" spans="1:23">
      <c r="A75" s="51">
        <v>70</v>
      </c>
      <c r="B75" s="50" t="s">
        <v>19</v>
      </c>
      <c r="C75" s="49" t="s">
        <v>223</v>
      </c>
      <c r="D75" s="49">
        <v>20</v>
      </c>
      <c r="E75" s="49">
        <v>20</v>
      </c>
      <c r="F75" s="50">
        <f t="shared" si="11"/>
        <v>20</v>
      </c>
      <c r="G75" s="45"/>
      <c r="H75" s="168">
        <v>10</v>
      </c>
      <c r="I75" s="169">
        <f t="shared" si="1"/>
        <v>100</v>
      </c>
      <c r="J75" s="170">
        <f t="shared" si="2"/>
        <v>10</v>
      </c>
      <c r="K75" s="168">
        <v>25</v>
      </c>
      <c r="L75" s="169">
        <f t="shared" si="3"/>
        <v>25</v>
      </c>
      <c r="M75" s="170">
        <f t="shared" si="4"/>
        <v>5</v>
      </c>
      <c r="N75" s="168">
        <v>10</v>
      </c>
      <c r="O75" s="169">
        <f t="shared" si="5"/>
        <v>100</v>
      </c>
      <c r="P75" s="170">
        <f t="shared" si="6"/>
        <v>10</v>
      </c>
      <c r="Q75" s="168">
        <v>25</v>
      </c>
      <c r="R75" s="169">
        <f t="shared" si="7"/>
        <v>25</v>
      </c>
      <c r="S75" s="170">
        <f t="shared" si="8"/>
        <v>5</v>
      </c>
      <c r="T75" s="171">
        <v>20</v>
      </c>
      <c r="U75" s="169">
        <f t="shared" si="9"/>
        <v>0</v>
      </c>
      <c r="V75" s="170">
        <f t="shared" si="10"/>
        <v>0</v>
      </c>
      <c r="W75" s="2"/>
    </row>
    <row r="76" spans="1:23">
      <c r="A76" s="49">
        <v>71</v>
      </c>
      <c r="B76" s="50" t="s">
        <v>19</v>
      </c>
      <c r="C76" s="50" t="s">
        <v>226</v>
      </c>
      <c r="D76" s="49">
        <v>20</v>
      </c>
      <c r="E76" s="49">
        <v>30</v>
      </c>
      <c r="F76" s="50">
        <f t="shared" si="11"/>
        <v>25</v>
      </c>
      <c r="G76" s="45"/>
      <c r="H76" s="168">
        <v>30</v>
      </c>
      <c r="I76" s="169">
        <f t="shared" si="1"/>
        <v>25</v>
      </c>
      <c r="J76" s="170">
        <f t="shared" si="2"/>
        <v>5</v>
      </c>
      <c r="K76" s="168">
        <v>25</v>
      </c>
      <c r="L76" s="169">
        <f t="shared" si="3"/>
        <v>0</v>
      </c>
      <c r="M76" s="170">
        <f t="shared" si="4"/>
        <v>0</v>
      </c>
      <c r="N76" s="168">
        <v>10</v>
      </c>
      <c r="O76" s="169">
        <f t="shared" si="5"/>
        <v>225</v>
      </c>
      <c r="P76" s="170">
        <f t="shared" si="6"/>
        <v>15</v>
      </c>
      <c r="Q76" s="168">
        <v>15</v>
      </c>
      <c r="R76" s="169">
        <f t="shared" si="7"/>
        <v>100</v>
      </c>
      <c r="S76" s="170">
        <f t="shared" si="8"/>
        <v>10</v>
      </c>
      <c r="T76" s="171">
        <v>20</v>
      </c>
      <c r="U76" s="169">
        <f t="shared" si="9"/>
        <v>25</v>
      </c>
      <c r="V76" s="170">
        <f t="shared" si="10"/>
        <v>5</v>
      </c>
      <c r="W76" s="2"/>
    </row>
    <row r="77" spans="1:23">
      <c r="A77" s="49">
        <v>72</v>
      </c>
      <c r="B77" s="50" t="s">
        <v>19</v>
      </c>
      <c r="C77" s="50" t="s">
        <v>229</v>
      </c>
      <c r="D77" s="49">
        <v>5</v>
      </c>
      <c r="E77" s="49">
        <v>10</v>
      </c>
      <c r="F77" s="50">
        <f t="shared" si="11"/>
        <v>7.5</v>
      </c>
      <c r="G77" s="45"/>
      <c r="H77" s="168">
        <v>10</v>
      </c>
      <c r="I77" s="169">
        <f t="shared" si="1"/>
        <v>6.25</v>
      </c>
      <c r="J77" s="170">
        <f t="shared" si="2"/>
        <v>2.5</v>
      </c>
      <c r="K77" s="168">
        <v>15</v>
      </c>
      <c r="L77" s="169">
        <f t="shared" si="3"/>
        <v>56.25</v>
      </c>
      <c r="M77" s="170">
        <f t="shared" si="4"/>
        <v>7.5</v>
      </c>
      <c r="N77" s="168">
        <v>15</v>
      </c>
      <c r="O77" s="169">
        <f t="shared" si="5"/>
        <v>56.25</v>
      </c>
      <c r="P77" s="170">
        <f t="shared" si="6"/>
        <v>7.5</v>
      </c>
      <c r="Q77" s="168">
        <v>25</v>
      </c>
      <c r="R77" s="169">
        <f t="shared" si="7"/>
        <v>306.25</v>
      </c>
      <c r="S77" s="170">
        <f t="shared" si="8"/>
        <v>17.5</v>
      </c>
      <c r="T77" s="171">
        <v>20</v>
      </c>
      <c r="U77" s="169">
        <f t="shared" si="9"/>
        <v>156.25</v>
      </c>
      <c r="V77" s="170">
        <f t="shared" si="10"/>
        <v>12.5</v>
      </c>
      <c r="W77" s="2"/>
    </row>
    <row r="78" spans="1:23">
      <c r="A78" s="43">
        <v>73</v>
      </c>
      <c r="B78" s="50" t="s">
        <v>19</v>
      </c>
      <c r="C78" s="50" t="s">
        <v>232</v>
      </c>
      <c r="D78" s="49">
        <v>10</v>
      </c>
      <c r="E78" s="49">
        <v>20</v>
      </c>
      <c r="F78" s="50">
        <f t="shared" si="11"/>
        <v>15</v>
      </c>
      <c r="G78" s="45"/>
      <c r="H78" s="168">
        <v>10</v>
      </c>
      <c r="I78" s="169">
        <f t="shared" si="1"/>
        <v>25</v>
      </c>
      <c r="J78" s="170">
        <f t="shared" si="2"/>
        <v>5</v>
      </c>
      <c r="K78" s="168">
        <v>15</v>
      </c>
      <c r="L78" s="169">
        <f t="shared" si="3"/>
        <v>0</v>
      </c>
      <c r="M78" s="170">
        <f t="shared" si="4"/>
        <v>0</v>
      </c>
      <c r="N78" s="168">
        <v>10</v>
      </c>
      <c r="O78" s="169">
        <f t="shared" si="5"/>
        <v>25</v>
      </c>
      <c r="P78" s="170">
        <f t="shared" si="6"/>
        <v>5</v>
      </c>
      <c r="Q78" s="168">
        <v>25</v>
      </c>
      <c r="R78" s="169">
        <f t="shared" si="7"/>
        <v>100</v>
      </c>
      <c r="S78" s="170">
        <f t="shared" si="8"/>
        <v>10</v>
      </c>
      <c r="T78" s="171">
        <v>20</v>
      </c>
      <c r="U78" s="169">
        <f t="shared" si="9"/>
        <v>25</v>
      </c>
      <c r="V78" s="170">
        <f t="shared" si="10"/>
        <v>5</v>
      </c>
      <c r="W78" s="2"/>
    </row>
    <row r="79" spans="1:23">
      <c r="A79" s="49">
        <v>74</v>
      </c>
      <c r="B79" s="50" t="s">
        <v>19</v>
      </c>
      <c r="C79" s="50" t="s">
        <v>235</v>
      </c>
      <c r="D79" s="49">
        <v>20</v>
      </c>
      <c r="E79" s="49">
        <v>20</v>
      </c>
      <c r="F79" s="50">
        <f t="shared" si="11"/>
        <v>20</v>
      </c>
      <c r="G79" s="45"/>
      <c r="H79" s="168">
        <v>30</v>
      </c>
      <c r="I79" s="169">
        <f t="shared" si="1"/>
        <v>100</v>
      </c>
      <c r="J79" s="170">
        <f t="shared" si="2"/>
        <v>10</v>
      </c>
      <c r="K79" s="168">
        <v>40</v>
      </c>
      <c r="L79" s="169">
        <f t="shared" si="3"/>
        <v>400</v>
      </c>
      <c r="M79" s="170">
        <f t="shared" si="4"/>
        <v>20</v>
      </c>
      <c r="N79" s="168">
        <v>35</v>
      </c>
      <c r="O79" s="169">
        <f t="shared" si="5"/>
        <v>225</v>
      </c>
      <c r="P79" s="170">
        <f t="shared" si="6"/>
        <v>15</v>
      </c>
      <c r="Q79" s="168">
        <v>35</v>
      </c>
      <c r="R79" s="169">
        <f t="shared" si="7"/>
        <v>225</v>
      </c>
      <c r="S79" s="170">
        <f t="shared" si="8"/>
        <v>15</v>
      </c>
      <c r="T79" s="171">
        <v>35</v>
      </c>
      <c r="U79" s="169">
        <f t="shared" si="9"/>
        <v>225</v>
      </c>
      <c r="V79" s="170">
        <f t="shared" si="10"/>
        <v>15</v>
      </c>
      <c r="W79" s="2"/>
    </row>
    <row r="80" spans="1:23">
      <c r="A80" s="49">
        <v>75</v>
      </c>
      <c r="B80" s="50" t="s">
        <v>19</v>
      </c>
      <c r="C80" s="50" t="s">
        <v>238</v>
      </c>
      <c r="D80" s="49">
        <v>0</v>
      </c>
      <c r="E80" s="49">
        <v>0</v>
      </c>
      <c r="F80" s="50">
        <f t="shared" si="11"/>
        <v>0</v>
      </c>
      <c r="G80" s="45"/>
      <c r="H80" s="168">
        <v>20</v>
      </c>
      <c r="I80" s="169">
        <f t="shared" si="1"/>
        <v>400</v>
      </c>
      <c r="J80" s="170">
        <f t="shared" si="2"/>
        <v>20</v>
      </c>
      <c r="K80" s="168">
        <v>20</v>
      </c>
      <c r="L80" s="169">
        <f t="shared" si="3"/>
        <v>400</v>
      </c>
      <c r="M80" s="170">
        <f t="shared" si="4"/>
        <v>20</v>
      </c>
      <c r="N80" s="168">
        <v>20</v>
      </c>
      <c r="O80" s="169">
        <f t="shared" si="5"/>
        <v>400</v>
      </c>
      <c r="P80" s="170">
        <f t="shared" si="6"/>
        <v>20</v>
      </c>
      <c r="Q80" s="168">
        <v>10</v>
      </c>
      <c r="R80" s="169">
        <f t="shared" si="7"/>
        <v>100</v>
      </c>
      <c r="S80" s="170">
        <f t="shared" si="8"/>
        <v>10</v>
      </c>
      <c r="T80" s="171">
        <v>20</v>
      </c>
      <c r="U80" s="169">
        <f t="shared" si="9"/>
        <v>400</v>
      </c>
      <c r="V80" s="170">
        <f t="shared" si="10"/>
        <v>20</v>
      </c>
      <c r="W80" s="2"/>
    </row>
    <row r="81" spans="1:23">
      <c r="A81" s="51">
        <v>76</v>
      </c>
      <c r="B81" s="50" t="s">
        <v>19</v>
      </c>
      <c r="C81" s="50" t="s">
        <v>241</v>
      </c>
      <c r="D81" s="49">
        <v>40</v>
      </c>
      <c r="E81" s="49">
        <v>40</v>
      </c>
      <c r="F81" s="50">
        <f t="shared" si="11"/>
        <v>40</v>
      </c>
      <c r="G81" s="45"/>
      <c r="H81" s="168">
        <v>20</v>
      </c>
      <c r="I81" s="169">
        <f t="shared" si="1"/>
        <v>400</v>
      </c>
      <c r="J81" s="170">
        <f t="shared" si="2"/>
        <v>20</v>
      </c>
      <c r="K81" s="168">
        <v>30</v>
      </c>
      <c r="L81" s="169">
        <f t="shared" si="3"/>
        <v>100</v>
      </c>
      <c r="M81" s="170">
        <f t="shared" si="4"/>
        <v>10</v>
      </c>
      <c r="N81" s="168">
        <v>10</v>
      </c>
      <c r="O81" s="169">
        <f t="shared" si="5"/>
        <v>900</v>
      </c>
      <c r="P81" s="170">
        <f t="shared" si="6"/>
        <v>30</v>
      </c>
      <c r="Q81" s="168">
        <v>30</v>
      </c>
      <c r="R81" s="169">
        <f t="shared" si="7"/>
        <v>100</v>
      </c>
      <c r="S81" s="170">
        <f t="shared" si="8"/>
        <v>10</v>
      </c>
      <c r="T81" s="171">
        <v>20</v>
      </c>
      <c r="U81" s="169">
        <f t="shared" si="9"/>
        <v>400</v>
      </c>
      <c r="V81" s="170">
        <f t="shared" si="10"/>
        <v>20</v>
      </c>
      <c r="W81" s="2"/>
    </row>
    <row r="82" spans="1:23">
      <c r="A82" s="49">
        <v>77</v>
      </c>
      <c r="B82" s="50" t="s">
        <v>19</v>
      </c>
      <c r="C82" s="50" t="s">
        <v>244</v>
      </c>
      <c r="D82" s="49">
        <v>40</v>
      </c>
      <c r="E82" s="49">
        <v>40</v>
      </c>
      <c r="F82" s="50">
        <f t="shared" si="11"/>
        <v>40</v>
      </c>
      <c r="G82" s="45"/>
      <c r="H82" s="168">
        <v>30</v>
      </c>
      <c r="I82" s="169">
        <f t="shared" si="1"/>
        <v>100</v>
      </c>
      <c r="J82" s="170">
        <f t="shared" si="2"/>
        <v>10</v>
      </c>
      <c r="K82" s="168">
        <v>30</v>
      </c>
      <c r="L82" s="169">
        <f t="shared" si="3"/>
        <v>100</v>
      </c>
      <c r="M82" s="170">
        <f t="shared" si="4"/>
        <v>10</v>
      </c>
      <c r="N82" s="168">
        <v>30</v>
      </c>
      <c r="O82" s="169">
        <f t="shared" si="5"/>
        <v>100</v>
      </c>
      <c r="P82" s="170">
        <f t="shared" si="6"/>
        <v>10</v>
      </c>
      <c r="Q82" s="168">
        <v>35</v>
      </c>
      <c r="R82" s="169">
        <f t="shared" si="7"/>
        <v>25</v>
      </c>
      <c r="S82" s="170">
        <f t="shared" si="8"/>
        <v>5</v>
      </c>
      <c r="T82" s="171">
        <v>30</v>
      </c>
      <c r="U82" s="169">
        <f t="shared" si="9"/>
        <v>100</v>
      </c>
      <c r="V82" s="170">
        <f t="shared" si="10"/>
        <v>10</v>
      </c>
      <c r="W82" s="2"/>
    </row>
    <row r="83" spans="1:23">
      <c r="A83" s="49">
        <v>78</v>
      </c>
      <c r="B83" s="50" t="s">
        <v>19</v>
      </c>
      <c r="C83" s="50" t="s">
        <v>247</v>
      </c>
      <c r="D83" s="49">
        <v>40</v>
      </c>
      <c r="E83" s="49">
        <v>40</v>
      </c>
      <c r="F83" s="50">
        <f t="shared" si="11"/>
        <v>40</v>
      </c>
      <c r="G83" s="45"/>
      <c r="H83" s="168">
        <v>30</v>
      </c>
      <c r="I83" s="169">
        <f t="shared" si="1"/>
        <v>100</v>
      </c>
      <c r="J83" s="170">
        <f t="shared" si="2"/>
        <v>10</v>
      </c>
      <c r="K83" s="168">
        <v>35</v>
      </c>
      <c r="L83" s="169">
        <f t="shared" si="3"/>
        <v>25</v>
      </c>
      <c r="M83" s="170">
        <f t="shared" si="4"/>
        <v>5</v>
      </c>
      <c r="N83" s="168">
        <v>30</v>
      </c>
      <c r="O83" s="169">
        <f t="shared" si="5"/>
        <v>100</v>
      </c>
      <c r="P83" s="170">
        <f t="shared" si="6"/>
        <v>10</v>
      </c>
      <c r="Q83" s="168">
        <v>30</v>
      </c>
      <c r="R83" s="169">
        <f t="shared" si="7"/>
        <v>100</v>
      </c>
      <c r="S83" s="170">
        <f t="shared" si="8"/>
        <v>10</v>
      </c>
      <c r="T83" s="171">
        <v>35</v>
      </c>
      <c r="U83" s="169">
        <f t="shared" si="9"/>
        <v>25</v>
      </c>
      <c r="V83" s="170">
        <f t="shared" si="10"/>
        <v>5</v>
      </c>
      <c r="W83" s="2"/>
    </row>
    <row r="84" spans="1:23">
      <c r="A84" s="49">
        <v>80</v>
      </c>
      <c r="B84" s="50" t="s">
        <v>19</v>
      </c>
      <c r="C84" s="49" t="s">
        <v>252</v>
      </c>
      <c r="D84" s="49">
        <v>0</v>
      </c>
      <c r="E84" s="49">
        <v>5</v>
      </c>
      <c r="F84" s="50">
        <f t="shared" si="11"/>
        <v>2.5</v>
      </c>
      <c r="G84" s="45"/>
      <c r="H84" s="168">
        <v>20</v>
      </c>
      <c r="I84" s="169">
        <f t="shared" si="1"/>
        <v>306.25</v>
      </c>
      <c r="J84" s="170">
        <f t="shared" si="2"/>
        <v>17.5</v>
      </c>
      <c r="K84" s="168">
        <v>25</v>
      </c>
      <c r="L84" s="169">
        <f t="shared" si="3"/>
        <v>506.25</v>
      </c>
      <c r="M84" s="170">
        <f t="shared" si="4"/>
        <v>22.5</v>
      </c>
      <c r="N84" s="168">
        <v>15</v>
      </c>
      <c r="O84" s="169">
        <f t="shared" si="5"/>
        <v>156.25</v>
      </c>
      <c r="P84" s="170">
        <f t="shared" si="6"/>
        <v>12.5</v>
      </c>
      <c r="Q84" s="168">
        <v>25</v>
      </c>
      <c r="R84" s="169">
        <f t="shared" si="7"/>
        <v>506.25</v>
      </c>
      <c r="S84" s="170">
        <f t="shared" si="8"/>
        <v>22.5</v>
      </c>
      <c r="T84" s="171">
        <v>20</v>
      </c>
      <c r="U84" s="169">
        <f t="shared" si="9"/>
        <v>306.25</v>
      </c>
      <c r="V84" s="170">
        <f t="shared" si="10"/>
        <v>17.5</v>
      </c>
      <c r="W84" s="2"/>
    </row>
    <row r="85" spans="1:23">
      <c r="A85" s="49">
        <v>81</v>
      </c>
      <c r="B85" s="50" t="s">
        <v>19</v>
      </c>
      <c r="C85" s="49" t="s">
        <v>255</v>
      </c>
      <c r="D85" s="49">
        <v>10</v>
      </c>
      <c r="E85" s="49">
        <v>10</v>
      </c>
      <c r="F85" s="50">
        <f t="shared" si="11"/>
        <v>10</v>
      </c>
      <c r="G85" s="45"/>
      <c r="H85" s="168">
        <v>10</v>
      </c>
      <c r="I85" s="169">
        <f t="shared" si="1"/>
        <v>0</v>
      </c>
      <c r="J85" s="170">
        <f t="shared" si="2"/>
        <v>0</v>
      </c>
      <c r="K85" s="168">
        <v>10</v>
      </c>
      <c r="L85" s="169">
        <f t="shared" si="3"/>
        <v>0</v>
      </c>
      <c r="M85" s="170">
        <f t="shared" si="4"/>
        <v>0</v>
      </c>
      <c r="N85" s="168">
        <v>10</v>
      </c>
      <c r="O85" s="169">
        <f t="shared" si="5"/>
        <v>0</v>
      </c>
      <c r="P85" s="170">
        <f t="shared" si="6"/>
        <v>0</v>
      </c>
      <c r="Q85" s="168">
        <v>15</v>
      </c>
      <c r="R85" s="169">
        <f t="shared" si="7"/>
        <v>25</v>
      </c>
      <c r="S85" s="170">
        <f t="shared" si="8"/>
        <v>5</v>
      </c>
      <c r="T85" s="171">
        <v>20</v>
      </c>
      <c r="U85" s="169">
        <f t="shared" si="9"/>
        <v>100</v>
      </c>
      <c r="V85" s="170">
        <f t="shared" si="10"/>
        <v>10</v>
      </c>
      <c r="W85" s="2"/>
    </row>
    <row r="86" spans="1:23">
      <c r="A86" s="43">
        <v>82</v>
      </c>
      <c r="B86" s="50" t="s">
        <v>19</v>
      </c>
      <c r="C86" s="49" t="s">
        <v>258</v>
      </c>
      <c r="D86" s="49">
        <v>30</v>
      </c>
      <c r="E86" s="49">
        <v>32</v>
      </c>
      <c r="F86" s="50">
        <f t="shared" si="11"/>
        <v>31</v>
      </c>
      <c r="G86" s="45"/>
      <c r="H86" s="168">
        <v>30</v>
      </c>
      <c r="I86" s="169">
        <f t="shared" si="1"/>
        <v>1</v>
      </c>
      <c r="J86" s="170">
        <f t="shared" si="2"/>
        <v>1</v>
      </c>
      <c r="K86" s="168">
        <v>35</v>
      </c>
      <c r="L86" s="169">
        <f t="shared" si="3"/>
        <v>16</v>
      </c>
      <c r="M86" s="170">
        <f t="shared" si="4"/>
        <v>4</v>
      </c>
      <c r="N86" s="168">
        <v>40</v>
      </c>
      <c r="O86" s="169">
        <f t="shared" si="5"/>
        <v>81</v>
      </c>
      <c r="P86" s="170">
        <f t="shared" si="6"/>
        <v>9</v>
      </c>
      <c r="Q86" s="168">
        <v>30</v>
      </c>
      <c r="R86" s="169">
        <f t="shared" si="7"/>
        <v>1</v>
      </c>
      <c r="S86" s="170">
        <f t="shared" si="8"/>
        <v>1</v>
      </c>
      <c r="T86" s="171">
        <v>20</v>
      </c>
      <c r="U86" s="169">
        <f t="shared" si="9"/>
        <v>121</v>
      </c>
      <c r="V86" s="170">
        <f t="shared" si="10"/>
        <v>11</v>
      </c>
      <c r="W86" s="2"/>
    </row>
    <row r="87" spans="1:23">
      <c r="A87" s="49">
        <v>83</v>
      </c>
      <c r="B87" s="50" t="s">
        <v>19</v>
      </c>
      <c r="C87" s="50" t="s">
        <v>261</v>
      </c>
      <c r="D87" s="49">
        <v>0</v>
      </c>
      <c r="E87" s="49">
        <v>0</v>
      </c>
      <c r="F87" s="50">
        <f t="shared" si="11"/>
        <v>0</v>
      </c>
      <c r="G87" s="45"/>
      <c r="H87" s="168">
        <v>20</v>
      </c>
      <c r="I87" s="169">
        <f t="shared" si="1"/>
        <v>400</v>
      </c>
      <c r="J87" s="170">
        <f t="shared" si="2"/>
        <v>20</v>
      </c>
      <c r="K87" s="168">
        <v>20</v>
      </c>
      <c r="L87" s="169">
        <f t="shared" si="3"/>
        <v>400</v>
      </c>
      <c r="M87" s="170">
        <f t="shared" si="4"/>
        <v>20</v>
      </c>
      <c r="N87" s="168">
        <v>10</v>
      </c>
      <c r="O87" s="169">
        <f t="shared" si="5"/>
        <v>100</v>
      </c>
      <c r="P87" s="170">
        <f t="shared" si="6"/>
        <v>10</v>
      </c>
      <c r="Q87" s="168">
        <v>15</v>
      </c>
      <c r="R87" s="169">
        <f t="shared" si="7"/>
        <v>225</v>
      </c>
      <c r="S87" s="170">
        <f t="shared" si="8"/>
        <v>15</v>
      </c>
      <c r="T87" s="171">
        <v>20</v>
      </c>
      <c r="U87" s="169">
        <f t="shared" si="9"/>
        <v>400</v>
      </c>
      <c r="V87" s="170">
        <f t="shared" si="10"/>
        <v>20</v>
      </c>
      <c r="W87" s="2"/>
    </row>
    <row r="88" spans="1:23">
      <c r="A88" s="49">
        <v>84</v>
      </c>
      <c r="B88" s="50" t="s">
        <v>19</v>
      </c>
      <c r="C88" s="50" t="s">
        <v>264</v>
      </c>
      <c r="D88" s="49">
        <v>30</v>
      </c>
      <c r="E88" s="49">
        <v>35</v>
      </c>
      <c r="F88" s="50">
        <f t="shared" si="11"/>
        <v>32.5</v>
      </c>
      <c r="G88" s="45"/>
      <c r="H88" s="168">
        <v>30</v>
      </c>
      <c r="I88" s="169">
        <f t="shared" si="1"/>
        <v>6.25</v>
      </c>
      <c r="J88" s="170">
        <f t="shared" si="2"/>
        <v>2.5</v>
      </c>
      <c r="K88" s="168">
        <v>35</v>
      </c>
      <c r="L88" s="169">
        <f t="shared" si="3"/>
        <v>6.25</v>
      </c>
      <c r="M88" s="170">
        <f t="shared" si="4"/>
        <v>2.5</v>
      </c>
      <c r="N88" s="168">
        <v>40</v>
      </c>
      <c r="O88" s="169">
        <f t="shared" si="5"/>
        <v>56.25</v>
      </c>
      <c r="P88" s="170">
        <f t="shared" si="6"/>
        <v>7.5</v>
      </c>
      <c r="Q88" s="168">
        <v>35</v>
      </c>
      <c r="R88" s="169">
        <f t="shared" si="7"/>
        <v>6.25</v>
      </c>
      <c r="S88" s="170">
        <f t="shared" si="8"/>
        <v>2.5</v>
      </c>
      <c r="T88" s="171">
        <v>35</v>
      </c>
      <c r="U88" s="169">
        <f t="shared" si="9"/>
        <v>6.25</v>
      </c>
      <c r="V88" s="170">
        <f t="shared" si="10"/>
        <v>2.5</v>
      </c>
      <c r="W88" s="2"/>
    </row>
    <row r="89" spans="1:23">
      <c r="A89" s="51">
        <v>85</v>
      </c>
      <c r="B89" s="50" t="s">
        <v>19</v>
      </c>
      <c r="C89" s="50" t="s">
        <v>267</v>
      </c>
      <c r="D89" s="49">
        <v>40</v>
      </c>
      <c r="E89" s="49">
        <v>40</v>
      </c>
      <c r="F89" s="50">
        <f t="shared" si="11"/>
        <v>40</v>
      </c>
      <c r="G89" s="45"/>
      <c r="H89" s="168">
        <v>30</v>
      </c>
      <c r="I89" s="169">
        <f t="shared" si="1"/>
        <v>100</v>
      </c>
      <c r="J89" s="170">
        <f t="shared" si="2"/>
        <v>10</v>
      </c>
      <c r="K89" s="168">
        <v>40</v>
      </c>
      <c r="L89" s="169">
        <f t="shared" si="3"/>
        <v>0</v>
      </c>
      <c r="M89" s="170">
        <f t="shared" si="4"/>
        <v>0</v>
      </c>
      <c r="N89" s="168">
        <v>40</v>
      </c>
      <c r="O89" s="169">
        <f t="shared" si="5"/>
        <v>0</v>
      </c>
      <c r="P89" s="170">
        <f t="shared" si="6"/>
        <v>0</v>
      </c>
      <c r="Q89" s="168">
        <v>35</v>
      </c>
      <c r="R89" s="169">
        <f t="shared" si="7"/>
        <v>25</v>
      </c>
      <c r="S89" s="170">
        <f t="shared" si="8"/>
        <v>5</v>
      </c>
      <c r="T89" s="171">
        <v>20</v>
      </c>
      <c r="U89" s="169">
        <f t="shared" si="9"/>
        <v>400</v>
      </c>
      <c r="V89" s="170">
        <f t="shared" si="10"/>
        <v>20</v>
      </c>
      <c r="W89" s="2"/>
    </row>
    <row r="90" spans="1:23">
      <c r="A90" s="49">
        <v>86</v>
      </c>
      <c r="B90" s="49" t="s">
        <v>19</v>
      </c>
      <c r="C90" s="50" t="s">
        <v>270</v>
      </c>
      <c r="D90" s="49">
        <v>0.5</v>
      </c>
      <c r="E90" s="49">
        <v>0</v>
      </c>
      <c r="F90" s="50">
        <f t="shared" si="11"/>
        <v>0.25</v>
      </c>
      <c r="G90" s="45"/>
      <c r="H90" s="168">
        <v>20</v>
      </c>
      <c r="I90" s="169">
        <f t="shared" si="1"/>
        <v>390.0625</v>
      </c>
      <c r="J90" s="170">
        <f t="shared" si="2"/>
        <v>19.75</v>
      </c>
      <c r="K90" s="168">
        <v>20</v>
      </c>
      <c r="L90" s="169">
        <f t="shared" si="3"/>
        <v>390.0625</v>
      </c>
      <c r="M90" s="170">
        <f t="shared" si="4"/>
        <v>19.75</v>
      </c>
      <c r="N90" s="168">
        <v>20</v>
      </c>
      <c r="O90" s="169">
        <f t="shared" si="5"/>
        <v>390.0625</v>
      </c>
      <c r="P90" s="170">
        <f t="shared" si="6"/>
        <v>19.75</v>
      </c>
      <c r="Q90" s="168">
        <v>15</v>
      </c>
      <c r="R90" s="169">
        <f t="shared" si="7"/>
        <v>217.5625</v>
      </c>
      <c r="S90" s="170">
        <f t="shared" si="8"/>
        <v>14.75</v>
      </c>
      <c r="T90" s="171">
        <v>20</v>
      </c>
      <c r="U90" s="169">
        <f t="shared" si="9"/>
        <v>390.0625</v>
      </c>
      <c r="V90" s="170">
        <f t="shared" si="10"/>
        <v>19.75</v>
      </c>
      <c r="W90" s="2"/>
    </row>
    <row r="91" spans="1:23">
      <c r="A91" s="49">
        <v>87</v>
      </c>
      <c r="B91" s="50" t="s">
        <v>19</v>
      </c>
      <c r="C91" s="50" t="s">
        <v>273</v>
      </c>
      <c r="D91" s="49">
        <v>40</v>
      </c>
      <c r="E91" s="49">
        <v>40</v>
      </c>
      <c r="F91" s="50">
        <f t="shared" si="11"/>
        <v>40</v>
      </c>
      <c r="G91" s="45"/>
      <c r="H91" s="168">
        <v>30</v>
      </c>
      <c r="I91" s="169">
        <f t="shared" si="1"/>
        <v>100</v>
      </c>
      <c r="J91" s="170">
        <f t="shared" si="2"/>
        <v>10</v>
      </c>
      <c r="K91" s="168">
        <v>35</v>
      </c>
      <c r="L91" s="169">
        <f t="shared" si="3"/>
        <v>25</v>
      </c>
      <c r="M91" s="170">
        <f t="shared" si="4"/>
        <v>5</v>
      </c>
      <c r="N91" s="168">
        <v>35</v>
      </c>
      <c r="O91" s="169">
        <f t="shared" si="5"/>
        <v>25</v>
      </c>
      <c r="P91" s="170">
        <f t="shared" si="6"/>
        <v>5</v>
      </c>
      <c r="Q91" s="168">
        <v>35</v>
      </c>
      <c r="R91" s="169">
        <f t="shared" si="7"/>
        <v>25</v>
      </c>
      <c r="S91" s="170">
        <f t="shared" si="8"/>
        <v>5</v>
      </c>
      <c r="T91" s="171">
        <v>30</v>
      </c>
      <c r="U91" s="169">
        <f t="shared" si="9"/>
        <v>100</v>
      </c>
      <c r="V91" s="170">
        <f t="shared" si="10"/>
        <v>10</v>
      </c>
      <c r="W91" s="2"/>
    </row>
    <row r="92" spans="1:23">
      <c r="A92" s="43">
        <v>88</v>
      </c>
      <c r="B92" s="49" t="s">
        <v>19</v>
      </c>
      <c r="C92" s="50" t="s">
        <v>276</v>
      </c>
      <c r="D92" s="49">
        <v>20</v>
      </c>
      <c r="E92" s="49">
        <v>30</v>
      </c>
      <c r="F92" s="50">
        <f t="shared" si="11"/>
        <v>25</v>
      </c>
      <c r="G92" s="45"/>
      <c r="H92" s="168">
        <v>30</v>
      </c>
      <c r="I92" s="169">
        <f t="shared" si="1"/>
        <v>25</v>
      </c>
      <c r="J92" s="170">
        <f t="shared" si="2"/>
        <v>5</v>
      </c>
      <c r="K92" s="168">
        <v>25</v>
      </c>
      <c r="L92" s="169">
        <f t="shared" si="3"/>
        <v>0</v>
      </c>
      <c r="M92" s="170">
        <f t="shared" si="4"/>
        <v>0</v>
      </c>
      <c r="N92" s="168">
        <v>35</v>
      </c>
      <c r="O92" s="169">
        <f t="shared" si="5"/>
        <v>100</v>
      </c>
      <c r="P92" s="170">
        <f t="shared" si="6"/>
        <v>10</v>
      </c>
      <c r="Q92" s="168">
        <v>25</v>
      </c>
      <c r="R92" s="169">
        <f t="shared" si="7"/>
        <v>0</v>
      </c>
      <c r="S92" s="170">
        <f t="shared" si="8"/>
        <v>0</v>
      </c>
      <c r="T92" s="171">
        <v>20</v>
      </c>
      <c r="U92" s="169">
        <f t="shared" si="9"/>
        <v>25</v>
      </c>
      <c r="V92" s="170">
        <f t="shared" si="10"/>
        <v>5</v>
      </c>
      <c r="W92" s="2"/>
    </row>
    <row r="93" spans="1:23">
      <c r="A93" s="49">
        <v>89</v>
      </c>
      <c r="B93" s="50" t="s">
        <v>19</v>
      </c>
      <c r="C93" s="50" t="s">
        <v>279</v>
      </c>
      <c r="D93" s="49">
        <v>0</v>
      </c>
      <c r="E93" s="49">
        <v>0</v>
      </c>
      <c r="F93" s="50">
        <f t="shared" si="11"/>
        <v>0</v>
      </c>
      <c r="G93" s="45"/>
      <c r="H93" s="168">
        <v>20</v>
      </c>
      <c r="I93" s="169">
        <f t="shared" si="1"/>
        <v>400</v>
      </c>
      <c r="J93" s="170">
        <f t="shared" si="2"/>
        <v>20</v>
      </c>
      <c r="K93" s="168">
        <v>30</v>
      </c>
      <c r="L93" s="169">
        <f t="shared" si="3"/>
        <v>900</v>
      </c>
      <c r="M93" s="170">
        <f t="shared" si="4"/>
        <v>30</v>
      </c>
      <c r="N93" s="168">
        <v>30</v>
      </c>
      <c r="O93" s="169">
        <f t="shared" si="5"/>
        <v>900</v>
      </c>
      <c r="P93" s="170">
        <f t="shared" si="6"/>
        <v>30</v>
      </c>
      <c r="Q93" s="168">
        <v>25</v>
      </c>
      <c r="R93" s="169">
        <f t="shared" si="7"/>
        <v>625</v>
      </c>
      <c r="S93" s="170">
        <f t="shared" si="8"/>
        <v>25</v>
      </c>
      <c r="T93" s="171">
        <v>20</v>
      </c>
      <c r="U93" s="169">
        <f t="shared" si="9"/>
        <v>400</v>
      </c>
      <c r="V93" s="170">
        <f t="shared" si="10"/>
        <v>20</v>
      </c>
      <c r="W93" s="2"/>
    </row>
    <row r="94" spans="1:23">
      <c r="A94" s="49">
        <v>90</v>
      </c>
      <c r="B94" s="50" t="s">
        <v>19</v>
      </c>
      <c r="C94" s="50" t="s">
        <v>282</v>
      </c>
      <c r="D94" s="49">
        <v>30</v>
      </c>
      <c r="E94" s="49">
        <v>30</v>
      </c>
      <c r="F94" s="50">
        <f t="shared" si="11"/>
        <v>30</v>
      </c>
      <c r="G94" s="45"/>
      <c r="H94" s="168">
        <v>30</v>
      </c>
      <c r="I94" s="169">
        <f t="shared" si="1"/>
        <v>0</v>
      </c>
      <c r="J94" s="170">
        <f t="shared" si="2"/>
        <v>0</v>
      </c>
      <c r="K94" s="168">
        <v>35</v>
      </c>
      <c r="L94" s="169">
        <f t="shared" si="3"/>
        <v>25</v>
      </c>
      <c r="M94" s="170">
        <f t="shared" si="4"/>
        <v>5</v>
      </c>
      <c r="N94" s="168">
        <v>10</v>
      </c>
      <c r="O94" s="169">
        <f t="shared" si="5"/>
        <v>400</v>
      </c>
      <c r="P94" s="170">
        <f t="shared" si="6"/>
        <v>20</v>
      </c>
      <c r="Q94" s="168">
        <v>25</v>
      </c>
      <c r="R94" s="169">
        <f t="shared" si="7"/>
        <v>25</v>
      </c>
      <c r="S94" s="170">
        <f t="shared" si="8"/>
        <v>5</v>
      </c>
      <c r="T94" s="171">
        <v>20</v>
      </c>
      <c r="U94" s="169">
        <f t="shared" si="9"/>
        <v>100</v>
      </c>
      <c r="V94" s="170">
        <f t="shared" si="10"/>
        <v>10</v>
      </c>
      <c r="W94" s="2"/>
    </row>
    <row r="95" spans="1:23">
      <c r="A95" s="51">
        <v>91</v>
      </c>
      <c r="B95" s="50" t="s">
        <v>19</v>
      </c>
      <c r="C95" s="50" t="s">
        <v>285</v>
      </c>
      <c r="D95" s="49">
        <v>40</v>
      </c>
      <c r="E95" s="49">
        <v>40</v>
      </c>
      <c r="F95" s="50">
        <f t="shared" si="11"/>
        <v>40</v>
      </c>
      <c r="G95" s="45"/>
      <c r="H95" s="168">
        <v>30</v>
      </c>
      <c r="I95" s="169">
        <f t="shared" si="1"/>
        <v>100</v>
      </c>
      <c r="J95" s="170">
        <f t="shared" si="2"/>
        <v>10</v>
      </c>
      <c r="K95" s="168">
        <v>30</v>
      </c>
      <c r="L95" s="169">
        <f t="shared" si="3"/>
        <v>100</v>
      </c>
      <c r="M95" s="170">
        <f t="shared" si="4"/>
        <v>10</v>
      </c>
      <c r="N95" s="168">
        <v>10</v>
      </c>
      <c r="O95" s="169">
        <f t="shared" si="5"/>
        <v>900</v>
      </c>
      <c r="P95" s="170">
        <f t="shared" si="6"/>
        <v>30</v>
      </c>
      <c r="Q95" s="168">
        <v>35</v>
      </c>
      <c r="R95" s="169">
        <f t="shared" si="7"/>
        <v>25</v>
      </c>
      <c r="S95" s="170">
        <f t="shared" si="8"/>
        <v>5</v>
      </c>
      <c r="T95" s="171">
        <v>20</v>
      </c>
      <c r="U95" s="169">
        <f t="shared" si="9"/>
        <v>400</v>
      </c>
      <c r="V95" s="170">
        <f t="shared" si="10"/>
        <v>20</v>
      </c>
      <c r="W95" s="2"/>
    </row>
    <row r="96" spans="1:23">
      <c r="A96" s="49">
        <v>92</v>
      </c>
      <c r="B96" s="50" t="s">
        <v>19</v>
      </c>
      <c r="C96" s="50" t="s">
        <v>288</v>
      </c>
      <c r="D96" s="49">
        <v>30</v>
      </c>
      <c r="E96" s="49">
        <v>30</v>
      </c>
      <c r="F96" s="50">
        <f t="shared" si="11"/>
        <v>30</v>
      </c>
      <c r="G96" s="45"/>
      <c r="H96" s="168">
        <v>35</v>
      </c>
      <c r="I96" s="169">
        <f t="shared" si="1"/>
        <v>25</v>
      </c>
      <c r="J96" s="170">
        <f t="shared" si="2"/>
        <v>5</v>
      </c>
      <c r="K96" s="168">
        <v>15</v>
      </c>
      <c r="L96" s="169">
        <f t="shared" si="3"/>
        <v>225</v>
      </c>
      <c r="M96" s="170">
        <f t="shared" si="4"/>
        <v>15</v>
      </c>
      <c r="N96" s="168">
        <v>10</v>
      </c>
      <c r="O96" s="169">
        <f t="shared" si="5"/>
        <v>400</v>
      </c>
      <c r="P96" s="170">
        <f t="shared" si="6"/>
        <v>20</v>
      </c>
      <c r="Q96" s="168">
        <v>25</v>
      </c>
      <c r="R96" s="169">
        <f t="shared" si="7"/>
        <v>25</v>
      </c>
      <c r="S96" s="170">
        <f t="shared" si="8"/>
        <v>5</v>
      </c>
      <c r="T96" s="171">
        <v>20</v>
      </c>
      <c r="U96" s="169">
        <f t="shared" si="9"/>
        <v>100</v>
      </c>
      <c r="V96" s="170">
        <f t="shared" si="10"/>
        <v>10</v>
      </c>
      <c r="W96" s="2"/>
    </row>
    <row r="97" spans="1:23">
      <c r="A97" s="49">
        <v>93</v>
      </c>
      <c r="B97" s="50" t="s">
        <v>19</v>
      </c>
      <c r="C97" s="50" t="s">
        <v>291</v>
      </c>
      <c r="D97" s="49">
        <v>10</v>
      </c>
      <c r="E97" s="49">
        <v>0</v>
      </c>
      <c r="F97" s="50">
        <f t="shared" si="11"/>
        <v>5</v>
      </c>
      <c r="G97" s="45"/>
      <c r="H97" s="168">
        <v>20</v>
      </c>
      <c r="I97" s="169">
        <f t="shared" si="1"/>
        <v>225</v>
      </c>
      <c r="J97" s="170">
        <f t="shared" si="2"/>
        <v>15</v>
      </c>
      <c r="K97" s="168">
        <v>20</v>
      </c>
      <c r="L97" s="169">
        <f t="shared" si="3"/>
        <v>225</v>
      </c>
      <c r="M97" s="170">
        <f t="shared" si="4"/>
        <v>15</v>
      </c>
      <c r="N97" s="168">
        <v>20</v>
      </c>
      <c r="O97" s="169">
        <f t="shared" si="5"/>
        <v>225</v>
      </c>
      <c r="P97" s="170">
        <f t="shared" si="6"/>
        <v>15</v>
      </c>
      <c r="Q97" s="168">
        <v>20</v>
      </c>
      <c r="R97" s="169">
        <f t="shared" si="7"/>
        <v>225</v>
      </c>
      <c r="S97" s="170">
        <f t="shared" si="8"/>
        <v>15</v>
      </c>
      <c r="T97" s="171">
        <v>20</v>
      </c>
      <c r="U97" s="169">
        <f t="shared" si="9"/>
        <v>225</v>
      </c>
      <c r="V97" s="170">
        <f t="shared" si="10"/>
        <v>15</v>
      </c>
      <c r="W97" s="2"/>
    </row>
    <row r="98" spans="1:23">
      <c r="A98" s="43">
        <v>94</v>
      </c>
      <c r="B98" s="50" t="s">
        <v>19</v>
      </c>
      <c r="C98" s="50" t="s">
        <v>294</v>
      </c>
      <c r="D98" s="49">
        <v>30</v>
      </c>
      <c r="E98" s="49">
        <v>30</v>
      </c>
      <c r="F98" s="50">
        <f t="shared" si="11"/>
        <v>30</v>
      </c>
      <c r="G98" s="45"/>
      <c r="H98" s="168">
        <v>30</v>
      </c>
      <c r="I98" s="169">
        <f t="shared" si="1"/>
        <v>0</v>
      </c>
      <c r="J98" s="170">
        <f t="shared" si="2"/>
        <v>0</v>
      </c>
      <c r="K98" s="168">
        <v>25</v>
      </c>
      <c r="L98" s="169">
        <f t="shared" si="3"/>
        <v>25</v>
      </c>
      <c r="M98" s="170">
        <f t="shared" si="4"/>
        <v>5</v>
      </c>
      <c r="N98" s="168">
        <v>10</v>
      </c>
      <c r="O98" s="169">
        <f t="shared" si="5"/>
        <v>400</v>
      </c>
      <c r="P98" s="170">
        <f t="shared" si="6"/>
        <v>20</v>
      </c>
      <c r="Q98" s="168">
        <v>25</v>
      </c>
      <c r="R98" s="169">
        <f t="shared" si="7"/>
        <v>25</v>
      </c>
      <c r="S98" s="170">
        <f t="shared" si="8"/>
        <v>5</v>
      </c>
      <c r="T98" s="171">
        <v>20</v>
      </c>
      <c r="U98" s="169">
        <f t="shared" si="9"/>
        <v>100</v>
      </c>
      <c r="V98" s="170">
        <f t="shared" si="10"/>
        <v>10</v>
      </c>
      <c r="W98" s="2"/>
    </row>
    <row r="99" spans="1:23">
      <c r="A99" s="49">
        <v>95</v>
      </c>
      <c r="B99" s="50" t="s">
        <v>19</v>
      </c>
      <c r="C99" s="49" t="s">
        <v>297</v>
      </c>
      <c r="D99" s="49">
        <v>12</v>
      </c>
      <c r="E99" s="49">
        <v>10</v>
      </c>
      <c r="F99" s="50">
        <f t="shared" si="11"/>
        <v>11</v>
      </c>
      <c r="G99" s="45"/>
      <c r="H99" s="168">
        <v>20</v>
      </c>
      <c r="I99" s="169">
        <f t="shared" si="1"/>
        <v>81</v>
      </c>
      <c r="J99" s="170">
        <f t="shared" si="2"/>
        <v>9</v>
      </c>
      <c r="K99" s="168">
        <v>20</v>
      </c>
      <c r="L99" s="169">
        <f t="shared" si="3"/>
        <v>81</v>
      </c>
      <c r="M99" s="170">
        <f t="shared" si="4"/>
        <v>9</v>
      </c>
      <c r="N99" s="168">
        <v>20</v>
      </c>
      <c r="O99" s="169">
        <f t="shared" si="5"/>
        <v>81</v>
      </c>
      <c r="P99" s="170">
        <f t="shared" si="6"/>
        <v>9</v>
      </c>
      <c r="Q99" s="168">
        <v>15</v>
      </c>
      <c r="R99" s="169">
        <f t="shared" si="7"/>
        <v>16</v>
      </c>
      <c r="S99" s="170">
        <f t="shared" si="8"/>
        <v>4</v>
      </c>
      <c r="T99" s="171">
        <v>20</v>
      </c>
      <c r="U99" s="169">
        <f t="shared" si="9"/>
        <v>81</v>
      </c>
      <c r="V99" s="170">
        <f t="shared" si="10"/>
        <v>9</v>
      </c>
      <c r="W99" s="2"/>
    </row>
    <row r="100" spans="1:23">
      <c r="A100" s="49">
        <v>96</v>
      </c>
      <c r="B100" s="50" t="s">
        <v>19</v>
      </c>
      <c r="C100" s="49" t="s">
        <v>300</v>
      </c>
      <c r="D100" s="49">
        <v>20</v>
      </c>
      <c r="E100" s="49">
        <v>20</v>
      </c>
      <c r="F100" s="50">
        <f t="shared" si="11"/>
        <v>20</v>
      </c>
      <c r="G100" s="45"/>
      <c r="H100" s="168">
        <v>20</v>
      </c>
      <c r="I100" s="169">
        <f t="shared" si="1"/>
        <v>0</v>
      </c>
      <c r="J100" s="170">
        <f t="shared" si="2"/>
        <v>0</v>
      </c>
      <c r="K100" s="168">
        <v>30</v>
      </c>
      <c r="L100" s="169">
        <f t="shared" si="3"/>
        <v>100</v>
      </c>
      <c r="M100" s="170">
        <f t="shared" si="4"/>
        <v>10</v>
      </c>
      <c r="N100" s="168">
        <v>30</v>
      </c>
      <c r="O100" s="169">
        <f t="shared" si="5"/>
        <v>100</v>
      </c>
      <c r="P100" s="170">
        <f t="shared" si="6"/>
        <v>10</v>
      </c>
      <c r="Q100" s="168">
        <v>25</v>
      </c>
      <c r="R100" s="169">
        <f t="shared" si="7"/>
        <v>25</v>
      </c>
      <c r="S100" s="170">
        <f t="shared" si="8"/>
        <v>5</v>
      </c>
      <c r="T100" s="171">
        <v>20</v>
      </c>
      <c r="U100" s="169">
        <f t="shared" si="9"/>
        <v>0</v>
      </c>
      <c r="V100" s="170">
        <f t="shared" si="10"/>
        <v>0</v>
      </c>
      <c r="W100" s="2"/>
    </row>
    <row r="101" spans="1:23">
      <c r="A101" s="51">
        <v>97</v>
      </c>
      <c r="B101" s="50" t="s">
        <v>19</v>
      </c>
      <c r="C101" s="50" t="s">
        <v>303</v>
      </c>
      <c r="D101" s="49">
        <v>10</v>
      </c>
      <c r="E101" s="49">
        <v>10</v>
      </c>
      <c r="F101" s="50">
        <f t="shared" si="11"/>
        <v>10</v>
      </c>
      <c r="G101" s="45"/>
      <c r="H101" s="168">
        <v>20</v>
      </c>
      <c r="I101" s="169">
        <f t="shared" si="1"/>
        <v>100</v>
      </c>
      <c r="J101" s="170">
        <f t="shared" si="2"/>
        <v>10</v>
      </c>
      <c r="K101" s="168">
        <v>25</v>
      </c>
      <c r="L101" s="169">
        <f t="shared" si="3"/>
        <v>225</v>
      </c>
      <c r="M101" s="170">
        <f t="shared" si="4"/>
        <v>15</v>
      </c>
      <c r="N101" s="168">
        <v>15</v>
      </c>
      <c r="O101" s="169">
        <f t="shared" si="5"/>
        <v>25</v>
      </c>
      <c r="P101" s="170">
        <f t="shared" si="6"/>
        <v>5</v>
      </c>
      <c r="Q101" s="168">
        <v>25</v>
      </c>
      <c r="R101" s="169">
        <f t="shared" si="7"/>
        <v>225</v>
      </c>
      <c r="S101" s="170">
        <f t="shared" si="8"/>
        <v>15</v>
      </c>
      <c r="T101" s="171">
        <v>20</v>
      </c>
      <c r="U101" s="169">
        <f t="shared" si="9"/>
        <v>100</v>
      </c>
      <c r="V101" s="170">
        <f t="shared" si="10"/>
        <v>10</v>
      </c>
      <c r="W101" s="2"/>
    </row>
    <row r="102" spans="1:23">
      <c r="A102" s="49">
        <v>98</v>
      </c>
      <c r="B102" s="50" t="s">
        <v>19</v>
      </c>
      <c r="C102" s="50" t="s">
        <v>306</v>
      </c>
      <c r="D102" s="49">
        <v>35</v>
      </c>
      <c r="E102" s="49">
        <v>40</v>
      </c>
      <c r="F102" s="50">
        <f t="shared" si="11"/>
        <v>37.5</v>
      </c>
      <c r="G102" s="45"/>
      <c r="H102" s="168">
        <v>30</v>
      </c>
      <c r="I102" s="169">
        <f t="shared" si="1"/>
        <v>56.25</v>
      </c>
      <c r="J102" s="170">
        <f t="shared" si="2"/>
        <v>7.5</v>
      </c>
      <c r="K102" s="168">
        <v>40</v>
      </c>
      <c r="L102" s="169">
        <f t="shared" si="3"/>
        <v>6.25</v>
      </c>
      <c r="M102" s="170">
        <f t="shared" si="4"/>
        <v>2.5</v>
      </c>
      <c r="N102" s="168">
        <v>10</v>
      </c>
      <c r="O102" s="169">
        <f t="shared" si="5"/>
        <v>756.25</v>
      </c>
      <c r="P102" s="170">
        <f t="shared" si="6"/>
        <v>27.5</v>
      </c>
      <c r="Q102" s="168">
        <v>25</v>
      </c>
      <c r="R102" s="169">
        <f t="shared" si="7"/>
        <v>156.25</v>
      </c>
      <c r="S102" s="170">
        <f t="shared" si="8"/>
        <v>12.5</v>
      </c>
      <c r="T102" s="171">
        <v>20</v>
      </c>
      <c r="U102" s="169">
        <f t="shared" si="9"/>
        <v>306.25</v>
      </c>
      <c r="V102" s="170">
        <f t="shared" si="10"/>
        <v>17.5</v>
      </c>
      <c r="W102" s="2"/>
    </row>
    <row r="103" spans="1:23">
      <c r="A103" s="49">
        <v>99</v>
      </c>
      <c r="B103" s="50" t="s">
        <v>19</v>
      </c>
      <c r="C103" s="50" t="s">
        <v>309</v>
      </c>
      <c r="D103" s="49">
        <v>30</v>
      </c>
      <c r="E103" s="49">
        <v>30</v>
      </c>
      <c r="F103" s="50">
        <f t="shared" si="11"/>
        <v>30</v>
      </c>
      <c r="G103" s="45"/>
      <c r="H103" s="168">
        <v>20</v>
      </c>
      <c r="I103" s="169">
        <f t="shared" si="1"/>
        <v>100</v>
      </c>
      <c r="J103" s="170">
        <f t="shared" si="2"/>
        <v>10</v>
      </c>
      <c r="K103" s="168">
        <v>20</v>
      </c>
      <c r="L103" s="169">
        <f t="shared" si="3"/>
        <v>100</v>
      </c>
      <c r="M103" s="170">
        <f t="shared" si="4"/>
        <v>10</v>
      </c>
      <c r="N103" s="168">
        <v>15</v>
      </c>
      <c r="O103" s="169">
        <f t="shared" si="5"/>
        <v>225</v>
      </c>
      <c r="P103" s="170">
        <f t="shared" si="6"/>
        <v>15</v>
      </c>
      <c r="Q103" s="168">
        <v>25</v>
      </c>
      <c r="R103" s="169">
        <f t="shared" si="7"/>
        <v>25</v>
      </c>
      <c r="S103" s="170">
        <f t="shared" si="8"/>
        <v>5</v>
      </c>
      <c r="T103" s="171">
        <v>20</v>
      </c>
      <c r="U103" s="169">
        <f t="shared" si="9"/>
        <v>100</v>
      </c>
      <c r="V103" s="170">
        <f t="shared" si="10"/>
        <v>10</v>
      </c>
      <c r="W103" s="2"/>
    </row>
    <row r="104" spans="1:23">
      <c r="A104" s="43">
        <v>100</v>
      </c>
      <c r="B104" s="49" t="s">
        <v>19</v>
      </c>
      <c r="C104" s="50" t="s">
        <v>312</v>
      </c>
      <c r="D104" s="49">
        <v>20</v>
      </c>
      <c r="E104" s="49">
        <v>20</v>
      </c>
      <c r="F104" s="50">
        <f t="shared" si="11"/>
        <v>20</v>
      </c>
      <c r="G104" s="45"/>
      <c r="H104" s="168">
        <v>20</v>
      </c>
      <c r="I104" s="169">
        <f t="shared" si="1"/>
        <v>0</v>
      </c>
      <c r="J104" s="170">
        <f t="shared" si="2"/>
        <v>0</v>
      </c>
      <c r="K104" s="168">
        <v>20</v>
      </c>
      <c r="L104" s="169">
        <f t="shared" si="3"/>
        <v>0</v>
      </c>
      <c r="M104" s="170">
        <f t="shared" si="4"/>
        <v>0</v>
      </c>
      <c r="N104" s="168">
        <v>10</v>
      </c>
      <c r="O104" s="169">
        <f t="shared" si="5"/>
        <v>100</v>
      </c>
      <c r="P104" s="170">
        <f t="shared" si="6"/>
        <v>10</v>
      </c>
      <c r="Q104" s="168">
        <v>25</v>
      </c>
      <c r="R104" s="169">
        <f t="shared" si="7"/>
        <v>25</v>
      </c>
      <c r="S104" s="170">
        <f t="shared" si="8"/>
        <v>5</v>
      </c>
      <c r="T104" s="171">
        <v>20</v>
      </c>
      <c r="U104" s="169">
        <f t="shared" si="9"/>
        <v>0</v>
      </c>
      <c r="V104" s="170">
        <f t="shared" si="10"/>
        <v>0</v>
      </c>
      <c r="W104" s="2"/>
    </row>
    <row r="105" spans="1:23">
      <c r="A105" s="49">
        <v>101</v>
      </c>
      <c r="B105" s="50" t="s">
        <v>19</v>
      </c>
      <c r="C105" s="50" t="s">
        <v>315</v>
      </c>
      <c r="D105" s="49">
        <v>10</v>
      </c>
      <c r="E105" s="49">
        <v>7</v>
      </c>
      <c r="F105" s="50">
        <f t="shared" si="11"/>
        <v>8.5</v>
      </c>
      <c r="G105" s="45"/>
      <c r="H105" s="168">
        <v>30</v>
      </c>
      <c r="I105" s="169">
        <f t="shared" si="1"/>
        <v>462.25</v>
      </c>
      <c r="J105" s="170">
        <f t="shared" si="2"/>
        <v>21.5</v>
      </c>
      <c r="K105" s="168">
        <v>25</v>
      </c>
      <c r="L105" s="169">
        <f t="shared" si="3"/>
        <v>272.25</v>
      </c>
      <c r="M105" s="170">
        <f t="shared" si="4"/>
        <v>16.5</v>
      </c>
      <c r="N105" s="168">
        <v>40</v>
      </c>
      <c r="O105" s="169">
        <f t="shared" si="5"/>
        <v>992.25</v>
      </c>
      <c r="P105" s="170">
        <f t="shared" si="6"/>
        <v>31.5</v>
      </c>
      <c r="Q105" s="168">
        <v>25</v>
      </c>
      <c r="R105" s="169">
        <f t="shared" si="7"/>
        <v>272.25</v>
      </c>
      <c r="S105" s="170">
        <f t="shared" si="8"/>
        <v>16.5</v>
      </c>
      <c r="T105" s="171">
        <v>20</v>
      </c>
      <c r="U105" s="169">
        <f t="shared" si="9"/>
        <v>132.25</v>
      </c>
      <c r="V105" s="170">
        <f t="shared" si="10"/>
        <v>11.5</v>
      </c>
      <c r="W105" s="2"/>
    </row>
    <row r="106" spans="1:23">
      <c r="A106" s="49">
        <v>102</v>
      </c>
      <c r="B106" s="50" t="s">
        <v>19</v>
      </c>
      <c r="C106" s="49" t="s">
        <v>318</v>
      </c>
      <c r="D106" s="49">
        <v>20</v>
      </c>
      <c r="E106" s="49">
        <v>20</v>
      </c>
      <c r="F106" s="50">
        <f t="shared" si="11"/>
        <v>20</v>
      </c>
      <c r="G106" s="45"/>
      <c r="H106" s="168">
        <v>20</v>
      </c>
      <c r="I106" s="169">
        <f t="shared" si="1"/>
        <v>0</v>
      </c>
      <c r="J106" s="170">
        <f t="shared" si="2"/>
        <v>0</v>
      </c>
      <c r="K106" s="168">
        <v>25</v>
      </c>
      <c r="L106" s="169">
        <f t="shared" si="3"/>
        <v>25</v>
      </c>
      <c r="M106" s="170">
        <f t="shared" si="4"/>
        <v>5</v>
      </c>
      <c r="N106" s="168">
        <v>30</v>
      </c>
      <c r="O106" s="169">
        <f t="shared" si="5"/>
        <v>100</v>
      </c>
      <c r="P106" s="170">
        <f t="shared" si="6"/>
        <v>10</v>
      </c>
      <c r="Q106" s="168">
        <v>25</v>
      </c>
      <c r="R106" s="169">
        <f t="shared" si="7"/>
        <v>25</v>
      </c>
      <c r="S106" s="170">
        <f t="shared" si="8"/>
        <v>5</v>
      </c>
      <c r="T106" s="171">
        <v>20</v>
      </c>
      <c r="U106" s="169">
        <f t="shared" si="9"/>
        <v>0</v>
      </c>
      <c r="V106" s="170">
        <f t="shared" si="10"/>
        <v>0</v>
      </c>
      <c r="W106" s="2"/>
    </row>
    <row r="107" spans="1:23">
      <c r="A107" s="51">
        <v>103</v>
      </c>
      <c r="B107" s="50" t="s">
        <v>19</v>
      </c>
      <c r="C107" s="50" t="s">
        <v>321</v>
      </c>
      <c r="D107" s="49">
        <v>30</v>
      </c>
      <c r="E107" s="49">
        <v>40</v>
      </c>
      <c r="F107" s="50">
        <f t="shared" si="11"/>
        <v>35</v>
      </c>
      <c r="G107" s="45"/>
      <c r="H107" s="168">
        <v>20</v>
      </c>
      <c r="I107" s="169">
        <f t="shared" si="1"/>
        <v>225</v>
      </c>
      <c r="J107" s="170">
        <f t="shared" si="2"/>
        <v>15</v>
      </c>
      <c r="K107" s="168">
        <v>25</v>
      </c>
      <c r="L107" s="169">
        <f t="shared" si="3"/>
        <v>100</v>
      </c>
      <c r="M107" s="170">
        <f t="shared" si="4"/>
        <v>10</v>
      </c>
      <c r="N107" s="168">
        <v>20</v>
      </c>
      <c r="O107" s="169">
        <f t="shared" si="5"/>
        <v>225</v>
      </c>
      <c r="P107" s="170">
        <f t="shared" si="6"/>
        <v>15</v>
      </c>
      <c r="Q107" s="168">
        <v>25</v>
      </c>
      <c r="R107" s="169">
        <f t="shared" si="7"/>
        <v>100</v>
      </c>
      <c r="S107" s="170">
        <f t="shared" si="8"/>
        <v>10</v>
      </c>
      <c r="T107" s="171">
        <v>20</v>
      </c>
      <c r="U107" s="169">
        <f t="shared" si="9"/>
        <v>225</v>
      </c>
      <c r="V107" s="170">
        <f t="shared" si="10"/>
        <v>15</v>
      </c>
      <c r="W107" s="2"/>
    </row>
    <row r="108" spans="1:23">
      <c r="A108" s="49">
        <v>104</v>
      </c>
      <c r="B108" s="50" t="s">
        <v>19</v>
      </c>
      <c r="C108" s="50" t="s">
        <v>324</v>
      </c>
      <c r="D108" s="49">
        <v>40</v>
      </c>
      <c r="E108" s="49">
        <v>40</v>
      </c>
      <c r="F108" s="50">
        <f t="shared" si="11"/>
        <v>40</v>
      </c>
      <c r="G108" s="45"/>
      <c r="H108" s="168">
        <v>10</v>
      </c>
      <c r="I108" s="169">
        <f t="shared" si="1"/>
        <v>900</v>
      </c>
      <c r="J108" s="170">
        <f t="shared" si="2"/>
        <v>30</v>
      </c>
      <c r="K108" s="168">
        <v>30</v>
      </c>
      <c r="L108" s="169">
        <f t="shared" si="3"/>
        <v>100</v>
      </c>
      <c r="M108" s="170">
        <f t="shared" si="4"/>
        <v>10</v>
      </c>
      <c r="N108" s="168">
        <v>10</v>
      </c>
      <c r="O108" s="169">
        <f t="shared" si="5"/>
        <v>900</v>
      </c>
      <c r="P108" s="170">
        <f t="shared" si="6"/>
        <v>30</v>
      </c>
      <c r="Q108" s="168">
        <v>25</v>
      </c>
      <c r="R108" s="169">
        <f t="shared" si="7"/>
        <v>225</v>
      </c>
      <c r="S108" s="170">
        <f t="shared" si="8"/>
        <v>15</v>
      </c>
      <c r="T108" s="171">
        <v>20</v>
      </c>
      <c r="U108" s="169">
        <f t="shared" si="9"/>
        <v>400</v>
      </c>
      <c r="V108" s="170">
        <f t="shared" si="10"/>
        <v>20</v>
      </c>
      <c r="W108" s="2"/>
    </row>
    <row r="109" spans="1:23">
      <c r="A109" s="49">
        <v>105</v>
      </c>
      <c r="B109" s="50" t="s">
        <v>19</v>
      </c>
      <c r="C109" s="49" t="s">
        <v>327</v>
      </c>
      <c r="D109" s="49">
        <v>25</v>
      </c>
      <c r="E109" s="49">
        <v>27</v>
      </c>
      <c r="F109" s="50">
        <f t="shared" si="11"/>
        <v>26</v>
      </c>
      <c r="G109" s="45"/>
      <c r="H109" s="168">
        <v>10</v>
      </c>
      <c r="I109" s="169">
        <f t="shared" si="1"/>
        <v>256</v>
      </c>
      <c r="J109" s="170">
        <f t="shared" si="2"/>
        <v>16</v>
      </c>
      <c r="K109" s="168">
        <v>30</v>
      </c>
      <c r="L109" s="169">
        <f t="shared" si="3"/>
        <v>16</v>
      </c>
      <c r="M109" s="170">
        <f t="shared" si="4"/>
        <v>4</v>
      </c>
      <c r="N109" s="168">
        <v>30</v>
      </c>
      <c r="O109" s="169">
        <f t="shared" si="5"/>
        <v>16</v>
      </c>
      <c r="P109" s="170">
        <f t="shared" si="6"/>
        <v>4</v>
      </c>
      <c r="Q109" s="168">
        <v>30</v>
      </c>
      <c r="R109" s="169">
        <f t="shared" si="7"/>
        <v>16</v>
      </c>
      <c r="S109" s="170">
        <f t="shared" si="8"/>
        <v>4</v>
      </c>
      <c r="T109" s="171">
        <v>10</v>
      </c>
      <c r="U109" s="169">
        <f t="shared" si="9"/>
        <v>256</v>
      </c>
      <c r="V109" s="170">
        <f t="shared" si="10"/>
        <v>16</v>
      </c>
      <c r="W109" s="2"/>
    </row>
    <row r="110" spans="1:23">
      <c r="A110" s="43">
        <v>106</v>
      </c>
      <c r="B110" s="50" t="s">
        <v>19</v>
      </c>
      <c r="C110" s="50" t="s">
        <v>330</v>
      </c>
      <c r="D110" s="49">
        <v>40</v>
      </c>
      <c r="E110" s="49">
        <v>35</v>
      </c>
      <c r="F110" s="50">
        <f t="shared" si="11"/>
        <v>37.5</v>
      </c>
      <c r="G110" s="45"/>
      <c r="H110" s="168">
        <v>30</v>
      </c>
      <c r="I110" s="169">
        <f t="shared" si="1"/>
        <v>56.25</v>
      </c>
      <c r="J110" s="170">
        <f t="shared" si="2"/>
        <v>7.5</v>
      </c>
      <c r="K110" s="168">
        <v>40</v>
      </c>
      <c r="L110" s="169">
        <f t="shared" si="3"/>
        <v>6.25</v>
      </c>
      <c r="M110" s="170">
        <f t="shared" si="4"/>
        <v>2.5</v>
      </c>
      <c r="N110" s="168">
        <v>10</v>
      </c>
      <c r="O110" s="169">
        <f t="shared" si="5"/>
        <v>756.25</v>
      </c>
      <c r="P110" s="170">
        <f t="shared" si="6"/>
        <v>27.5</v>
      </c>
      <c r="Q110" s="168">
        <v>30</v>
      </c>
      <c r="R110" s="169">
        <f t="shared" si="7"/>
        <v>56.25</v>
      </c>
      <c r="S110" s="170">
        <f t="shared" si="8"/>
        <v>7.5</v>
      </c>
      <c r="T110" s="171">
        <v>35</v>
      </c>
      <c r="U110" s="169">
        <f t="shared" si="9"/>
        <v>6.25</v>
      </c>
      <c r="V110" s="170">
        <f t="shared" si="10"/>
        <v>2.5</v>
      </c>
      <c r="W110" s="2"/>
    </row>
    <row r="111" spans="1:23">
      <c r="A111" s="49">
        <v>107</v>
      </c>
      <c r="B111" s="50" t="s">
        <v>19</v>
      </c>
      <c r="C111" s="50" t="s">
        <v>333</v>
      </c>
      <c r="D111" s="49">
        <v>10</v>
      </c>
      <c r="E111" s="49">
        <v>25</v>
      </c>
      <c r="F111" s="50">
        <f t="shared" si="11"/>
        <v>17.5</v>
      </c>
      <c r="G111" s="45"/>
      <c r="H111" s="168">
        <v>30</v>
      </c>
      <c r="I111" s="169">
        <f t="shared" si="1"/>
        <v>156.25</v>
      </c>
      <c r="J111" s="170">
        <f t="shared" si="2"/>
        <v>12.5</v>
      </c>
      <c r="K111" s="168">
        <v>40</v>
      </c>
      <c r="L111" s="169">
        <f t="shared" si="3"/>
        <v>506.25</v>
      </c>
      <c r="M111" s="170">
        <f t="shared" si="4"/>
        <v>22.5</v>
      </c>
      <c r="N111" s="168">
        <v>35</v>
      </c>
      <c r="O111" s="169">
        <f t="shared" si="5"/>
        <v>306.25</v>
      </c>
      <c r="P111" s="170">
        <f t="shared" si="6"/>
        <v>17.5</v>
      </c>
      <c r="Q111" s="168">
        <v>30</v>
      </c>
      <c r="R111" s="169">
        <f t="shared" si="7"/>
        <v>156.25</v>
      </c>
      <c r="S111" s="170">
        <f t="shared" si="8"/>
        <v>12.5</v>
      </c>
      <c r="T111" s="171">
        <v>20</v>
      </c>
      <c r="U111" s="169">
        <f t="shared" si="9"/>
        <v>6.25</v>
      </c>
      <c r="V111" s="170">
        <f t="shared" si="10"/>
        <v>2.5</v>
      </c>
      <c r="W111" s="2"/>
    </row>
    <row r="112" spans="1:23">
      <c r="A112" s="49">
        <v>108</v>
      </c>
      <c r="B112" s="50" t="s">
        <v>19</v>
      </c>
      <c r="C112" s="49" t="s">
        <v>336</v>
      </c>
      <c r="D112" s="49">
        <v>25</v>
      </c>
      <c r="E112" s="49">
        <v>25</v>
      </c>
      <c r="F112" s="50">
        <f t="shared" si="11"/>
        <v>25</v>
      </c>
      <c r="G112" s="45"/>
      <c r="H112" s="168">
        <v>30</v>
      </c>
      <c r="I112" s="169">
        <f t="shared" si="1"/>
        <v>25</v>
      </c>
      <c r="J112" s="170">
        <f t="shared" si="2"/>
        <v>5</v>
      </c>
      <c r="K112" s="168">
        <v>40</v>
      </c>
      <c r="L112" s="169">
        <f t="shared" si="3"/>
        <v>225</v>
      </c>
      <c r="M112" s="170">
        <f t="shared" si="4"/>
        <v>15</v>
      </c>
      <c r="N112" s="168">
        <v>35</v>
      </c>
      <c r="O112" s="169">
        <f t="shared" si="5"/>
        <v>100</v>
      </c>
      <c r="P112" s="170">
        <f t="shared" si="6"/>
        <v>10</v>
      </c>
      <c r="Q112" s="168">
        <v>30</v>
      </c>
      <c r="R112" s="169">
        <f t="shared" si="7"/>
        <v>25</v>
      </c>
      <c r="S112" s="170">
        <f t="shared" si="8"/>
        <v>5</v>
      </c>
      <c r="T112" s="171">
        <v>20</v>
      </c>
      <c r="U112" s="169">
        <f t="shared" si="9"/>
        <v>25</v>
      </c>
      <c r="V112" s="170">
        <f t="shared" si="10"/>
        <v>5</v>
      </c>
      <c r="W112" s="2"/>
    </row>
    <row r="113" spans="1:23">
      <c r="A113" s="51">
        <v>109</v>
      </c>
      <c r="B113" s="50" t="s">
        <v>19</v>
      </c>
      <c r="C113" s="50" t="s">
        <v>339</v>
      </c>
      <c r="D113" s="49">
        <v>35</v>
      </c>
      <c r="E113" s="49">
        <v>35</v>
      </c>
      <c r="F113" s="50">
        <f t="shared" si="11"/>
        <v>35</v>
      </c>
      <c r="G113" s="45"/>
      <c r="H113" s="168">
        <v>30</v>
      </c>
      <c r="I113" s="169">
        <f t="shared" si="1"/>
        <v>25</v>
      </c>
      <c r="J113" s="170">
        <f t="shared" si="2"/>
        <v>5</v>
      </c>
      <c r="K113" s="168">
        <v>30</v>
      </c>
      <c r="L113" s="169">
        <f t="shared" si="3"/>
        <v>25</v>
      </c>
      <c r="M113" s="170">
        <f t="shared" si="4"/>
        <v>5</v>
      </c>
      <c r="N113" s="168">
        <v>10</v>
      </c>
      <c r="O113" s="169">
        <f t="shared" si="5"/>
        <v>625</v>
      </c>
      <c r="P113" s="170">
        <f t="shared" si="6"/>
        <v>25</v>
      </c>
      <c r="Q113" s="168">
        <v>25</v>
      </c>
      <c r="R113" s="169">
        <f t="shared" si="7"/>
        <v>100</v>
      </c>
      <c r="S113" s="170">
        <f t="shared" si="8"/>
        <v>10</v>
      </c>
      <c r="T113" s="171">
        <v>20</v>
      </c>
      <c r="U113" s="169">
        <f t="shared" si="9"/>
        <v>225</v>
      </c>
      <c r="V113" s="170">
        <f t="shared" si="10"/>
        <v>15</v>
      </c>
      <c r="W113" s="2"/>
    </row>
    <row r="114" spans="1:23">
      <c r="A114" s="49">
        <v>110</v>
      </c>
      <c r="B114" s="50" t="s">
        <v>19</v>
      </c>
      <c r="C114" s="50" t="s">
        <v>342</v>
      </c>
      <c r="D114" s="49">
        <v>30</v>
      </c>
      <c r="E114" s="49">
        <v>35</v>
      </c>
      <c r="F114" s="50">
        <f t="shared" si="11"/>
        <v>32.5</v>
      </c>
      <c r="G114" s="45"/>
      <c r="H114" s="168">
        <v>30</v>
      </c>
      <c r="I114" s="169">
        <f t="shared" si="1"/>
        <v>6.25</v>
      </c>
      <c r="J114" s="170">
        <f t="shared" si="2"/>
        <v>2.5</v>
      </c>
      <c r="K114" s="168">
        <v>35</v>
      </c>
      <c r="L114" s="169">
        <f t="shared" si="3"/>
        <v>6.25</v>
      </c>
      <c r="M114" s="170">
        <f t="shared" si="4"/>
        <v>2.5</v>
      </c>
      <c r="N114" s="168">
        <v>40</v>
      </c>
      <c r="O114" s="169">
        <f t="shared" si="5"/>
        <v>56.25</v>
      </c>
      <c r="P114" s="170">
        <f t="shared" si="6"/>
        <v>7.5</v>
      </c>
      <c r="Q114" s="168">
        <v>35</v>
      </c>
      <c r="R114" s="169">
        <f t="shared" si="7"/>
        <v>6.25</v>
      </c>
      <c r="S114" s="170">
        <f t="shared" si="8"/>
        <v>2.5</v>
      </c>
      <c r="T114" s="171">
        <v>20</v>
      </c>
      <c r="U114" s="169">
        <f t="shared" si="9"/>
        <v>156.25</v>
      </c>
      <c r="V114" s="170">
        <f t="shared" si="10"/>
        <v>12.5</v>
      </c>
      <c r="W114" s="2"/>
    </row>
    <row r="115" spans="1:23">
      <c r="A115" s="49">
        <v>111</v>
      </c>
      <c r="B115" s="50" t="s">
        <v>19</v>
      </c>
      <c r="C115" s="50" t="s">
        <v>345</v>
      </c>
      <c r="D115" s="49">
        <v>10</v>
      </c>
      <c r="E115" s="49">
        <v>5</v>
      </c>
      <c r="F115" s="50">
        <f t="shared" si="11"/>
        <v>7.5</v>
      </c>
      <c r="G115" s="45"/>
      <c r="H115" s="168">
        <v>10</v>
      </c>
      <c r="I115" s="169">
        <f t="shared" si="1"/>
        <v>6.25</v>
      </c>
      <c r="J115" s="170">
        <f t="shared" si="2"/>
        <v>2.5</v>
      </c>
      <c r="K115" s="168">
        <v>10</v>
      </c>
      <c r="L115" s="169">
        <f t="shared" si="3"/>
        <v>6.25</v>
      </c>
      <c r="M115" s="170">
        <f t="shared" si="4"/>
        <v>2.5</v>
      </c>
      <c r="N115" s="168">
        <v>10</v>
      </c>
      <c r="O115" s="169">
        <f t="shared" si="5"/>
        <v>6.25</v>
      </c>
      <c r="P115" s="170">
        <f t="shared" si="6"/>
        <v>2.5</v>
      </c>
      <c r="Q115" s="168">
        <v>15</v>
      </c>
      <c r="R115" s="169">
        <f t="shared" si="7"/>
        <v>56.25</v>
      </c>
      <c r="S115" s="170">
        <f t="shared" si="8"/>
        <v>7.5</v>
      </c>
      <c r="T115" s="171">
        <v>20</v>
      </c>
      <c r="U115" s="169">
        <f t="shared" si="9"/>
        <v>156.25</v>
      </c>
      <c r="V115" s="170">
        <f t="shared" si="10"/>
        <v>12.5</v>
      </c>
      <c r="W115" s="2"/>
    </row>
    <row r="116" spans="1:23">
      <c r="A116" s="43">
        <v>112</v>
      </c>
      <c r="B116" s="50" t="s">
        <v>19</v>
      </c>
      <c r="C116" s="49" t="s">
        <v>348</v>
      </c>
      <c r="D116" s="49">
        <v>12</v>
      </c>
      <c r="E116" s="49">
        <v>10</v>
      </c>
      <c r="F116" s="50">
        <f t="shared" si="11"/>
        <v>11</v>
      </c>
      <c r="G116" s="45"/>
      <c r="H116" s="168">
        <v>20</v>
      </c>
      <c r="I116" s="169">
        <f t="shared" si="1"/>
        <v>81</v>
      </c>
      <c r="J116" s="170">
        <f t="shared" si="2"/>
        <v>9</v>
      </c>
      <c r="K116" s="168">
        <v>25</v>
      </c>
      <c r="L116" s="169">
        <f t="shared" si="3"/>
        <v>196</v>
      </c>
      <c r="M116" s="170">
        <f t="shared" si="4"/>
        <v>14</v>
      </c>
      <c r="N116" s="168">
        <v>35</v>
      </c>
      <c r="O116" s="169">
        <f t="shared" si="5"/>
        <v>576</v>
      </c>
      <c r="P116" s="170">
        <f t="shared" si="6"/>
        <v>24</v>
      </c>
      <c r="Q116" s="168">
        <v>25</v>
      </c>
      <c r="R116" s="169">
        <f t="shared" si="7"/>
        <v>196</v>
      </c>
      <c r="S116" s="170">
        <f t="shared" si="8"/>
        <v>14</v>
      </c>
      <c r="T116" s="171">
        <v>20</v>
      </c>
      <c r="U116" s="169">
        <f t="shared" si="9"/>
        <v>81</v>
      </c>
      <c r="V116" s="170">
        <f t="shared" si="10"/>
        <v>9</v>
      </c>
      <c r="W116" s="2"/>
    </row>
    <row r="117" spans="1:23">
      <c r="A117" s="49">
        <v>113</v>
      </c>
      <c r="B117" s="50" t="s">
        <v>19</v>
      </c>
      <c r="C117" s="49" t="s">
        <v>351</v>
      </c>
      <c r="D117" s="49">
        <v>25</v>
      </c>
      <c r="E117" s="49">
        <v>20</v>
      </c>
      <c r="F117" s="50">
        <f t="shared" si="11"/>
        <v>22.5</v>
      </c>
      <c r="G117" s="45"/>
      <c r="H117" s="168">
        <v>10</v>
      </c>
      <c r="I117" s="169">
        <f t="shared" si="1"/>
        <v>156.25</v>
      </c>
      <c r="J117" s="170">
        <f t="shared" si="2"/>
        <v>12.5</v>
      </c>
      <c r="K117" s="168">
        <v>40</v>
      </c>
      <c r="L117" s="169">
        <f t="shared" si="3"/>
        <v>306.25</v>
      </c>
      <c r="M117" s="170">
        <f t="shared" si="4"/>
        <v>17.5</v>
      </c>
      <c r="N117" s="168">
        <v>10</v>
      </c>
      <c r="O117" s="169">
        <f t="shared" si="5"/>
        <v>156.25</v>
      </c>
      <c r="P117" s="170">
        <f t="shared" si="6"/>
        <v>12.5</v>
      </c>
      <c r="Q117" s="168">
        <v>30</v>
      </c>
      <c r="R117" s="169">
        <f t="shared" si="7"/>
        <v>56.25</v>
      </c>
      <c r="S117" s="170">
        <f t="shared" si="8"/>
        <v>7.5</v>
      </c>
      <c r="T117" s="171">
        <v>20</v>
      </c>
      <c r="U117" s="169">
        <f t="shared" si="9"/>
        <v>6.25</v>
      </c>
      <c r="V117" s="170">
        <f t="shared" si="10"/>
        <v>2.5</v>
      </c>
      <c r="W117" s="2"/>
    </row>
    <row r="118" spans="1:23">
      <c r="A118" s="49">
        <v>114</v>
      </c>
      <c r="B118" s="50" t="s">
        <v>19</v>
      </c>
      <c r="C118" s="50" t="s">
        <v>354</v>
      </c>
      <c r="D118" s="49">
        <v>10</v>
      </c>
      <c r="E118" s="49">
        <v>20</v>
      </c>
      <c r="F118" s="50">
        <f t="shared" si="11"/>
        <v>15</v>
      </c>
      <c r="G118" s="45"/>
      <c r="H118" s="168">
        <v>30</v>
      </c>
      <c r="I118" s="169">
        <f t="shared" si="1"/>
        <v>225</v>
      </c>
      <c r="J118" s="170">
        <f t="shared" si="2"/>
        <v>15</v>
      </c>
      <c r="K118" s="168">
        <v>30</v>
      </c>
      <c r="L118" s="169">
        <f t="shared" si="3"/>
        <v>225</v>
      </c>
      <c r="M118" s="170">
        <f t="shared" si="4"/>
        <v>15</v>
      </c>
      <c r="N118" s="168">
        <v>30</v>
      </c>
      <c r="O118" s="169">
        <f t="shared" si="5"/>
        <v>225</v>
      </c>
      <c r="P118" s="170">
        <f t="shared" si="6"/>
        <v>15</v>
      </c>
      <c r="Q118" s="168">
        <v>30</v>
      </c>
      <c r="R118" s="169">
        <f t="shared" si="7"/>
        <v>225</v>
      </c>
      <c r="S118" s="170">
        <f t="shared" si="8"/>
        <v>15</v>
      </c>
      <c r="T118" s="171">
        <v>20</v>
      </c>
      <c r="U118" s="169">
        <f t="shared" si="9"/>
        <v>25</v>
      </c>
      <c r="V118" s="170">
        <f t="shared" si="10"/>
        <v>5</v>
      </c>
      <c r="W118" s="2"/>
    </row>
    <row r="119" spans="1:23">
      <c r="A119" s="51">
        <v>115</v>
      </c>
      <c r="B119" s="50" t="s">
        <v>19</v>
      </c>
      <c r="C119" s="50" t="s">
        <v>357</v>
      </c>
      <c r="D119" s="49">
        <v>30</v>
      </c>
      <c r="E119" s="49">
        <v>35</v>
      </c>
      <c r="F119" s="50">
        <f t="shared" si="11"/>
        <v>32.5</v>
      </c>
      <c r="G119" s="45"/>
      <c r="H119" s="168">
        <v>20</v>
      </c>
      <c r="I119" s="169">
        <f t="shared" si="1"/>
        <v>156.25</v>
      </c>
      <c r="J119" s="170">
        <f t="shared" si="2"/>
        <v>12.5</v>
      </c>
      <c r="K119" s="168">
        <v>25</v>
      </c>
      <c r="L119" s="169">
        <f t="shared" si="3"/>
        <v>56.25</v>
      </c>
      <c r="M119" s="170">
        <f t="shared" si="4"/>
        <v>7.5</v>
      </c>
      <c r="N119" s="168">
        <v>15</v>
      </c>
      <c r="O119" s="169">
        <f t="shared" si="5"/>
        <v>306.25</v>
      </c>
      <c r="P119" s="170">
        <f t="shared" si="6"/>
        <v>17.5</v>
      </c>
      <c r="Q119" s="168">
        <v>25</v>
      </c>
      <c r="R119" s="169">
        <f t="shared" si="7"/>
        <v>56.25</v>
      </c>
      <c r="S119" s="170">
        <f t="shared" si="8"/>
        <v>7.5</v>
      </c>
      <c r="T119" s="171">
        <v>20</v>
      </c>
      <c r="U119" s="169">
        <f t="shared" si="9"/>
        <v>156.25</v>
      </c>
      <c r="V119" s="170">
        <f t="shared" si="10"/>
        <v>12.5</v>
      </c>
      <c r="W119" s="2"/>
    </row>
    <row r="120" spans="1:23">
      <c r="A120" s="49">
        <v>116</v>
      </c>
      <c r="B120" s="50" t="s">
        <v>19</v>
      </c>
      <c r="C120" s="50" t="s">
        <v>360</v>
      </c>
      <c r="D120" s="49">
        <v>20</v>
      </c>
      <c r="E120" s="49">
        <v>20</v>
      </c>
      <c r="F120" s="50">
        <f t="shared" si="11"/>
        <v>20</v>
      </c>
      <c r="G120" s="45"/>
      <c r="H120" s="168">
        <v>20</v>
      </c>
      <c r="I120" s="169">
        <f t="shared" si="1"/>
        <v>0</v>
      </c>
      <c r="J120" s="170">
        <f t="shared" si="2"/>
        <v>0</v>
      </c>
      <c r="K120" s="168">
        <v>20</v>
      </c>
      <c r="L120" s="169">
        <f t="shared" si="3"/>
        <v>0</v>
      </c>
      <c r="M120" s="170">
        <f t="shared" si="4"/>
        <v>0</v>
      </c>
      <c r="N120" s="168">
        <v>25</v>
      </c>
      <c r="O120" s="169">
        <f t="shared" si="5"/>
        <v>25</v>
      </c>
      <c r="P120" s="170">
        <f t="shared" si="6"/>
        <v>5</v>
      </c>
      <c r="Q120" s="168">
        <v>25</v>
      </c>
      <c r="R120" s="169">
        <f t="shared" si="7"/>
        <v>25</v>
      </c>
      <c r="S120" s="170">
        <f t="shared" si="8"/>
        <v>5</v>
      </c>
      <c r="T120" s="171">
        <v>20</v>
      </c>
      <c r="U120" s="169">
        <f t="shared" si="9"/>
        <v>0</v>
      </c>
      <c r="V120" s="170">
        <f t="shared" si="10"/>
        <v>0</v>
      </c>
      <c r="W120" s="2"/>
    </row>
    <row r="121" spans="1:23">
      <c r="A121" s="49">
        <v>117</v>
      </c>
      <c r="B121" s="50" t="s">
        <v>19</v>
      </c>
      <c r="C121" s="50" t="s">
        <v>363</v>
      </c>
      <c r="D121" s="49">
        <v>10</v>
      </c>
      <c r="E121" s="49">
        <v>10</v>
      </c>
      <c r="F121" s="50">
        <f t="shared" si="11"/>
        <v>10</v>
      </c>
      <c r="G121" s="45"/>
      <c r="H121" s="168">
        <v>20</v>
      </c>
      <c r="I121" s="169">
        <f t="shared" si="1"/>
        <v>100</v>
      </c>
      <c r="J121" s="170">
        <f t="shared" si="2"/>
        <v>10</v>
      </c>
      <c r="K121" s="168">
        <v>25</v>
      </c>
      <c r="L121" s="169">
        <f t="shared" si="3"/>
        <v>225</v>
      </c>
      <c r="M121" s="170">
        <f t="shared" si="4"/>
        <v>15</v>
      </c>
      <c r="N121" s="168">
        <v>10</v>
      </c>
      <c r="O121" s="169">
        <f t="shared" si="5"/>
        <v>0</v>
      </c>
      <c r="P121" s="170">
        <f t="shared" si="6"/>
        <v>0</v>
      </c>
      <c r="Q121" s="168">
        <v>15</v>
      </c>
      <c r="R121" s="169">
        <f t="shared" si="7"/>
        <v>25</v>
      </c>
      <c r="S121" s="170">
        <f t="shared" si="8"/>
        <v>5</v>
      </c>
      <c r="T121" s="171">
        <v>20</v>
      </c>
      <c r="U121" s="169">
        <f t="shared" si="9"/>
        <v>100</v>
      </c>
      <c r="V121" s="170">
        <f t="shared" si="10"/>
        <v>10</v>
      </c>
      <c r="W121" s="2"/>
    </row>
    <row r="122" spans="1:23">
      <c r="A122" s="43">
        <v>118</v>
      </c>
      <c r="B122" s="50" t="s">
        <v>19</v>
      </c>
      <c r="C122" s="50" t="s">
        <v>366</v>
      </c>
      <c r="D122" s="49">
        <v>40</v>
      </c>
      <c r="E122" s="49">
        <v>40</v>
      </c>
      <c r="F122" s="50">
        <f t="shared" si="11"/>
        <v>40</v>
      </c>
      <c r="G122" s="45"/>
      <c r="H122" s="168">
        <v>30</v>
      </c>
      <c r="I122" s="169">
        <f t="shared" si="1"/>
        <v>100</v>
      </c>
      <c r="J122" s="170">
        <f t="shared" si="2"/>
        <v>10</v>
      </c>
      <c r="K122" s="168">
        <v>25</v>
      </c>
      <c r="L122" s="169">
        <f t="shared" si="3"/>
        <v>225</v>
      </c>
      <c r="M122" s="170">
        <f t="shared" si="4"/>
        <v>15</v>
      </c>
      <c r="N122" s="168">
        <v>30</v>
      </c>
      <c r="O122" s="169">
        <f t="shared" si="5"/>
        <v>100</v>
      </c>
      <c r="P122" s="170">
        <f t="shared" si="6"/>
        <v>10</v>
      </c>
      <c r="Q122" s="168">
        <v>35</v>
      </c>
      <c r="R122" s="169">
        <f t="shared" si="7"/>
        <v>25</v>
      </c>
      <c r="S122" s="170">
        <f t="shared" si="8"/>
        <v>5</v>
      </c>
      <c r="T122" s="171">
        <v>20</v>
      </c>
      <c r="U122" s="169">
        <f t="shared" si="9"/>
        <v>400</v>
      </c>
      <c r="V122" s="170">
        <f t="shared" si="10"/>
        <v>20</v>
      </c>
      <c r="W122" s="2"/>
    </row>
    <row r="123" spans="1:23">
      <c r="A123" s="49">
        <v>119</v>
      </c>
      <c r="B123" s="49" t="s">
        <v>19</v>
      </c>
      <c r="C123" s="49" t="s">
        <v>369</v>
      </c>
      <c r="D123" s="49">
        <v>20</v>
      </c>
      <c r="E123" s="49">
        <v>20</v>
      </c>
      <c r="F123" s="50">
        <f t="shared" si="11"/>
        <v>20</v>
      </c>
      <c r="G123" s="45"/>
      <c r="H123" s="168">
        <v>20</v>
      </c>
      <c r="I123" s="169">
        <f t="shared" si="1"/>
        <v>0</v>
      </c>
      <c r="J123" s="170">
        <f t="shared" si="2"/>
        <v>0</v>
      </c>
      <c r="K123" s="168">
        <v>20</v>
      </c>
      <c r="L123" s="169">
        <f t="shared" si="3"/>
        <v>0</v>
      </c>
      <c r="M123" s="170">
        <f t="shared" si="4"/>
        <v>0</v>
      </c>
      <c r="N123" s="168">
        <v>10</v>
      </c>
      <c r="O123" s="169">
        <f t="shared" si="5"/>
        <v>100</v>
      </c>
      <c r="P123" s="170">
        <f t="shared" si="6"/>
        <v>10</v>
      </c>
      <c r="Q123" s="168">
        <v>25</v>
      </c>
      <c r="R123" s="169">
        <f t="shared" si="7"/>
        <v>25</v>
      </c>
      <c r="S123" s="170">
        <f t="shared" si="8"/>
        <v>5</v>
      </c>
      <c r="T123" s="171">
        <v>20</v>
      </c>
      <c r="U123" s="169">
        <f t="shared" si="9"/>
        <v>0</v>
      </c>
      <c r="V123" s="170">
        <f t="shared" si="10"/>
        <v>0</v>
      </c>
      <c r="W123" s="2"/>
    </row>
    <row r="124" spans="1:23" ht="18" customHeight="1">
      <c r="A124" s="49">
        <v>120</v>
      </c>
      <c r="B124" s="50" t="s">
        <v>19</v>
      </c>
      <c r="C124" s="49" t="s">
        <v>372</v>
      </c>
      <c r="D124" s="49">
        <v>20</v>
      </c>
      <c r="E124" s="49">
        <v>22</v>
      </c>
      <c r="F124" s="50">
        <f t="shared" si="11"/>
        <v>21</v>
      </c>
      <c r="G124" s="45"/>
      <c r="H124" s="168">
        <v>20</v>
      </c>
      <c r="I124" s="169">
        <f t="shared" si="1"/>
        <v>1</v>
      </c>
      <c r="J124" s="170">
        <f t="shared" si="2"/>
        <v>1</v>
      </c>
      <c r="K124" s="168">
        <v>20</v>
      </c>
      <c r="L124" s="169">
        <f t="shared" si="3"/>
        <v>1</v>
      </c>
      <c r="M124" s="170">
        <f t="shared" si="4"/>
        <v>1</v>
      </c>
      <c r="N124" s="168">
        <v>20</v>
      </c>
      <c r="O124" s="169">
        <f t="shared" si="5"/>
        <v>1</v>
      </c>
      <c r="P124" s="170">
        <f t="shared" si="6"/>
        <v>1</v>
      </c>
      <c r="Q124" s="168">
        <v>20</v>
      </c>
      <c r="R124" s="169">
        <f t="shared" si="7"/>
        <v>1</v>
      </c>
      <c r="S124" s="170">
        <f t="shared" si="8"/>
        <v>1</v>
      </c>
      <c r="T124" s="171">
        <v>20</v>
      </c>
      <c r="U124" s="169">
        <f t="shared" si="9"/>
        <v>1</v>
      </c>
      <c r="V124" s="170">
        <f t="shared" si="10"/>
        <v>1</v>
      </c>
      <c r="W124" s="2"/>
    </row>
    <row r="125" spans="1:23">
      <c r="A125" s="51">
        <v>121</v>
      </c>
      <c r="B125" s="50" t="s">
        <v>19</v>
      </c>
      <c r="C125" s="50" t="s">
        <v>375</v>
      </c>
      <c r="D125" s="49">
        <v>20</v>
      </c>
      <c r="E125" s="49">
        <v>20</v>
      </c>
      <c r="F125" s="50">
        <f t="shared" si="11"/>
        <v>20</v>
      </c>
      <c r="G125" s="45"/>
      <c r="H125" s="168">
        <v>20</v>
      </c>
      <c r="I125" s="169">
        <f t="shared" si="1"/>
        <v>0</v>
      </c>
      <c r="J125" s="170">
        <f t="shared" si="2"/>
        <v>0</v>
      </c>
      <c r="K125" s="168">
        <v>20</v>
      </c>
      <c r="L125" s="169">
        <f t="shared" si="3"/>
        <v>0</v>
      </c>
      <c r="M125" s="170">
        <f t="shared" si="4"/>
        <v>0</v>
      </c>
      <c r="N125" s="168">
        <v>20</v>
      </c>
      <c r="O125" s="169">
        <f t="shared" si="5"/>
        <v>0</v>
      </c>
      <c r="P125" s="170">
        <f t="shared" si="6"/>
        <v>0</v>
      </c>
      <c r="Q125" s="168">
        <v>30</v>
      </c>
      <c r="R125" s="169">
        <f t="shared" si="7"/>
        <v>100</v>
      </c>
      <c r="S125" s="170">
        <f t="shared" si="8"/>
        <v>10</v>
      </c>
      <c r="T125" s="171">
        <v>20</v>
      </c>
      <c r="U125" s="169">
        <f t="shared" si="9"/>
        <v>0</v>
      </c>
      <c r="V125" s="170">
        <f t="shared" si="10"/>
        <v>0</v>
      </c>
      <c r="W125" s="2"/>
    </row>
    <row r="126" spans="1:23">
      <c r="A126" s="49">
        <v>122</v>
      </c>
      <c r="B126" s="50" t="s">
        <v>19</v>
      </c>
      <c r="C126" s="50" t="s">
        <v>378</v>
      </c>
      <c r="D126" s="49">
        <v>25</v>
      </c>
      <c r="E126" s="49">
        <v>40</v>
      </c>
      <c r="F126" s="50">
        <f t="shared" si="11"/>
        <v>32.5</v>
      </c>
      <c r="G126" s="45"/>
      <c r="H126" s="168">
        <v>30</v>
      </c>
      <c r="I126" s="169">
        <f t="shared" si="1"/>
        <v>6.25</v>
      </c>
      <c r="J126" s="170">
        <f t="shared" si="2"/>
        <v>2.5</v>
      </c>
      <c r="K126" s="168">
        <v>40</v>
      </c>
      <c r="L126" s="169">
        <f t="shared" si="3"/>
        <v>56.25</v>
      </c>
      <c r="M126" s="170">
        <f t="shared" si="4"/>
        <v>7.5</v>
      </c>
      <c r="N126" s="168">
        <v>10</v>
      </c>
      <c r="O126" s="169">
        <f t="shared" si="5"/>
        <v>506.25</v>
      </c>
      <c r="P126" s="170">
        <f t="shared" si="6"/>
        <v>22.5</v>
      </c>
      <c r="Q126" s="168">
        <v>30</v>
      </c>
      <c r="R126" s="169">
        <f t="shared" si="7"/>
        <v>6.25</v>
      </c>
      <c r="S126" s="170">
        <f t="shared" si="8"/>
        <v>2.5</v>
      </c>
      <c r="T126" s="171">
        <v>20</v>
      </c>
      <c r="U126" s="169">
        <f t="shared" si="9"/>
        <v>156.25</v>
      </c>
      <c r="V126" s="170">
        <f t="shared" si="10"/>
        <v>12.5</v>
      </c>
      <c r="W126" s="2"/>
    </row>
    <row r="127" spans="1:23">
      <c r="A127" s="49">
        <v>123</v>
      </c>
      <c r="B127" s="50" t="s">
        <v>19</v>
      </c>
      <c r="C127" s="50" t="s">
        <v>381</v>
      </c>
      <c r="D127" s="49">
        <v>40</v>
      </c>
      <c r="E127" s="49">
        <v>40</v>
      </c>
      <c r="F127" s="50">
        <f t="shared" si="11"/>
        <v>40</v>
      </c>
      <c r="G127" s="45"/>
      <c r="H127" s="168">
        <v>30</v>
      </c>
      <c r="I127" s="169">
        <f t="shared" si="1"/>
        <v>100</v>
      </c>
      <c r="J127" s="170">
        <f t="shared" si="2"/>
        <v>10</v>
      </c>
      <c r="K127" s="168">
        <v>40</v>
      </c>
      <c r="L127" s="169">
        <f t="shared" si="3"/>
        <v>0</v>
      </c>
      <c r="M127" s="170">
        <f t="shared" si="4"/>
        <v>0</v>
      </c>
      <c r="N127" s="168">
        <v>40</v>
      </c>
      <c r="O127" s="169">
        <f t="shared" si="5"/>
        <v>0</v>
      </c>
      <c r="P127" s="170">
        <f t="shared" si="6"/>
        <v>0</v>
      </c>
      <c r="Q127" s="168">
        <v>35</v>
      </c>
      <c r="R127" s="169">
        <f t="shared" si="7"/>
        <v>25</v>
      </c>
      <c r="S127" s="170">
        <f t="shared" si="8"/>
        <v>5</v>
      </c>
      <c r="T127" s="171">
        <v>40</v>
      </c>
      <c r="U127" s="169">
        <f t="shared" si="9"/>
        <v>0</v>
      </c>
      <c r="V127" s="170">
        <f t="shared" si="10"/>
        <v>0</v>
      </c>
      <c r="W127" s="2"/>
    </row>
    <row r="128" spans="1:23" ht="15.75" customHeight="1">
      <c r="A128" s="43">
        <v>124</v>
      </c>
      <c r="B128" s="50" t="s">
        <v>19</v>
      </c>
      <c r="C128" s="49" t="s">
        <v>384</v>
      </c>
      <c r="D128" s="49">
        <v>40</v>
      </c>
      <c r="E128" s="49">
        <v>40</v>
      </c>
      <c r="F128" s="50">
        <f t="shared" si="11"/>
        <v>40</v>
      </c>
      <c r="G128" s="45"/>
      <c r="H128" s="168">
        <v>30</v>
      </c>
      <c r="I128" s="169">
        <f t="shared" si="1"/>
        <v>100</v>
      </c>
      <c r="J128" s="170">
        <f t="shared" si="2"/>
        <v>10</v>
      </c>
      <c r="K128" s="168">
        <v>40</v>
      </c>
      <c r="L128" s="169">
        <f t="shared" si="3"/>
        <v>0</v>
      </c>
      <c r="M128" s="170">
        <f t="shared" si="4"/>
        <v>0</v>
      </c>
      <c r="N128" s="168">
        <v>40</v>
      </c>
      <c r="O128" s="169">
        <f t="shared" si="5"/>
        <v>0</v>
      </c>
      <c r="P128" s="170">
        <f t="shared" si="6"/>
        <v>0</v>
      </c>
      <c r="Q128" s="168">
        <v>35</v>
      </c>
      <c r="R128" s="169">
        <f t="shared" si="7"/>
        <v>25</v>
      </c>
      <c r="S128" s="170">
        <f t="shared" si="8"/>
        <v>5</v>
      </c>
      <c r="T128" s="171">
        <v>35</v>
      </c>
      <c r="U128" s="169">
        <f t="shared" si="9"/>
        <v>25</v>
      </c>
      <c r="V128" s="170">
        <f t="shared" si="10"/>
        <v>5</v>
      </c>
      <c r="W128" s="2"/>
    </row>
    <row r="129" spans="1:29">
      <c r="A129" s="49">
        <v>125</v>
      </c>
      <c r="B129" s="50" t="s">
        <v>19</v>
      </c>
      <c r="C129" s="50" t="s">
        <v>387</v>
      </c>
      <c r="D129" s="49">
        <v>10</v>
      </c>
      <c r="E129" s="49">
        <v>0</v>
      </c>
      <c r="F129" s="50">
        <f t="shared" si="11"/>
        <v>5</v>
      </c>
      <c r="G129" s="45"/>
      <c r="H129" s="168">
        <v>10</v>
      </c>
      <c r="I129" s="169">
        <f t="shared" si="1"/>
        <v>25</v>
      </c>
      <c r="J129" s="170">
        <f t="shared" si="2"/>
        <v>5</v>
      </c>
      <c r="K129" s="168">
        <v>15</v>
      </c>
      <c r="L129" s="169">
        <f t="shared" si="3"/>
        <v>100</v>
      </c>
      <c r="M129" s="170">
        <f t="shared" si="4"/>
        <v>10</v>
      </c>
      <c r="N129" s="168">
        <v>10</v>
      </c>
      <c r="O129" s="169">
        <f t="shared" si="5"/>
        <v>25</v>
      </c>
      <c r="P129" s="170">
        <f t="shared" si="6"/>
        <v>5</v>
      </c>
      <c r="Q129" s="168">
        <v>25</v>
      </c>
      <c r="R129" s="169">
        <f t="shared" si="7"/>
        <v>400</v>
      </c>
      <c r="S129" s="170">
        <f t="shared" si="8"/>
        <v>20</v>
      </c>
      <c r="T129" s="171">
        <v>20</v>
      </c>
      <c r="U129" s="169">
        <f t="shared" si="9"/>
        <v>225</v>
      </c>
      <c r="V129" s="170">
        <f t="shared" si="10"/>
        <v>15</v>
      </c>
      <c r="W129" s="2"/>
    </row>
    <row r="130" spans="1:29">
      <c r="A130" s="49">
        <v>126</v>
      </c>
      <c r="B130" s="50" t="s">
        <v>19</v>
      </c>
      <c r="C130" s="50" t="s">
        <v>390</v>
      </c>
      <c r="D130" s="49">
        <v>20</v>
      </c>
      <c r="E130" s="49">
        <v>30</v>
      </c>
      <c r="F130" s="50">
        <f t="shared" si="11"/>
        <v>25</v>
      </c>
      <c r="G130" s="2"/>
      <c r="H130" s="168">
        <v>20</v>
      </c>
      <c r="I130" s="169">
        <f t="shared" si="1"/>
        <v>25</v>
      </c>
      <c r="J130" s="170">
        <f t="shared" si="2"/>
        <v>5</v>
      </c>
      <c r="K130" s="168">
        <v>40</v>
      </c>
      <c r="L130" s="169">
        <f t="shared" si="3"/>
        <v>225</v>
      </c>
      <c r="M130" s="170">
        <f t="shared" si="4"/>
        <v>15</v>
      </c>
      <c r="N130" s="168">
        <v>35</v>
      </c>
      <c r="O130" s="169">
        <f t="shared" si="5"/>
        <v>100</v>
      </c>
      <c r="P130" s="170">
        <f t="shared" si="6"/>
        <v>10</v>
      </c>
      <c r="Q130" s="168">
        <v>25</v>
      </c>
      <c r="R130" s="169">
        <f t="shared" si="7"/>
        <v>0</v>
      </c>
      <c r="S130" s="170">
        <f t="shared" si="8"/>
        <v>0</v>
      </c>
      <c r="T130" s="171">
        <v>30</v>
      </c>
      <c r="U130" s="169">
        <f t="shared" si="9"/>
        <v>25</v>
      </c>
      <c r="V130" s="170">
        <f t="shared" si="10"/>
        <v>5</v>
      </c>
      <c r="W130" s="2"/>
    </row>
    <row r="131" spans="1:29" ht="18" customHeight="1">
      <c r="A131" s="51">
        <v>127</v>
      </c>
      <c r="B131" s="50" t="s">
        <v>19</v>
      </c>
      <c r="C131" s="50" t="s">
        <v>393</v>
      </c>
      <c r="D131" s="49">
        <v>10</v>
      </c>
      <c r="E131" s="49">
        <v>10</v>
      </c>
      <c r="F131" s="50">
        <f t="shared" si="11"/>
        <v>10</v>
      </c>
      <c r="G131" s="2"/>
      <c r="H131" s="168">
        <v>20</v>
      </c>
      <c r="I131" s="169">
        <f t="shared" si="1"/>
        <v>100</v>
      </c>
      <c r="J131" s="170">
        <f t="shared" si="2"/>
        <v>10</v>
      </c>
      <c r="K131" s="168">
        <v>20</v>
      </c>
      <c r="L131" s="169">
        <f t="shared" si="3"/>
        <v>100</v>
      </c>
      <c r="M131" s="170">
        <f t="shared" si="4"/>
        <v>10</v>
      </c>
      <c r="N131" s="168">
        <v>10</v>
      </c>
      <c r="O131" s="169">
        <f t="shared" si="5"/>
        <v>0</v>
      </c>
      <c r="P131" s="170">
        <f t="shared" si="6"/>
        <v>0</v>
      </c>
      <c r="Q131" s="168">
        <v>15</v>
      </c>
      <c r="R131" s="169">
        <f t="shared" si="7"/>
        <v>25</v>
      </c>
      <c r="S131" s="170">
        <f t="shared" si="8"/>
        <v>5</v>
      </c>
      <c r="T131" s="171">
        <v>20</v>
      </c>
      <c r="U131" s="169">
        <f t="shared" si="9"/>
        <v>100</v>
      </c>
      <c r="V131" s="170">
        <f t="shared" si="10"/>
        <v>10</v>
      </c>
      <c r="W131" s="2"/>
    </row>
    <row r="132" spans="1:29">
      <c r="A132" s="49">
        <v>128</v>
      </c>
      <c r="B132" s="50" t="s">
        <v>19</v>
      </c>
      <c r="C132" s="50" t="s">
        <v>396</v>
      </c>
      <c r="D132" s="49">
        <v>0</v>
      </c>
      <c r="E132" s="49">
        <v>0</v>
      </c>
      <c r="F132" s="50">
        <f t="shared" si="11"/>
        <v>0</v>
      </c>
      <c r="G132" s="2"/>
      <c r="H132" s="168">
        <v>30</v>
      </c>
      <c r="I132" s="169">
        <f t="shared" si="1"/>
        <v>900</v>
      </c>
      <c r="J132" s="170">
        <f t="shared" si="2"/>
        <v>30</v>
      </c>
      <c r="K132" s="168">
        <v>30</v>
      </c>
      <c r="L132" s="169">
        <f t="shared" si="3"/>
        <v>900</v>
      </c>
      <c r="M132" s="170">
        <f t="shared" si="4"/>
        <v>30</v>
      </c>
      <c r="N132" s="168">
        <v>10</v>
      </c>
      <c r="O132" s="169">
        <f t="shared" si="5"/>
        <v>100</v>
      </c>
      <c r="P132" s="170">
        <f t="shared" si="6"/>
        <v>10</v>
      </c>
      <c r="Q132" s="168">
        <v>25</v>
      </c>
      <c r="R132" s="169">
        <f t="shared" si="7"/>
        <v>625</v>
      </c>
      <c r="S132" s="170">
        <f t="shared" si="8"/>
        <v>25</v>
      </c>
      <c r="T132" s="171">
        <v>20</v>
      </c>
      <c r="U132" s="169">
        <f t="shared" si="9"/>
        <v>400</v>
      </c>
      <c r="V132" s="170">
        <f t="shared" si="10"/>
        <v>20</v>
      </c>
      <c r="W132" s="2"/>
    </row>
    <row r="133" spans="1:29">
      <c r="A133" s="49">
        <v>129</v>
      </c>
      <c r="B133" s="50" t="s">
        <v>19</v>
      </c>
      <c r="C133" s="49" t="s">
        <v>399</v>
      </c>
      <c r="D133" s="49">
        <v>25</v>
      </c>
      <c r="E133" s="49">
        <v>25</v>
      </c>
      <c r="F133" s="50">
        <f t="shared" si="11"/>
        <v>25</v>
      </c>
      <c r="G133" s="2"/>
      <c r="H133" s="168">
        <v>30</v>
      </c>
      <c r="I133" s="169">
        <f t="shared" si="1"/>
        <v>25</v>
      </c>
      <c r="J133" s="170">
        <f t="shared" si="2"/>
        <v>5</v>
      </c>
      <c r="K133" s="168">
        <v>40</v>
      </c>
      <c r="L133" s="169">
        <f t="shared" si="3"/>
        <v>225</v>
      </c>
      <c r="M133" s="170">
        <f t="shared" si="4"/>
        <v>15</v>
      </c>
      <c r="N133" s="168">
        <v>10</v>
      </c>
      <c r="O133" s="169">
        <f t="shared" si="5"/>
        <v>225</v>
      </c>
      <c r="P133" s="170">
        <f t="shared" si="6"/>
        <v>15</v>
      </c>
      <c r="Q133" s="168">
        <v>25</v>
      </c>
      <c r="R133" s="169">
        <f t="shared" si="7"/>
        <v>0</v>
      </c>
      <c r="S133" s="170">
        <f t="shared" si="8"/>
        <v>0</v>
      </c>
      <c r="T133" s="171">
        <v>30</v>
      </c>
      <c r="U133" s="169">
        <f t="shared" si="9"/>
        <v>25</v>
      </c>
      <c r="V133" s="170">
        <f t="shared" si="10"/>
        <v>5</v>
      </c>
      <c r="W133" s="2"/>
    </row>
    <row r="134" spans="1:29" ht="15.75" customHeight="1">
      <c r="A134" s="43">
        <v>130</v>
      </c>
      <c r="B134" s="50" t="s">
        <v>19</v>
      </c>
      <c r="C134" s="49" t="s">
        <v>402</v>
      </c>
      <c r="D134" s="49">
        <v>10</v>
      </c>
      <c r="E134" s="49">
        <v>10</v>
      </c>
      <c r="F134" s="50">
        <f t="shared" si="11"/>
        <v>10</v>
      </c>
      <c r="G134" s="2"/>
      <c r="H134" s="168">
        <v>20</v>
      </c>
      <c r="I134" s="169">
        <f t="shared" si="1"/>
        <v>100</v>
      </c>
      <c r="J134" s="170">
        <f t="shared" si="2"/>
        <v>10</v>
      </c>
      <c r="K134" s="168">
        <v>20</v>
      </c>
      <c r="L134" s="169">
        <f t="shared" si="3"/>
        <v>100</v>
      </c>
      <c r="M134" s="170">
        <f t="shared" si="4"/>
        <v>10</v>
      </c>
      <c r="N134" s="168">
        <v>20</v>
      </c>
      <c r="O134" s="169">
        <f t="shared" si="5"/>
        <v>100</v>
      </c>
      <c r="P134" s="170">
        <f t="shared" si="6"/>
        <v>10</v>
      </c>
      <c r="Q134" s="168">
        <v>15</v>
      </c>
      <c r="R134" s="169">
        <f t="shared" si="7"/>
        <v>25</v>
      </c>
      <c r="S134" s="170">
        <f t="shared" si="8"/>
        <v>5</v>
      </c>
      <c r="T134" s="171">
        <v>20</v>
      </c>
      <c r="U134" s="169">
        <f t="shared" si="9"/>
        <v>100</v>
      </c>
      <c r="V134" s="170">
        <f t="shared" si="10"/>
        <v>10</v>
      </c>
      <c r="W134" s="2"/>
    </row>
    <row r="135" spans="1:29" ht="17.25" customHeight="1">
      <c r="A135" s="49">
        <v>131</v>
      </c>
      <c r="B135" s="50" t="s">
        <v>19</v>
      </c>
      <c r="C135" s="50" t="s">
        <v>405</v>
      </c>
      <c r="D135" s="49">
        <v>40</v>
      </c>
      <c r="E135" s="49">
        <v>40</v>
      </c>
      <c r="F135" s="50">
        <f t="shared" si="11"/>
        <v>40</v>
      </c>
      <c r="G135" s="2"/>
      <c r="H135" s="168">
        <v>40</v>
      </c>
      <c r="I135" s="169">
        <f t="shared" si="1"/>
        <v>0</v>
      </c>
      <c r="J135" s="170">
        <f t="shared" si="2"/>
        <v>0</v>
      </c>
      <c r="K135" s="168">
        <v>30</v>
      </c>
      <c r="L135" s="169">
        <f t="shared" si="3"/>
        <v>100</v>
      </c>
      <c r="M135" s="170">
        <f t="shared" si="4"/>
        <v>10</v>
      </c>
      <c r="N135" s="168">
        <v>35</v>
      </c>
      <c r="O135" s="169">
        <f t="shared" si="5"/>
        <v>25</v>
      </c>
      <c r="P135" s="170">
        <f t="shared" si="6"/>
        <v>5</v>
      </c>
      <c r="Q135" s="168">
        <v>35</v>
      </c>
      <c r="R135" s="169">
        <f t="shared" si="7"/>
        <v>25</v>
      </c>
      <c r="S135" s="170">
        <f t="shared" si="8"/>
        <v>5</v>
      </c>
      <c r="T135" s="171">
        <v>20</v>
      </c>
      <c r="U135" s="169">
        <f t="shared" si="9"/>
        <v>400</v>
      </c>
      <c r="V135" s="170">
        <f t="shared" si="10"/>
        <v>20</v>
      </c>
      <c r="W135" s="2"/>
    </row>
    <row r="136" spans="1:29">
      <c r="A136" s="49">
        <v>132</v>
      </c>
      <c r="B136" s="50" t="s">
        <v>19</v>
      </c>
      <c r="C136" s="50" t="s">
        <v>408</v>
      </c>
      <c r="D136" s="49">
        <v>0</v>
      </c>
      <c r="E136" s="49">
        <v>0</v>
      </c>
      <c r="F136" s="50">
        <f t="shared" si="11"/>
        <v>0</v>
      </c>
      <c r="G136" s="2"/>
      <c r="H136" s="168">
        <v>20</v>
      </c>
      <c r="I136" s="169">
        <f t="shared" si="1"/>
        <v>400</v>
      </c>
      <c r="J136" s="170">
        <f t="shared" si="2"/>
        <v>20</v>
      </c>
      <c r="K136" s="168">
        <v>20</v>
      </c>
      <c r="L136" s="169">
        <f t="shared" si="3"/>
        <v>400</v>
      </c>
      <c r="M136" s="170">
        <f t="shared" si="4"/>
        <v>20</v>
      </c>
      <c r="N136" s="168">
        <v>10</v>
      </c>
      <c r="O136" s="169">
        <f t="shared" si="5"/>
        <v>100</v>
      </c>
      <c r="P136" s="170">
        <f t="shared" si="6"/>
        <v>10</v>
      </c>
      <c r="Q136" s="168">
        <v>10</v>
      </c>
      <c r="R136" s="169">
        <f t="shared" si="7"/>
        <v>100</v>
      </c>
      <c r="S136" s="170">
        <f t="shared" si="8"/>
        <v>10</v>
      </c>
      <c r="T136" s="171">
        <v>20</v>
      </c>
      <c r="U136" s="169">
        <f t="shared" si="9"/>
        <v>400</v>
      </c>
      <c r="V136" s="170">
        <f t="shared" si="10"/>
        <v>20</v>
      </c>
      <c r="W136" s="2"/>
    </row>
    <row r="137" spans="1:29">
      <c r="A137" s="51">
        <v>133</v>
      </c>
      <c r="B137" s="50" t="s">
        <v>19</v>
      </c>
      <c r="C137" s="50" t="s">
        <v>411</v>
      </c>
      <c r="D137" s="49">
        <v>20</v>
      </c>
      <c r="E137" s="49">
        <v>10</v>
      </c>
      <c r="F137" s="50">
        <f t="shared" si="11"/>
        <v>15</v>
      </c>
      <c r="G137" s="2"/>
      <c r="H137" s="168">
        <v>30</v>
      </c>
      <c r="I137" s="169">
        <f t="shared" si="1"/>
        <v>225</v>
      </c>
      <c r="J137" s="170">
        <f t="shared" si="2"/>
        <v>15</v>
      </c>
      <c r="K137" s="168">
        <v>30</v>
      </c>
      <c r="L137" s="169">
        <f t="shared" si="3"/>
        <v>225</v>
      </c>
      <c r="M137" s="170">
        <f t="shared" si="4"/>
        <v>15</v>
      </c>
      <c r="N137" s="168">
        <v>30</v>
      </c>
      <c r="O137" s="169">
        <f t="shared" si="5"/>
        <v>225</v>
      </c>
      <c r="P137" s="170">
        <f t="shared" si="6"/>
        <v>15</v>
      </c>
      <c r="Q137" s="168">
        <v>25</v>
      </c>
      <c r="R137" s="169">
        <f t="shared" si="7"/>
        <v>100</v>
      </c>
      <c r="S137" s="170">
        <f t="shared" si="8"/>
        <v>10</v>
      </c>
      <c r="T137" s="171">
        <v>20</v>
      </c>
      <c r="U137" s="169">
        <f t="shared" si="9"/>
        <v>25</v>
      </c>
      <c r="V137" s="170">
        <f t="shared" si="10"/>
        <v>5</v>
      </c>
      <c r="W137" s="2"/>
    </row>
    <row r="138" spans="1:29">
      <c r="A138" s="49">
        <v>134</v>
      </c>
      <c r="B138" s="50" t="s">
        <v>19</v>
      </c>
      <c r="C138" s="50" t="s">
        <v>414</v>
      </c>
      <c r="D138" s="49">
        <v>10</v>
      </c>
      <c r="E138" s="49">
        <v>10</v>
      </c>
      <c r="F138" s="49">
        <v>10</v>
      </c>
      <c r="G138" s="2"/>
      <c r="H138" s="168">
        <v>20</v>
      </c>
      <c r="I138" s="169">
        <f t="shared" si="1"/>
        <v>100</v>
      </c>
      <c r="J138" s="170">
        <f t="shared" si="2"/>
        <v>10</v>
      </c>
      <c r="K138" s="168">
        <v>30</v>
      </c>
      <c r="L138" s="169">
        <f t="shared" si="3"/>
        <v>400</v>
      </c>
      <c r="M138" s="170">
        <f t="shared" si="4"/>
        <v>20</v>
      </c>
      <c r="N138" s="168">
        <v>10</v>
      </c>
      <c r="O138" s="169">
        <f t="shared" si="5"/>
        <v>0</v>
      </c>
      <c r="P138" s="170">
        <f t="shared" si="6"/>
        <v>0</v>
      </c>
      <c r="Q138" s="168">
        <v>25</v>
      </c>
      <c r="R138" s="169">
        <f t="shared" si="7"/>
        <v>225</v>
      </c>
      <c r="S138" s="170">
        <f t="shared" si="8"/>
        <v>15</v>
      </c>
      <c r="T138" s="171">
        <v>20</v>
      </c>
      <c r="U138" s="169">
        <f t="shared" si="9"/>
        <v>100</v>
      </c>
      <c r="V138" s="170">
        <f t="shared" si="10"/>
        <v>10</v>
      </c>
      <c r="W138" s="2"/>
    </row>
    <row r="139" spans="1:29">
      <c r="A139" s="52" t="s">
        <v>461</v>
      </c>
      <c r="B139" s="53"/>
      <c r="C139" s="53"/>
      <c r="D139" s="54" t="s">
        <v>462</v>
      </c>
      <c r="E139" s="54" t="s">
        <v>463</v>
      </c>
      <c r="F139" s="172" t="s">
        <v>464</v>
      </c>
      <c r="G139" s="173"/>
      <c r="H139" s="174" t="s">
        <v>465</v>
      </c>
      <c r="I139" s="175">
        <f>J139/I140</f>
        <v>0.10852713178294573</v>
      </c>
      <c r="J139" s="176">
        <f>COUNTIF(J10:J138,"=0")</f>
        <v>14</v>
      </c>
      <c r="K139" s="177" t="s">
        <v>447</v>
      </c>
      <c r="L139" s="175">
        <f>M139/L140</f>
        <v>0.15503875968992248</v>
      </c>
      <c r="M139" s="176">
        <f>COUNTIF(M10:M138,"=0")</f>
        <v>20</v>
      </c>
      <c r="N139" s="177" t="s">
        <v>449</v>
      </c>
      <c r="O139" s="175">
        <f>P139/O140</f>
        <v>0.13178294573643412</v>
      </c>
      <c r="P139" s="176">
        <f>COUNTIF(P10:P138,"=0")</f>
        <v>17</v>
      </c>
      <c r="Q139" s="177" t="s">
        <v>451</v>
      </c>
      <c r="R139" s="175">
        <f>S139/R140</f>
        <v>3.875968992248062E-2</v>
      </c>
      <c r="S139" s="178">
        <f>COUNTIF(S10:S138,"=0")</f>
        <v>5</v>
      </c>
      <c r="T139" s="179" t="s">
        <v>453</v>
      </c>
      <c r="U139" s="175">
        <f>V139/U140</f>
        <v>7.7519379844961239E-2</v>
      </c>
      <c r="V139" s="178">
        <f>COUNTIF(V10:V138,"=0")</f>
        <v>10</v>
      </c>
      <c r="W139" s="63"/>
      <c r="X139" s="64"/>
      <c r="Y139" s="64"/>
      <c r="Z139" s="64"/>
      <c r="AA139" s="64"/>
      <c r="AB139" s="64"/>
      <c r="AC139" s="65"/>
    </row>
    <row r="140" spans="1:29">
      <c r="A140" s="180"/>
      <c r="B140" s="67"/>
      <c r="C140" s="68" t="s">
        <v>466</v>
      </c>
      <c r="D140" s="181">
        <f t="shared" ref="D140:F140" si="12">COUNTIF(D10:D138,"&gt;=0")</f>
        <v>129</v>
      </c>
      <c r="E140" s="181">
        <f t="shared" si="12"/>
        <v>129</v>
      </c>
      <c r="F140" s="182">
        <f t="shared" si="12"/>
        <v>129</v>
      </c>
      <c r="G140" s="160"/>
      <c r="H140" s="183">
        <f t="shared" ref="H140:K140" si="13">COUNTIF(H10:H138,"&gt;=0")</f>
        <v>129</v>
      </c>
      <c r="I140" s="183">
        <f t="shared" si="13"/>
        <v>129</v>
      </c>
      <c r="J140" s="183">
        <f t="shared" si="13"/>
        <v>129</v>
      </c>
      <c r="K140" s="182">
        <f t="shared" si="13"/>
        <v>129</v>
      </c>
      <c r="L140" s="183">
        <v>129</v>
      </c>
      <c r="M140" s="185">
        <f t="shared" ref="M140:P140" si="14">COUNTIF(M10:M138,"&gt;=0")</f>
        <v>129</v>
      </c>
      <c r="N140" s="182">
        <f t="shared" si="14"/>
        <v>129</v>
      </c>
      <c r="O140" s="183">
        <f t="shared" si="14"/>
        <v>129</v>
      </c>
      <c r="P140" s="185">
        <f t="shared" si="14"/>
        <v>129</v>
      </c>
      <c r="Q140" s="182">
        <f>COUNTIF(Q9:Q138,"&gt;=0")</f>
        <v>129</v>
      </c>
      <c r="R140" s="183">
        <f>COUNTIF(R10:R138,"&gt;=0")</f>
        <v>129</v>
      </c>
      <c r="S140" s="185">
        <f t="shared" ref="S140:T140" si="15">COUNTIF(S9:S138,"&gt;=0")</f>
        <v>129</v>
      </c>
      <c r="T140" s="182">
        <f t="shared" si="15"/>
        <v>129</v>
      </c>
      <c r="U140" s="183">
        <v>129</v>
      </c>
      <c r="V140" s="185">
        <f>COUNTIF(V9:V138,"&gt;=0")</f>
        <v>129</v>
      </c>
      <c r="W140" s="31"/>
      <c r="X140" s="70"/>
      <c r="Y140" s="70"/>
      <c r="Z140" s="70"/>
      <c r="AA140" s="70"/>
      <c r="AB140" s="70"/>
      <c r="AC140" s="71"/>
    </row>
    <row r="141" spans="1:29">
      <c r="A141" s="187"/>
      <c r="B141" s="44"/>
      <c r="C141" s="73" t="s">
        <v>468</v>
      </c>
      <c r="D141" s="101">
        <f t="shared" ref="D141:F141" si="16">AVERAGE(D9:D138)</f>
        <v>21.794573643410853</v>
      </c>
      <c r="E141" s="101">
        <f t="shared" si="16"/>
        <v>22.023255813953487</v>
      </c>
      <c r="F141" s="188">
        <f t="shared" si="16"/>
        <v>21.90891472868217</v>
      </c>
      <c r="G141" s="189"/>
      <c r="H141" s="190">
        <f>AVERAGE(H9:H138)</f>
        <v>23.527131782945737</v>
      </c>
      <c r="I141" s="227">
        <f>SQRT(AVERAGE(I9:I138))</f>
        <v>11.236727743769398</v>
      </c>
      <c r="J141" s="191">
        <f t="shared" ref="J141:K141" si="17">AVERAGE(J9:J138)</f>
        <v>9.0678294573643416</v>
      </c>
      <c r="K141" s="188">
        <f t="shared" si="17"/>
        <v>27.984496124031008</v>
      </c>
      <c r="L141" s="227">
        <f>SQRT(AVERAGE(L9:L138))</f>
        <v>12.537714422722207</v>
      </c>
      <c r="M141" s="191">
        <f t="shared" ref="M141:N141" si="18">AVERAGE(M9:M138)</f>
        <v>9.8895348837209305</v>
      </c>
      <c r="N141" s="188">
        <f t="shared" si="18"/>
        <v>22.131782945736433</v>
      </c>
      <c r="O141" s="227">
        <f>SQRT(AVERAGE(O9:O138))</f>
        <v>13.949816619616554</v>
      </c>
      <c r="P141" s="191">
        <f>AVERAGE(P9:P138)</f>
        <v>11.207364341085272</v>
      </c>
      <c r="Q141" s="188">
        <v>25.43</v>
      </c>
      <c r="R141" s="227">
        <f>SQRT(AVERAGE(R9:R138))</f>
        <v>10.867618674710423</v>
      </c>
      <c r="S141" s="191">
        <f t="shared" ref="S141:T141" si="19">AVERAGE(S9:S138)</f>
        <v>8.8972868217054266</v>
      </c>
      <c r="T141" s="188">
        <f t="shared" si="19"/>
        <v>22.441860465116278</v>
      </c>
      <c r="U141" s="227">
        <f>SQRT(AVERAGE(U9:U138))</f>
        <v>12.031310089953635</v>
      </c>
      <c r="V141" s="191">
        <f>AVERAGE(V9:V138)</f>
        <v>10.052325581395349</v>
      </c>
      <c r="W141" s="2"/>
      <c r="AC141" s="80"/>
    </row>
    <row r="142" spans="1:29">
      <c r="A142" s="187"/>
      <c r="B142" s="44"/>
      <c r="C142" s="73" t="s">
        <v>469</v>
      </c>
      <c r="D142" s="101">
        <f t="shared" ref="D142:F142" si="20">MODE(D9:D138)</f>
        <v>40</v>
      </c>
      <c r="E142" s="101">
        <f t="shared" si="20"/>
        <v>40</v>
      </c>
      <c r="F142" s="188">
        <f t="shared" si="20"/>
        <v>40</v>
      </c>
      <c r="G142" s="189"/>
      <c r="H142" s="190">
        <f>MODE(H9:H138)</f>
        <v>20</v>
      </c>
      <c r="I142" s="228" t="s">
        <v>470</v>
      </c>
      <c r="J142" s="192" t="s">
        <v>471</v>
      </c>
      <c r="K142" s="188">
        <f>MODE(K9:K138)</f>
        <v>30</v>
      </c>
      <c r="L142" s="228" t="s">
        <v>470</v>
      </c>
      <c r="M142" s="192" t="s">
        <v>471</v>
      </c>
      <c r="N142" s="188">
        <f>MODE(N9:N138)</f>
        <v>10</v>
      </c>
      <c r="O142" s="228" t="s">
        <v>470</v>
      </c>
      <c r="P142" s="192" t="s">
        <v>471</v>
      </c>
      <c r="Q142" s="188">
        <f>MODE(Q9:Q138)</f>
        <v>25</v>
      </c>
      <c r="R142" s="228" t="s">
        <v>470</v>
      </c>
      <c r="S142" s="192" t="s">
        <v>471</v>
      </c>
      <c r="T142" s="188">
        <f>MODE(T9:T138)</f>
        <v>20</v>
      </c>
      <c r="U142" s="228" t="s">
        <v>470</v>
      </c>
      <c r="V142" s="192" t="s">
        <v>471</v>
      </c>
      <c r="W142" s="2"/>
      <c r="AC142" s="80"/>
    </row>
    <row r="143" spans="1:29">
      <c r="A143" s="187"/>
      <c r="B143" s="44"/>
      <c r="C143" s="73" t="s">
        <v>472</v>
      </c>
      <c r="D143" s="101">
        <f t="shared" ref="D143:F143" si="21">STDEVP(D10:D138)</f>
        <v>13.15966535517072</v>
      </c>
      <c r="E143" s="101">
        <f t="shared" si="21"/>
        <v>13.562068121243785</v>
      </c>
      <c r="F143" s="188">
        <f t="shared" si="21"/>
        <v>13.042266486361024</v>
      </c>
      <c r="G143" s="189"/>
      <c r="H143" s="190">
        <f>STDEVP(H10:H138)</f>
        <v>6.8313884765483053</v>
      </c>
      <c r="I143" s="190"/>
      <c r="J143" s="190"/>
      <c r="K143" s="188">
        <f>STDEVP(K10:K138)</f>
        <v>8.1297467909919483</v>
      </c>
      <c r="L143" s="190"/>
      <c r="M143" s="193">
        <f t="shared" ref="M143:N143" si="22">STDEVP(M10:M138)</f>
        <v>7.7065804822504305</v>
      </c>
      <c r="N143" s="188">
        <f t="shared" si="22"/>
        <v>11.676770715419753</v>
      </c>
      <c r="O143" s="190"/>
      <c r="P143" s="193">
        <f t="shared" ref="P143:Q143" si="23">STDEVP(P10:P138)</f>
        <v>8.3061644726733252</v>
      </c>
      <c r="Q143" s="188">
        <f t="shared" si="23"/>
        <v>6.618947659628847</v>
      </c>
      <c r="R143" s="190"/>
      <c r="S143" s="193">
        <f>STDEVP(S10:S138)</f>
        <v>6.2404665587776114</v>
      </c>
      <c r="T143" s="188">
        <v>5.94</v>
      </c>
      <c r="U143" s="190"/>
      <c r="V143" s="193">
        <f>STDEVP(V10:V138)</f>
        <v>6.6108375328883113</v>
      </c>
      <c r="W143" s="2"/>
      <c r="AC143" s="80"/>
    </row>
    <row r="144" spans="1:29">
      <c r="A144" s="187"/>
      <c r="B144" s="44"/>
      <c r="C144" s="73" t="s">
        <v>473</v>
      </c>
      <c r="D144" s="101">
        <f t="shared" ref="D144:F144" si="24">VARP(D10:D138)</f>
        <v>173.17679226008053</v>
      </c>
      <c r="E144" s="101">
        <f t="shared" si="24"/>
        <v>183.9296917252569</v>
      </c>
      <c r="F144" s="188">
        <f t="shared" si="24"/>
        <v>170.10071510125593</v>
      </c>
      <c r="G144" s="189"/>
      <c r="H144" s="190">
        <f>VARP(H10:H138)</f>
        <v>46.667868517516979</v>
      </c>
      <c r="I144" s="190"/>
      <c r="J144" s="190"/>
      <c r="K144" s="188">
        <f>VARP(K10:K138)</f>
        <v>66.092782885643885</v>
      </c>
      <c r="L144" s="190"/>
      <c r="M144" s="193">
        <f t="shared" ref="M144:N144" si="25">VARP(M10:M138)</f>
        <v>59.391382729403283</v>
      </c>
      <c r="N144" s="188">
        <f t="shared" si="25"/>
        <v>136.34697434048434</v>
      </c>
      <c r="O144" s="190"/>
      <c r="P144" s="193">
        <f t="shared" ref="P144:Q144" si="26">VARP(P10:P138)</f>
        <v>68.992368247100529</v>
      </c>
      <c r="Q144" s="188">
        <f t="shared" si="26"/>
        <v>43.810468120906194</v>
      </c>
      <c r="R144" s="190"/>
      <c r="S144" s="193">
        <f t="shared" ref="S144:T144" si="27">VARP(S10:S138)</f>
        <v>38.943422871221678</v>
      </c>
      <c r="T144" s="188">
        <f t="shared" si="27"/>
        <v>35.316387236343971</v>
      </c>
      <c r="U144" s="190"/>
      <c r="V144" s="193">
        <f>VARP(V10:V138)</f>
        <v>43.703172886244815</v>
      </c>
      <c r="W144" s="2"/>
      <c r="AC144" s="80"/>
    </row>
    <row r="145" spans="1:29">
      <c r="A145" s="187"/>
      <c r="B145" s="44"/>
      <c r="C145" s="73" t="s">
        <v>474</v>
      </c>
      <c r="D145" s="74">
        <f t="shared" ref="D145:F145" si="28">QUARTILE(D10:D138,0)</f>
        <v>0</v>
      </c>
      <c r="E145" s="74">
        <f t="shared" si="28"/>
        <v>0</v>
      </c>
      <c r="F145" s="74">
        <f t="shared" si="28"/>
        <v>0</v>
      </c>
      <c r="G145" s="76"/>
      <c r="H145" s="74">
        <f>QUARTILE(H10:H138,0)</f>
        <v>10</v>
      </c>
      <c r="I145" s="229"/>
      <c r="J145" s="194"/>
      <c r="K145" s="74">
        <f>QUARTILE(K10:K138,0)</f>
        <v>10</v>
      </c>
      <c r="L145" s="229"/>
      <c r="M145" s="194">
        <f t="shared" ref="M145:N145" si="29">QUARTILE(M10:M138,0)</f>
        <v>0</v>
      </c>
      <c r="N145" s="74">
        <f t="shared" si="29"/>
        <v>10</v>
      </c>
      <c r="O145" s="229"/>
      <c r="P145" s="194">
        <f t="shared" ref="P145:Q145" si="30">QUARTILE(P10:P138,0)</f>
        <v>0</v>
      </c>
      <c r="Q145" s="74">
        <f t="shared" si="30"/>
        <v>10</v>
      </c>
      <c r="R145" s="229"/>
      <c r="S145" s="194">
        <f t="shared" ref="S145:T145" si="31">QUARTILE(S10:S138,0)</f>
        <v>0</v>
      </c>
      <c r="T145" s="74">
        <f t="shared" si="31"/>
        <v>10</v>
      </c>
      <c r="U145" s="229"/>
      <c r="V145" s="194">
        <f>QUARTILE(V10:V138,0)</f>
        <v>0</v>
      </c>
      <c r="W145" s="2"/>
      <c r="AC145" s="80"/>
    </row>
    <row r="146" spans="1:29">
      <c r="A146" s="187"/>
      <c r="B146" s="44"/>
      <c r="C146" s="73" t="s">
        <v>475</v>
      </c>
      <c r="D146" s="74">
        <f t="shared" ref="D146:F146" si="32">QUARTILE(D10:D138,1)</f>
        <v>10</v>
      </c>
      <c r="E146" s="74">
        <f t="shared" si="32"/>
        <v>10</v>
      </c>
      <c r="F146" s="74">
        <f t="shared" si="32"/>
        <v>10</v>
      </c>
      <c r="G146" s="76"/>
      <c r="H146" s="74">
        <f>QUARTILE(H10:H138,1)</f>
        <v>20</v>
      </c>
      <c r="I146" s="229"/>
      <c r="J146" s="194"/>
      <c r="K146" s="74">
        <f>QUARTILE(K10:K138,1)</f>
        <v>20</v>
      </c>
      <c r="L146" s="229"/>
      <c r="M146" s="194">
        <f t="shared" ref="M146:N146" si="33">QUARTILE(M10:M138,1)</f>
        <v>2.5</v>
      </c>
      <c r="N146" s="74">
        <f t="shared" si="33"/>
        <v>10</v>
      </c>
      <c r="O146" s="229"/>
      <c r="P146" s="194">
        <f t="shared" ref="P146:Q146" si="34">QUARTILE(P10:P138,1)</f>
        <v>5</v>
      </c>
      <c r="Q146" s="74">
        <f t="shared" si="34"/>
        <v>25</v>
      </c>
      <c r="R146" s="229"/>
      <c r="S146" s="194">
        <f t="shared" ref="S146:T146" si="35">QUARTILE(S10:S138,1)</f>
        <v>5</v>
      </c>
      <c r="T146" s="74">
        <f t="shared" si="35"/>
        <v>20</v>
      </c>
      <c r="U146" s="229"/>
      <c r="V146" s="194">
        <f>QUARTILE(V10:V138,1)</f>
        <v>5</v>
      </c>
      <c r="W146" s="2"/>
      <c r="AC146" s="80"/>
    </row>
    <row r="147" spans="1:29">
      <c r="A147" s="187"/>
      <c r="B147" s="44"/>
      <c r="C147" s="73" t="s">
        <v>476</v>
      </c>
      <c r="D147" s="74">
        <f t="shared" ref="D147:F147" si="36">QUARTILE(D10:D138,2)</f>
        <v>20</v>
      </c>
      <c r="E147" s="74">
        <f t="shared" si="36"/>
        <v>22</v>
      </c>
      <c r="F147" s="74">
        <f t="shared" si="36"/>
        <v>22.5</v>
      </c>
      <c r="G147" s="76"/>
      <c r="H147" s="74">
        <f>QUARTILE(H10:H138,2)</f>
        <v>20</v>
      </c>
      <c r="I147" s="229"/>
      <c r="J147" s="194"/>
      <c r="K147" s="74">
        <f>QUARTILE(K10:K138,2)</f>
        <v>30</v>
      </c>
      <c r="L147" s="229"/>
      <c r="M147" s="194">
        <f t="shared" ref="M147:N147" si="37">QUARTILE(M10:M138,2)</f>
        <v>10</v>
      </c>
      <c r="N147" s="74">
        <f t="shared" si="37"/>
        <v>20</v>
      </c>
      <c r="O147" s="229"/>
      <c r="P147" s="194">
        <f t="shared" ref="P147:Q147" si="38">QUARTILE(P10:P138,2)</f>
        <v>10</v>
      </c>
      <c r="Q147" s="74">
        <f t="shared" si="38"/>
        <v>25</v>
      </c>
      <c r="R147" s="229"/>
      <c r="S147" s="194">
        <f t="shared" ref="S147:T147" si="39">QUARTILE(S10:S138,2)</f>
        <v>7.5</v>
      </c>
      <c r="T147" s="74">
        <f t="shared" si="39"/>
        <v>20</v>
      </c>
      <c r="U147" s="229"/>
      <c r="V147" s="194">
        <f>QUARTILE(V10:V138,2)</f>
        <v>10</v>
      </c>
      <c r="W147" s="2"/>
      <c r="AC147" s="80"/>
    </row>
    <row r="148" spans="1:29">
      <c r="A148" s="187"/>
      <c r="B148" s="44"/>
      <c r="C148" s="73" t="s">
        <v>477</v>
      </c>
      <c r="D148" s="74">
        <f t="shared" ref="D148:F148" si="40">QUARTILE(D10:D138,3)</f>
        <v>30</v>
      </c>
      <c r="E148" s="74">
        <f t="shared" si="40"/>
        <v>35</v>
      </c>
      <c r="F148" s="74">
        <f t="shared" si="40"/>
        <v>32.5</v>
      </c>
      <c r="G148" s="76"/>
      <c r="H148" s="74">
        <f>QUARTILE(H10:H138,3)</f>
        <v>30</v>
      </c>
      <c r="I148" s="229"/>
      <c r="J148" s="194"/>
      <c r="K148" s="74">
        <f>QUARTILE(K10:K138,3)</f>
        <v>35</v>
      </c>
      <c r="L148" s="229"/>
      <c r="M148" s="194">
        <f t="shared" ref="M148:N148" si="41">QUARTILE(M10:M138,3)</f>
        <v>15</v>
      </c>
      <c r="N148" s="74">
        <f t="shared" si="41"/>
        <v>35</v>
      </c>
      <c r="O148" s="229"/>
      <c r="P148" s="194">
        <f t="shared" ref="P148:Q148" si="42">QUARTILE(P10:P138,3)</f>
        <v>15</v>
      </c>
      <c r="Q148" s="74">
        <f t="shared" si="42"/>
        <v>30</v>
      </c>
      <c r="R148" s="229"/>
      <c r="S148" s="194">
        <f t="shared" ref="S148:T148" si="43">QUARTILE(S10:S138,3)</f>
        <v>12.5</v>
      </c>
      <c r="T148" s="74">
        <f t="shared" si="43"/>
        <v>20</v>
      </c>
      <c r="U148" s="229"/>
      <c r="V148" s="194">
        <f>QUARTILE(V10:V138,3)</f>
        <v>15</v>
      </c>
      <c r="W148" s="2"/>
      <c r="AC148" s="80"/>
    </row>
    <row r="149" spans="1:29">
      <c r="A149" s="187"/>
      <c r="B149" s="44"/>
      <c r="C149" s="73" t="s">
        <v>478</v>
      </c>
      <c r="D149" s="83">
        <f t="shared" ref="D149:F149" si="44">QUARTILE(D10:D138,4)</f>
        <v>40</v>
      </c>
      <c r="E149" s="83">
        <f t="shared" si="44"/>
        <v>40</v>
      </c>
      <c r="F149" s="83">
        <f t="shared" si="44"/>
        <v>40</v>
      </c>
      <c r="G149" s="85"/>
      <c r="H149" s="83">
        <f>QUARTILE(H10:H138,4)</f>
        <v>40</v>
      </c>
      <c r="I149" s="230"/>
      <c r="J149" s="195"/>
      <c r="K149" s="83">
        <f>QUARTILE(K10:K138,4)</f>
        <v>40</v>
      </c>
      <c r="L149" s="230"/>
      <c r="M149" s="195">
        <f t="shared" ref="M149:N149" si="45">QUARTILE(M10:M138,4)</f>
        <v>30</v>
      </c>
      <c r="N149" s="83">
        <f t="shared" si="45"/>
        <v>40</v>
      </c>
      <c r="O149" s="230"/>
      <c r="P149" s="195">
        <f t="shared" ref="P149:Q149" si="46">QUARTILE(P10:P138,4)</f>
        <v>31.5</v>
      </c>
      <c r="Q149" s="83">
        <f t="shared" si="46"/>
        <v>35</v>
      </c>
      <c r="R149" s="230"/>
      <c r="S149" s="195">
        <f t="shared" ref="S149:T149" si="47">QUARTILE(S10:S138,4)</f>
        <v>25</v>
      </c>
      <c r="T149" s="83">
        <f t="shared" si="47"/>
        <v>40</v>
      </c>
      <c r="U149" s="230"/>
      <c r="V149" s="195">
        <f>QUARTILE(V10:V138,4)</f>
        <v>20</v>
      </c>
      <c r="W149" s="2"/>
      <c r="AC149" s="80"/>
    </row>
    <row r="150" spans="1:29">
      <c r="A150" s="52" t="s">
        <v>479</v>
      </c>
      <c r="B150" s="53"/>
      <c r="C150" s="87" t="s">
        <v>480</v>
      </c>
      <c r="D150" s="54" t="s">
        <v>462</v>
      </c>
      <c r="E150" s="54" t="s">
        <v>463</v>
      </c>
      <c r="F150" s="197" t="s">
        <v>464</v>
      </c>
      <c r="G150" s="160"/>
      <c r="H150" s="174" t="s">
        <v>465</v>
      </c>
      <c r="I150" s="231"/>
      <c r="J150" s="199"/>
      <c r="K150" s="177" t="s">
        <v>447</v>
      </c>
      <c r="L150" s="231"/>
      <c r="M150" s="199"/>
      <c r="N150" s="177" t="s">
        <v>449</v>
      </c>
      <c r="O150" s="231"/>
      <c r="P150" s="199"/>
      <c r="Q150" s="177" t="s">
        <v>451</v>
      </c>
      <c r="R150" s="232"/>
      <c r="S150" s="173"/>
      <c r="T150" s="179" t="s">
        <v>453</v>
      </c>
      <c r="U150" s="232"/>
      <c r="V150" s="173"/>
      <c r="W150" s="63"/>
      <c r="X150" s="64"/>
      <c r="Y150" s="64"/>
      <c r="Z150" s="64"/>
      <c r="AA150" s="64"/>
      <c r="AB150" s="64"/>
      <c r="AC150" s="65"/>
    </row>
    <row r="151" spans="1:29">
      <c r="A151" s="200" t="s">
        <v>481</v>
      </c>
      <c r="B151" s="44"/>
      <c r="C151" s="201" t="s">
        <v>462</v>
      </c>
      <c r="D151" s="93" t="s">
        <v>60</v>
      </c>
      <c r="E151" s="101">
        <f>PEARSON(E10:E138,D10:D138)</f>
        <v>0.90573275593091251</v>
      </c>
      <c r="F151" s="94">
        <f>PEARSON(F10:F138,D10:D138)</f>
        <v>0.97541614861784154</v>
      </c>
      <c r="G151" s="202"/>
      <c r="H151" s="190">
        <f>PEARSON(H10:H138,D10:D138)</f>
        <v>0.51164076371964384</v>
      </c>
      <c r="I151" s="233"/>
      <c r="J151" s="189"/>
      <c r="K151" s="190">
        <f>PEARSON(K10:K138,D10:D138)</f>
        <v>0.51384483044835538</v>
      </c>
      <c r="L151" s="233"/>
      <c r="M151" s="189"/>
      <c r="N151" s="190">
        <f>PEARSON(N10:N138,D10:D138)</f>
        <v>0.33580574535810626</v>
      </c>
      <c r="O151" s="233"/>
      <c r="P151" s="189"/>
      <c r="Q151" s="190">
        <f>PEARSON(Q10:Q138,D10:D138)</f>
        <v>0.61775634561752901</v>
      </c>
      <c r="R151" s="19"/>
      <c r="S151" s="162"/>
      <c r="T151" s="188">
        <f>PEARSON(T10:T138,D10:D138)</f>
        <v>0.39646580652699626</v>
      </c>
      <c r="U151" s="233"/>
      <c r="V151" s="189"/>
      <c r="W151" s="2"/>
      <c r="AC151" s="80"/>
    </row>
    <row r="152" spans="1:29">
      <c r="A152" s="200" t="s">
        <v>482</v>
      </c>
      <c r="B152" s="44"/>
      <c r="C152" s="203" t="s">
        <v>463</v>
      </c>
      <c r="D152" s="204">
        <f>PEARSON(D10:D138,E10:E138)</f>
        <v>0.90573275593091251</v>
      </c>
      <c r="E152" s="100" t="s">
        <v>60</v>
      </c>
      <c r="F152" s="101">
        <f>PEARSON(F10:F138,E10:E138)</f>
        <v>0.97687039737909598</v>
      </c>
      <c r="G152" s="189"/>
      <c r="H152" s="190">
        <f>PEARSON(H10:H138,E10:E138)</f>
        <v>0.50867153291074074</v>
      </c>
      <c r="I152" s="233"/>
      <c r="J152" s="189"/>
      <c r="K152" s="190">
        <f>PEARSON(K10:K138,E10:E138)</f>
        <v>0.55269777320970725</v>
      </c>
      <c r="L152" s="233"/>
      <c r="M152" s="189"/>
      <c r="N152" s="190">
        <f>PEARSON(N10:N138,E10:E138)</f>
        <v>0.38077051789673061</v>
      </c>
      <c r="O152" s="233"/>
      <c r="P152" s="189"/>
      <c r="Q152" s="190">
        <f>PEARSON(Q10:Q138,E10:E138)</f>
        <v>0.60568093425615521</v>
      </c>
      <c r="R152" s="19"/>
      <c r="S152" s="162"/>
      <c r="T152" s="188">
        <f>PEARSON(T10:T138,E10:E138)</f>
        <v>0.37152182939880346</v>
      </c>
      <c r="U152" s="233"/>
      <c r="V152" s="189"/>
      <c r="W152" s="2"/>
      <c r="AC152" s="80"/>
    </row>
    <row r="153" spans="1:29">
      <c r="A153" s="205" t="s">
        <v>483</v>
      </c>
      <c r="B153" s="44"/>
      <c r="C153" s="203" t="s">
        <v>464</v>
      </c>
      <c r="D153" s="206">
        <f>PEARSON(D10:D138,F10:F138)</f>
        <v>0.97541614861784154</v>
      </c>
      <c r="E153" s="207">
        <f>PEARSON(E10:E138,F10:F138)</f>
        <v>0.97687039737909598</v>
      </c>
      <c r="F153" s="100" t="s">
        <v>60</v>
      </c>
      <c r="G153" s="189"/>
      <c r="H153" s="208">
        <f>PEARSON(H10:H138,F10:F138)</f>
        <v>0.52259548704754655</v>
      </c>
      <c r="I153" s="233"/>
      <c r="J153" s="189"/>
      <c r="K153" s="208">
        <f>PEARSON(K10:K138,F10:F138)</f>
        <v>0.54659789687722815</v>
      </c>
      <c r="L153" s="233"/>
      <c r="M153" s="189"/>
      <c r="N153" s="208">
        <f>PEARSON(N10:N138,F10:F138)</f>
        <v>0.36738733047490851</v>
      </c>
      <c r="O153" s="233"/>
      <c r="P153" s="189"/>
      <c r="Q153" s="208">
        <f>PEARSON(Q10:Q138,F10:F138)</f>
        <v>0.62656873659850221</v>
      </c>
      <c r="R153" s="19"/>
      <c r="S153" s="162"/>
      <c r="T153" s="209">
        <f>PEARSON(T10:T138,F10:F138)</f>
        <v>0.39318172605290658</v>
      </c>
      <c r="U153" s="233"/>
      <c r="V153" s="189"/>
      <c r="W153" s="2"/>
      <c r="AC153" s="80"/>
    </row>
    <row r="154" spans="1:29">
      <c r="A154" s="210"/>
      <c r="B154" s="44"/>
      <c r="C154" s="211" t="s">
        <v>465</v>
      </c>
      <c r="D154" s="204">
        <f>PEARSON(D10:D138,H10:H138)</f>
        <v>0.51164076371964384</v>
      </c>
      <c r="E154" s="212">
        <f>PEARSON(E10:E138,H10:H138)</f>
        <v>0.50867153291074074</v>
      </c>
      <c r="F154" s="101">
        <f>PEARSON(F10:F138,H10:H138)</f>
        <v>0.52259548704754655</v>
      </c>
      <c r="G154" s="189"/>
      <c r="H154" s="111" t="s">
        <v>60</v>
      </c>
      <c r="I154" s="233"/>
      <c r="J154" s="189"/>
      <c r="K154" s="190">
        <f>PEARSON(K10:K138,H10:H138)</f>
        <v>0.59210742513981729</v>
      </c>
      <c r="L154" s="233"/>
      <c r="M154" s="189"/>
      <c r="N154" s="190">
        <f>PEARSON(N10:N138,H10:H138)</f>
        <v>0.47910299756408048</v>
      </c>
      <c r="O154" s="233"/>
      <c r="P154" s="189"/>
      <c r="Q154" s="190">
        <f>PEARSON(Q10:Q138,H10:H138)</f>
        <v>0.59249824459188782</v>
      </c>
      <c r="R154" s="19"/>
      <c r="S154" s="162"/>
      <c r="T154" s="188">
        <f>PEARSON(T10:T138,H10:H138)</f>
        <v>0.43706913621414495</v>
      </c>
      <c r="U154" s="233"/>
      <c r="V154" s="189"/>
      <c r="W154" s="2"/>
      <c r="AC154" s="80"/>
    </row>
    <row r="155" spans="1:29">
      <c r="A155" s="213"/>
      <c r="B155" s="44"/>
      <c r="C155" s="211" t="s">
        <v>484</v>
      </c>
      <c r="D155" s="204">
        <f>PEARSON(D10:D138,K10:K138)</f>
        <v>0.51384483044835538</v>
      </c>
      <c r="E155" s="212">
        <f>PEARSON(E10:E138,K10:K138)</f>
        <v>0.55269777320970725</v>
      </c>
      <c r="F155" s="101">
        <f>PEARSON(F10:F138,K10:K138)</f>
        <v>0.54659789687722815</v>
      </c>
      <c r="G155" s="189"/>
      <c r="H155" s="190">
        <f>PEARSON(H10:H138,K10:K138)</f>
        <v>0.59210742513981729</v>
      </c>
      <c r="I155" s="233"/>
      <c r="J155" s="189"/>
      <c r="K155" s="111" t="s">
        <v>60</v>
      </c>
      <c r="L155" s="233"/>
      <c r="M155" s="189"/>
      <c r="N155" s="190">
        <f>PEARSON(N10:N138,K10:K138)</f>
        <v>0.49235095783332022</v>
      </c>
      <c r="O155" s="233"/>
      <c r="P155" s="189"/>
      <c r="Q155" s="190">
        <f>PEARSON(Q10:Q138,H10:H138)</f>
        <v>0.59249824459188782</v>
      </c>
      <c r="R155" s="19"/>
      <c r="S155" s="162"/>
      <c r="T155" s="188">
        <f>PEARSON(T10:T138,K10:K138)</f>
        <v>0.49497576337878396</v>
      </c>
      <c r="U155" s="233"/>
      <c r="V155" s="189"/>
      <c r="W155" s="2"/>
      <c r="AC155" s="80"/>
    </row>
    <row r="156" spans="1:29">
      <c r="A156" s="44"/>
      <c r="B156" s="44"/>
      <c r="C156" s="211" t="s">
        <v>449</v>
      </c>
      <c r="D156" s="204">
        <f>PEARSON(D10:D138,N10:N138)</f>
        <v>0.33580574535810626</v>
      </c>
      <c r="E156" s="212">
        <f>PEARSON(E10:E138,N10:N138)</f>
        <v>0.38077051789673061</v>
      </c>
      <c r="F156" s="101">
        <f>PEARSON(F10:F138,N10:N138)</f>
        <v>0.36738733047490851</v>
      </c>
      <c r="G156" s="189"/>
      <c r="H156" s="190">
        <f>PEARSON(H10:H138,N10:N138)</f>
        <v>0.47910299756408048</v>
      </c>
      <c r="I156" s="233"/>
      <c r="J156" s="189"/>
      <c r="K156" s="190">
        <f>PEARSON(K10:K138,N10:N138)</f>
        <v>0.49235095783332022</v>
      </c>
      <c r="L156" s="233"/>
      <c r="M156" s="189"/>
      <c r="N156" s="111" t="s">
        <v>60</v>
      </c>
      <c r="O156" s="233"/>
      <c r="P156" s="189"/>
      <c r="Q156" s="190">
        <f>PEARSON(Q10:Q138,K10:K138)</f>
        <v>0.68224837633773261</v>
      </c>
      <c r="R156" s="19"/>
      <c r="S156" s="162"/>
      <c r="T156" s="188">
        <f>PEARSON(T10:T138,N10:N138)</f>
        <v>0.43048047176045395</v>
      </c>
      <c r="U156" s="233"/>
      <c r="V156" s="189"/>
      <c r="W156" s="2"/>
      <c r="AC156" s="80"/>
    </row>
    <row r="157" spans="1:29">
      <c r="A157" s="44"/>
      <c r="B157" s="44"/>
      <c r="C157" s="211" t="s">
        <v>485</v>
      </c>
      <c r="D157" s="204">
        <f>PEARSON(D10:D138,Q10:Q138)</f>
        <v>0.61775634561752901</v>
      </c>
      <c r="E157" s="212">
        <f>PEARSON(E10:E138,Q10:Q138)</f>
        <v>0.60568093425615521</v>
      </c>
      <c r="F157" s="101">
        <f>PEARSON(F10:F138,Q10:Q138)</f>
        <v>0.62656873659850221</v>
      </c>
      <c r="G157" s="189"/>
      <c r="H157" s="190">
        <f>PEARSON(H10:H138,Q10:Q138)</f>
        <v>0.59249824459188782</v>
      </c>
      <c r="I157" s="233"/>
      <c r="J157" s="189"/>
      <c r="K157" s="190">
        <f>PEARSON(K10:K138,Q10:Q138)</f>
        <v>0.68224837633773261</v>
      </c>
      <c r="L157" s="233"/>
      <c r="M157" s="189"/>
      <c r="N157" s="190">
        <f>PEARSON(N10:N138,Q10:Q138)</f>
        <v>0.55242453948108339</v>
      </c>
      <c r="O157" s="233"/>
      <c r="P157" s="189"/>
      <c r="Q157" s="111" t="s">
        <v>60</v>
      </c>
      <c r="R157" s="19"/>
      <c r="S157" s="162"/>
      <c r="T157" s="188">
        <f>PEARSON(T10:T138,Q10:Q138)</f>
        <v>0.43666030085218455</v>
      </c>
      <c r="U157" s="233"/>
      <c r="V157" s="189"/>
      <c r="W157" s="2"/>
      <c r="AC157" s="80"/>
    </row>
    <row r="158" spans="1:29">
      <c r="A158" s="214"/>
      <c r="B158" s="114"/>
      <c r="C158" s="215" t="s">
        <v>453</v>
      </c>
      <c r="D158" s="216">
        <f>PEARSON(D10:D138,T10:T138)</f>
        <v>0.39646580652699626</v>
      </c>
      <c r="E158" s="217">
        <f>PEARSON(E10:E138,T10:T138)</f>
        <v>0.37152182939880346</v>
      </c>
      <c r="F158" s="218">
        <f>PEARSON(F10:F138,T10:T138)</f>
        <v>0.39318172605290658</v>
      </c>
      <c r="G158" s="219"/>
      <c r="H158" s="121">
        <f>PEARSON(H10:H138,T10:T138)</f>
        <v>0.43706913621414495</v>
      </c>
      <c r="I158" s="234"/>
      <c r="J158" s="219"/>
      <c r="K158" s="121">
        <f>PEARSON(K10:K138,T10:T138)</f>
        <v>0.49497576337878396</v>
      </c>
      <c r="L158" s="234"/>
      <c r="M158" s="219"/>
      <c r="N158" s="121">
        <f>PEARSON(N10:N138,T10:T138)</f>
        <v>0.43048047176045395</v>
      </c>
      <c r="O158" s="234"/>
      <c r="P158" s="219"/>
      <c r="Q158" s="121">
        <f>PEARSON(Q10:Q138,T10:T138)</f>
        <v>0.43666030085218455</v>
      </c>
      <c r="R158" s="235"/>
      <c r="S158" s="221"/>
      <c r="T158" s="222" t="s">
        <v>60</v>
      </c>
      <c r="U158" s="234"/>
      <c r="V158" s="219"/>
      <c r="W158" s="122"/>
      <c r="X158" s="125"/>
      <c r="Y158" s="125"/>
      <c r="Z158" s="125"/>
      <c r="AA158" s="125"/>
      <c r="AB158" s="125"/>
      <c r="AC158" s="126"/>
    </row>
    <row r="159" spans="1:29">
      <c r="A159" s="2"/>
      <c r="B159" s="2"/>
      <c r="C159" s="2"/>
      <c r="D159" s="1"/>
      <c r="E159" s="236"/>
      <c r="F159" s="2"/>
      <c r="G159" s="2"/>
      <c r="H159" s="237"/>
      <c r="I159" s="2"/>
      <c r="J159" s="34"/>
      <c r="K159" s="237"/>
      <c r="L159" s="2"/>
      <c r="M159" s="34"/>
      <c r="N159" s="237"/>
      <c r="O159" s="2"/>
      <c r="P159" s="34"/>
      <c r="Q159" s="237"/>
      <c r="R159" s="2"/>
      <c r="S159" s="34"/>
      <c r="T159" s="2"/>
      <c r="U159" s="2"/>
      <c r="V159" s="34"/>
      <c r="W159" s="2"/>
    </row>
    <row r="160" spans="1:29">
      <c r="A160" s="130"/>
      <c r="B160" s="131"/>
      <c r="C160" s="130"/>
      <c r="D160" s="130"/>
      <c r="E160" s="130"/>
      <c r="F160" s="130"/>
      <c r="G160" s="130"/>
      <c r="H160" s="132"/>
      <c r="I160" s="130"/>
      <c r="J160" s="133"/>
      <c r="K160" s="132"/>
      <c r="L160" s="130"/>
      <c r="M160" s="133"/>
      <c r="N160" s="132"/>
      <c r="O160" s="130"/>
      <c r="P160" s="133"/>
      <c r="Q160" s="132"/>
      <c r="R160" s="130"/>
      <c r="S160" s="133"/>
      <c r="T160" s="131"/>
      <c r="U160" s="131"/>
      <c r="V160" s="135"/>
      <c r="W160" s="131"/>
    </row>
    <row r="161" spans="1:23" ht="18">
      <c r="A161" s="28" t="s">
        <v>486</v>
      </c>
      <c r="B161" s="2"/>
      <c r="C161" s="47"/>
      <c r="D161" s="47"/>
      <c r="E161" s="47"/>
      <c r="F161" s="47"/>
      <c r="G161" s="47"/>
      <c r="H161" s="46"/>
      <c r="I161" s="47"/>
      <c r="J161" s="48"/>
      <c r="K161" s="46"/>
      <c r="L161" s="47"/>
      <c r="M161" s="48"/>
      <c r="N161" s="46"/>
      <c r="O161" s="47"/>
      <c r="P161" s="48"/>
      <c r="Q161" s="46"/>
      <c r="R161" s="47"/>
      <c r="S161" s="48"/>
      <c r="T161" s="161"/>
      <c r="U161" s="19"/>
      <c r="V161" s="162"/>
      <c r="W161" s="2"/>
    </row>
    <row r="162" spans="1:23">
      <c r="A162" s="39" t="s">
        <v>456</v>
      </c>
      <c r="B162" s="39" t="s">
        <v>457</v>
      </c>
      <c r="C162" s="39" t="s">
        <v>458</v>
      </c>
      <c r="D162" s="40" t="s">
        <v>15</v>
      </c>
      <c r="E162" s="40" t="s">
        <v>16</v>
      </c>
      <c r="F162" s="40" t="s">
        <v>17</v>
      </c>
      <c r="G162" s="40" t="s">
        <v>487</v>
      </c>
      <c r="H162" s="41" t="s">
        <v>488</v>
      </c>
      <c r="I162" s="47"/>
      <c r="J162" s="48"/>
      <c r="K162" s="41" t="s">
        <v>489</v>
      </c>
      <c r="L162" s="47"/>
      <c r="M162" s="48"/>
      <c r="N162" s="41" t="s">
        <v>490</v>
      </c>
      <c r="O162" s="47"/>
      <c r="P162" s="48"/>
      <c r="Q162" s="41" t="s">
        <v>491</v>
      </c>
      <c r="R162" s="47"/>
      <c r="S162" s="48"/>
      <c r="T162" s="163" t="s">
        <v>492</v>
      </c>
      <c r="U162" s="19"/>
      <c r="V162" s="162"/>
      <c r="W162" s="2"/>
    </row>
    <row r="163" spans="1:23" ht="15" customHeight="1">
      <c r="A163" s="43">
        <v>1</v>
      </c>
      <c r="B163" s="43" t="s">
        <v>19</v>
      </c>
      <c r="C163" s="43" t="s">
        <v>20</v>
      </c>
      <c r="D163" s="43">
        <v>0</v>
      </c>
      <c r="E163" s="43">
        <v>0</v>
      </c>
      <c r="F163" s="44">
        <f t="shared" ref="F163:F198" si="48">SUM(D163:E163)/2</f>
        <v>0</v>
      </c>
      <c r="G163" s="47" t="s">
        <v>755</v>
      </c>
      <c r="H163" s="168">
        <v>20</v>
      </c>
      <c r="I163" s="169">
        <f t="shared" ref="I163:I291" si="49">(H163-F163)^2</f>
        <v>400</v>
      </c>
      <c r="J163" s="170">
        <f t="shared" ref="J163:J291" si="50">ABS(H163-F163)</f>
        <v>20</v>
      </c>
      <c r="K163" s="168">
        <v>25</v>
      </c>
      <c r="L163" s="169">
        <f t="shared" ref="L163:L291" si="51">(K163-F163)^2</f>
        <v>625</v>
      </c>
      <c r="M163" s="170">
        <f t="shared" ref="M163:M291" si="52">ABS(K163-F163)</f>
        <v>25</v>
      </c>
      <c r="N163" s="168">
        <v>10</v>
      </c>
      <c r="O163" s="169">
        <f t="shared" ref="O163:O291" si="53">(N163-F163)^2</f>
        <v>100</v>
      </c>
      <c r="P163" s="170">
        <f t="shared" ref="P163:P291" si="54">ABS(N163-F163)</f>
        <v>10</v>
      </c>
      <c r="Q163" s="168">
        <v>25</v>
      </c>
      <c r="R163" s="169">
        <f t="shared" ref="R163:R291" si="55">(Q163-F163)^2</f>
        <v>625</v>
      </c>
      <c r="S163" s="170">
        <f t="shared" ref="S163:S291" si="56">ABS(Q163-F163)</f>
        <v>25</v>
      </c>
      <c r="T163" s="171">
        <v>20</v>
      </c>
      <c r="U163" s="169">
        <f t="shared" ref="U163:U291" si="57">(T163-F163)^2</f>
        <v>400</v>
      </c>
      <c r="V163" s="170">
        <f t="shared" ref="V163:V291" si="58">ABS(T163-F163)</f>
        <v>20</v>
      </c>
      <c r="W163" s="2"/>
    </row>
    <row r="164" spans="1:23" ht="15" customHeight="1">
      <c r="A164" s="49">
        <v>2</v>
      </c>
      <c r="B164" s="49" t="s">
        <v>19</v>
      </c>
      <c r="C164" s="49" t="s">
        <v>23</v>
      </c>
      <c r="D164" s="49">
        <v>20</v>
      </c>
      <c r="E164" s="49">
        <v>0</v>
      </c>
      <c r="F164" s="50">
        <f t="shared" si="48"/>
        <v>10</v>
      </c>
      <c r="G164" s="47" t="s">
        <v>756</v>
      </c>
      <c r="H164" s="168">
        <v>20</v>
      </c>
      <c r="I164" s="169">
        <f t="shared" si="49"/>
        <v>100</v>
      </c>
      <c r="J164" s="170">
        <f t="shared" si="50"/>
        <v>10</v>
      </c>
      <c r="K164" s="168">
        <v>10</v>
      </c>
      <c r="L164" s="169">
        <f t="shared" si="51"/>
        <v>0</v>
      </c>
      <c r="M164" s="170">
        <f t="shared" si="52"/>
        <v>0</v>
      </c>
      <c r="N164" s="168">
        <v>30</v>
      </c>
      <c r="O164" s="169">
        <f t="shared" si="53"/>
        <v>400</v>
      </c>
      <c r="P164" s="170">
        <f t="shared" si="54"/>
        <v>20</v>
      </c>
      <c r="Q164" s="168">
        <v>25</v>
      </c>
      <c r="R164" s="169">
        <f t="shared" si="55"/>
        <v>225</v>
      </c>
      <c r="S164" s="170">
        <f t="shared" si="56"/>
        <v>15</v>
      </c>
      <c r="T164" s="171">
        <v>20</v>
      </c>
      <c r="U164" s="169">
        <f t="shared" si="57"/>
        <v>100</v>
      </c>
      <c r="V164" s="170">
        <f t="shared" si="58"/>
        <v>10</v>
      </c>
      <c r="W164" s="2"/>
    </row>
    <row r="165" spans="1:23" ht="15" customHeight="1">
      <c r="A165" s="49">
        <v>3</v>
      </c>
      <c r="B165" s="49" t="s">
        <v>19</v>
      </c>
      <c r="C165" s="49" t="s">
        <v>26</v>
      </c>
      <c r="D165" s="49">
        <v>20</v>
      </c>
      <c r="E165" s="49">
        <v>15</v>
      </c>
      <c r="F165" s="50">
        <f t="shared" si="48"/>
        <v>17.5</v>
      </c>
      <c r="G165" s="47" t="s">
        <v>757</v>
      </c>
      <c r="H165" s="168">
        <v>20</v>
      </c>
      <c r="I165" s="169">
        <f t="shared" si="49"/>
        <v>6.25</v>
      </c>
      <c r="J165" s="170">
        <f t="shared" si="50"/>
        <v>2.5</v>
      </c>
      <c r="K165" s="168">
        <v>20</v>
      </c>
      <c r="L165" s="169">
        <f t="shared" si="51"/>
        <v>6.25</v>
      </c>
      <c r="M165" s="170">
        <f t="shared" si="52"/>
        <v>2.5</v>
      </c>
      <c r="N165" s="168">
        <v>20</v>
      </c>
      <c r="O165" s="169">
        <f t="shared" si="53"/>
        <v>6.25</v>
      </c>
      <c r="P165" s="170">
        <f t="shared" si="54"/>
        <v>2.5</v>
      </c>
      <c r="Q165" s="168">
        <v>15</v>
      </c>
      <c r="R165" s="169">
        <f t="shared" si="55"/>
        <v>6.25</v>
      </c>
      <c r="S165" s="170">
        <f t="shared" si="56"/>
        <v>2.5</v>
      </c>
      <c r="T165" s="171">
        <v>20</v>
      </c>
      <c r="U165" s="169">
        <f t="shared" si="57"/>
        <v>6.25</v>
      </c>
      <c r="V165" s="170">
        <f t="shared" si="58"/>
        <v>2.5</v>
      </c>
      <c r="W165" s="2"/>
    </row>
    <row r="166" spans="1:23" ht="15" customHeight="1">
      <c r="A166" s="51">
        <v>4</v>
      </c>
      <c r="B166" s="49" t="s">
        <v>19</v>
      </c>
      <c r="C166" s="50" t="s">
        <v>29</v>
      </c>
      <c r="D166" s="49">
        <v>40</v>
      </c>
      <c r="E166" s="49">
        <v>30</v>
      </c>
      <c r="F166" s="50">
        <f t="shared" si="48"/>
        <v>35</v>
      </c>
      <c r="G166" s="47" t="s">
        <v>758</v>
      </c>
      <c r="H166" s="168">
        <v>30</v>
      </c>
      <c r="I166" s="169">
        <f t="shared" si="49"/>
        <v>25</v>
      </c>
      <c r="J166" s="170">
        <f t="shared" si="50"/>
        <v>5</v>
      </c>
      <c r="K166" s="168">
        <v>40</v>
      </c>
      <c r="L166" s="169">
        <f t="shared" si="51"/>
        <v>25</v>
      </c>
      <c r="M166" s="170">
        <f t="shared" si="52"/>
        <v>5</v>
      </c>
      <c r="N166" s="168">
        <v>40</v>
      </c>
      <c r="O166" s="169">
        <f t="shared" si="53"/>
        <v>25</v>
      </c>
      <c r="P166" s="170">
        <f t="shared" si="54"/>
        <v>5</v>
      </c>
      <c r="Q166" s="168">
        <v>35</v>
      </c>
      <c r="R166" s="169">
        <f t="shared" si="55"/>
        <v>0</v>
      </c>
      <c r="S166" s="170">
        <f t="shared" si="56"/>
        <v>0</v>
      </c>
      <c r="T166" s="171">
        <v>30</v>
      </c>
      <c r="U166" s="169">
        <f t="shared" si="57"/>
        <v>25</v>
      </c>
      <c r="V166" s="170">
        <f t="shared" si="58"/>
        <v>5</v>
      </c>
      <c r="W166" s="2"/>
    </row>
    <row r="167" spans="1:23" ht="15" customHeight="1">
      <c r="A167" s="49">
        <v>5</v>
      </c>
      <c r="B167" s="49" t="s">
        <v>19</v>
      </c>
      <c r="C167" s="49" t="s">
        <v>32</v>
      </c>
      <c r="D167" s="49">
        <v>5</v>
      </c>
      <c r="E167" s="49">
        <v>10</v>
      </c>
      <c r="F167" s="50">
        <f t="shared" si="48"/>
        <v>7.5</v>
      </c>
      <c r="G167" s="47" t="s">
        <v>759</v>
      </c>
      <c r="H167" s="168">
        <v>10</v>
      </c>
      <c r="I167" s="169">
        <f t="shared" si="49"/>
        <v>6.25</v>
      </c>
      <c r="J167" s="170">
        <f t="shared" si="50"/>
        <v>2.5</v>
      </c>
      <c r="K167" s="171">
        <v>25</v>
      </c>
      <c r="L167" s="169">
        <f t="shared" si="51"/>
        <v>306.25</v>
      </c>
      <c r="M167" s="170">
        <f t="shared" si="52"/>
        <v>17.5</v>
      </c>
      <c r="N167" s="171">
        <v>10</v>
      </c>
      <c r="O167" s="169">
        <f t="shared" si="53"/>
        <v>6.25</v>
      </c>
      <c r="P167" s="170">
        <f t="shared" si="54"/>
        <v>2.5</v>
      </c>
      <c r="Q167" s="171">
        <v>15</v>
      </c>
      <c r="R167" s="169">
        <f t="shared" si="55"/>
        <v>56.25</v>
      </c>
      <c r="S167" s="170">
        <f t="shared" si="56"/>
        <v>7.5</v>
      </c>
      <c r="T167" s="171">
        <v>20</v>
      </c>
      <c r="U167" s="169">
        <f t="shared" si="57"/>
        <v>156.25</v>
      </c>
      <c r="V167" s="170">
        <f t="shared" si="58"/>
        <v>12.5</v>
      </c>
      <c r="W167" s="2"/>
    </row>
    <row r="168" spans="1:23" ht="15" customHeight="1">
      <c r="A168" s="49">
        <v>6</v>
      </c>
      <c r="B168" s="50" t="s">
        <v>19</v>
      </c>
      <c r="C168" s="50" t="s">
        <v>35</v>
      </c>
      <c r="D168" s="49">
        <v>5</v>
      </c>
      <c r="E168" s="49">
        <v>10</v>
      </c>
      <c r="F168" s="50">
        <f t="shared" si="48"/>
        <v>7.5</v>
      </c>
      <c r="G168" s="47" t="s">
        <v>760</v>
      </c>
      <c r="H168" s="168">
        <v>20</v>
      </c>
      <c r="I168" s="169">
        <f t="shared" si="49"/>
        <v>156.25</v>
      </c>
      <c r="J168" s="170">
        <f t="shared" si="50"/>
        <v>12.5</v>
      </c>
      <c r="K168" s="168">
        <v>20</v>
      </c>
      <c r="L168" s="169">
        <f t="shared" si="51"/>
        <v>156.25</v>
      </c>
      <c r="M168" s="170">
        <f t="shared" si="52"/>
        <v>12.5</v>
      </c>
      <c r="N168" s="168">
        <v>20</v>
      </c>
      <c r="O168" s="169">
        <f t="shared" si="53"/>
        <v>156.25</v>
      </c>
      <c r="P168" s="170">
        <f t="shared" si="54"/>
        <v>12.5</v>
      </c>
      <c r="Q168" s="168">
        <v>25</v>
      </c>
      <c r="R168" s="169">
        <f t="shared" si="55"/>
        <v>306.25</v>
      </c>
      <c r="S168" s="170">
        <f t="shared" si="56"/>
        <v>17.5</v>
      </c>
      <c r="T168" s="171">
        <v>20</v>
      </c>
      <c r="U168" s="169">
        <f t="shared" si="57"/>
        <v>156.25</v>
      </c>
      <c r="V168" s="170">
        <f t="shared" si="58"/>
        <v>12.5</v>
      </c>
      <c r="W168" s="2"/>
    </row>
    <row r="169" spans="1:23" ht="15" customHeight="1">
      <c r="A169" s="43">
        <v>7</v>
      </c>
      <c r="B169" s="49" t="s">
        <v>19</v>
      </c>
      <c r="C169" s="49" t="s">
        <v>37</v>
      </c>
      <c r="D169" s="49">
        <v>15</v>
      </c>
      <c r="E169" s="49">
        <v>15</v>
      </c>
      <c r="F169" s="50">
        <f t="shared" si="48"/>
        <v>15</v>
      </c>
      <c r="G169" s="47" t="s">
        <v>761</v>
      </c>
      <c r="H169" s="168">
        <v>20</v>
      </c>
      <c r="I169" s="169">
        <f t="shared" si="49"/>
        <v>25</v>
      </c>
      <c r="J169" s="170">
        <f t="shared" si="50"/>
        <v>5</v>
      </c>
      <c r="K169" s="168">
        <v>30</v>
      </c>
      <c r="L169" s="169">
        <f t="shared" si="51"/>
        <v>225</v>
      </c>
      <c r="M169" s="170">
        <f t="shared" si="52"/>
        <v>15</v>
      </c>
      <c r="N169" s="168">
        <v>30</v>
      </c>
      <c r="O169" s="169">
        <f t="shared" si="53"/>
        <v>225</v>
      </c>
      <c r="P169" s="170">
        <f t="shared" si="54"/>
        <v>15</v>
      </c>
      <c r="Q169" s="168">
        <v>25</v>
      </c>
      <c r="R169" s="169">
        <f t="shared" si="55"/>
        <v>100</v>
      </c>
      <c r="S169" s="170">
        <f t="shared" si="56"/>
        <v>10</v>
      </c>
      <c r="T169" s="171">
        <v>20</v>
      </c>
      <c r="U169" s="169">
        <f t="shared" si="57"/>
        <v>25</v>
      </c>
      <c r="V169" s="170">
        <f t="shared" si="58"/>
        <v>5</v>
      </c>
      <c r="W169" s="2"/>
    </row>
    <row r="170" spans="1:23" ht="15" customHeight="1">
      <c r="A170" s="49">
        <v>8</v>
      </c>
      <c r="B170" s="49" t="s">
        <v>19</v>
      </c>
      <c r="C170" s="50" t="s">
        <v>40</v>
      </c>
      <c r="D170" s="49">
        <v>25</v>
      </c>
      <c r="E170" s="49">
        <v>10</v>
      </c>
      <c r="F170" s="50">
        <f t="shared" si="48"/>
        <v>17.5</v>
      </c>
      <c r="G170" s="47" t="s">
        <v>762</v>
      </c>
      <c r="H170" s="168">
        <v>20</v>
      </c>
      <c r="I170" s="169">
        <f t="shared" si="49"/>
        <v>6.25</v>
      </c>
      <c r="J170" s="170">
        <f t="shared" si="50"/>
        <v>2.5</v>
      </c>
      <c r="K170" s="168">
        <v>25</v>
      </c>
      <c r="L170" s="169">
        <f t="shared" si="51"/>
        <v>56.25</v>
      </c>
      <c r="M170" s="170">
        <f t="shared" si="52"/>
        <v>7.5</v>
      </c>
      <c r="N170" s="168">
        <v>10</v>
      </c>
      <c r="O170" s="169">
        <f t="shared" si="53"/>
        <v>56.25</v>
      </c>
      <c r="P170" s="170">
        <f t="shared" si="54"/>
        <v>7.5</v>
      </c>
      <c r="Q170" s="168">
        <v>25</v>
      </c>
      <c r="R170" s="169">
        <f t="shared" si="55"/>
        <v>56.25</v>
      </c>
      <c r="S170" s="170">
        <f t="shared" si="56"/>
        <v>7.5</v>
      </c>
      <c r="T170" s="171">
        <v>20</v>
      </c>
      <c r="U170" s="169">
        <f t="shared" si="57"/>
        <v>6.25</v>
      </c>
      <c r="V170" s="170">
        <f t="shared" si="58"/>
        <v>2.5</v>
      </c>
      <c r="W170" s="2"/>
    </row>
    <row r="171" spans="1:23" ht="15" customHeight="1">
      <c r="A171" s="49">
        <v>9</v>
      </c>
      <c r="B171" s="49" t="s">
        <v>19</v>
      </c>
      <c r="C171" s="49" t="s">
        <v>43</v>
      </c>
      <c r="D171" s="49">
        <v>25</v>
      </c>
      <c r="E171" s="49">
        <v>25</v>
      </c>
      <c r="F171" s="50">
        <f t="shared" si="48"/>
        <v>25</v>
      </c>
      <c r="G171" s="47" t="s">
        <v>763</v>
      </c>
      <c r="H171" s="168">
        <v>20</v>
      </c>
      <c r="I171" s="169">
        <f t="shared" si="49"/>
        <v>25</v>
      </c>
      <c r="J171" s="170">
        <f t="shared" si="50"/>
        <v>5</v>
      </c>
      <c r="K171" s="168">
        <v>15</v>
      </c>
      <c r="L171" s="169">
        <f t="shared" si="51"/>
        <v>100</v>
      </c>
      <c r="M171" s="170">
        <f t="shared" si="52"/>
        <v>10</v>
      </c>
      <c r="N171" s="168">
        <v>10</v>
      </c>
      <c r="O171" s="169">
        <f t="shared" si="53"/>
        <v>225</v>
      </c>
      <c r="P171" s="170">
        <f t="shared" si="54"/>
        <v>15</v>
      </c>
      <c r="Q171" s="168">
        <v>25</v>
      </c>
      <c r="R171" s="169">
        <f t="shared" si="55"/>
        <v>0</v>
      </c>
      <c r="S171" s="170">
        <f t="shared" si="56"/>
        <v>0</v>
      </c>
      <c r="T171" s="171">
        <v>10</v>
      </c>
      <c r="U171" s="169">
        <f t="shared" si="57"/>
        <v>225</v>
      </c>
      <c r="V171" s="170">
        <f t="shared" si="58"/>
        <v>15</v>
      </c>
      <c r="W171" s="2"/>
    </row>
    <row r="172" spans="1:23" ht="15" customHeight="1">
      <c r="A172" s="51">
        <v>10</v>
      </c>
      <c r="B172" s="49" t="s">
        <v>19</v>
      </c>
      <c r="C172" s="49" t="s">
        <v>46</v>
      </c>
      <c r="D172" s="49">
        <v>40</v>
      </c>
      <c r="E172" s="49">
        <v>40</v>
      </c>
      <c r="F172" s="50">
        <f t="shared" si="48"/>
        <v>40</v>
      </c>
      <c r="G172" s="47" t="s">
        <v>764</v>
      </c>
      <c r="H172" s="168">
        <v>30</v>
      </c>
      <c r="I172" s="169">
        <f t="shared" si="49"/>
        <v>100</v>
      </c>
      <c r="J172" s="170">
        <f t="shared" si="50"/>
        <v>10</v>
      </c>
      <c r="K172" s="168">
        <v>40</v>
      </c>
      <c r="L172" s="169">
        <f t="shared" si="51"/>
        <v>0</v>
      </c>
      <c r="M172" s="170">
        <f t="shared" si="52"/>
        <v>0</v>
      </c>
      <c r="N172" s="168">
        <v>40</v>
      </c>
      <c r="O172" s="169">
        <f t="shared" si="53"/>
        <v>0</v>
      </c>
      <c r="P172" s="170">
        <f t="shared" si="54"/>
        <v>0</v>
      </c>
      <c r="Q172" s="168">
        <v>35</v>
      </c>
      <c r="R172" s="169">
        <f t="shared" si="55"/>
        <v>25</v>
      </c>
      <c r="S172" s="170">
        <f t="shared" si="56"/>
        <v>5</v>
      </c>
      <c r="T172" s="171">
        <v>35</v>
      </c>
      <c r="U172" s="169">
        <f t="shared" si="57"/>
        <v>25</v>
      </c>
      <c r="V172" s="170">
        <f t="shared" si="58"/>
        <v>5</v>
      </c>
      <c r="W172" s="2"/>
    </row>
    <row r="173" spans="1:23" ht="15" customHeight="1">
      <c r="A173" s="49">
        <v>11</v>
      </c>
      <c r="B173" s="50" t="s">
        <v>19</v>
      </c>
      <c r="C173" s="49" t="s">
        <v>49</v>
      </c>
      <c r="D173" s="49">
        <v>0</v>
      </c>
      <c r="E173" s="49">
        <v>0</v>
      </c>
      <c r="F173" s="50">
        <f t="shared" si="48"/>
        <v>0</v>
      </c>
      <c r="G173" s="47" t="s">
        <v>765</v>
      </c>
      <c r="H173" s="168">
        <v>20</v>
      </c>
      <c r="I173" s="169">
        <f t="shared" si="49"/>
        <v>400</v>
      </c>
      <c r="J173" s="170">
        <f t="shared" si="50"/>
        <v>20</v>
      </c>
      <c r="K173" s="168">
        <v>25</v>
      </c>
      <c r="L173" s="169">
        <f t="shared" si="51"/>
        <v>625</v>
      </c>
      <c r="M173" s="170">
        <f t="shared" si="52"/>
        <v>25</v>
      </c>
      <c r="N173" s="168">
        <v>25</v>
      </c>
      <c r="O173" s="169">
        <f t="shared" si="53"/>
        <v>625</v>
      </c>
      <c r="P173" s="170">
        <f t="shared" si="54"/>
        <v>25</v>
      </c>
      <c r="Q173" s="168">
        <v>25</v>
      </c>
      <c r="R173" s="169">
        <f t="shared" si="55"/>
        <v>625</v>
      </c>
      <c r="S173" s="170">
        <f t="shared" si="56"/>
        <v>25</v>
      </c>
      <c r="T173" s="171">
        <v>20</v>
      </c>
      <c r="U173" s="169">
        <f t="shared" si="57"/>
        <v>400</v>
      </c>
      <c r="V173" s="170">
        <f t="shared" si="58"/>
        <v>20</v>
      </c>
      <c r="W173" s="2"/>
    </row>
    <row r="174" spans="1:23" ht="15" customHeight="1">
      <c r="A174" s="49">
        <v>12</v>
      </c>
      <c r="B174" s="49" t="s">
        <v>19</v>
      </c>
      <c r="C174" s="49" t="s">
        <v>52</v>
      </c>
      <c r="D174" s="49">
        <v>40</v>
      </c>
      <c r="E174" s="49">
        <v>40</v>
      </c>
      <c r="F174" s="50">
        <f t="shared" si="48"/>
        <v>40</v>
      </c>
      <c r="G174" s="47" t="s">
        <v>766</v>
      </c>
      <c r="H174" s="168">
        <v>30</v>
      </c>
      <c r="I174" s="169">
        <f t="shared" si="49"/>
        <v>100</v>
      </c>
      <c r="J174" s="170">
        <f t="shared" si="50"/>
        <v>10</v>
      </c>
      <c r="K174" s="168">
        <v>40</v>
      </c>
      <c r="L174" s="169">
        <f t="shared" si="51"/>
        <v>0</v>
      </c>
      <c r="M174" s="170">
        <f t="shared" si="52"/>
        <v>0</v>
      </c>
      <c r="N174" s="168">
        <v>35</v>
      </c>
      <c r="O174" s="169">
        <f t="shared" si="53"/>
        <v>25</v>
      </c>
      <c r="P174" s="170">
        <f t="shared" si="54"/>
        <v>5</v>
      </c>
      <c r="Q174" s="168">
        <v>30</v>
      </c>
      <c r="R174" s="169">
        <f t="shared" si="55"/>
        <v>100</v>
      </c>
      <c r="S174" s="170">
        <f t="shared" si="56"/>
        <v>10</v>
      </c>
      <c r="T174" s="171">
        <v>40</v>
      </c>
      <c r="U174" s="169">
        <f t="shared" si="57"/>
        <v>0</v>
      </c>
      <c r="V174" s="170">
        <f t="shared" si="58"/>
        <v>0</v>
      </c>
      <c r="W174" s="2"/>
    </row>
    <row r="175" spans="1:23" ht="15" customHeight="1">
      <c r="A175" s="43">
        <v>13</v>
      </c>
      <c r="B175" s="50" t="s">
        <v>19</v>
      </c>
      <c r="C175" s="50" t="s">
        <v>55</v>
      </c>
      <c r="D175" s="49">
        <v>0</v>
      </c>
      <c r="E175" s="49">
        <v>10</v>
      </c>
      <c r="F175" s="50">
        <f t="shared" si="48"/>
        <v>5</v>
      </c>
      <c r="G175" s="47" t="s">
        <v>767</v>
      </c>
      <c r="H175" s="168">
        <v>20</v>
      </c>
      <c r="I175" s="169">
        <f t="shared" si="49"/>
        <v>225</v>
      </c>
      <c r="J175" s="170">
        <f t="shared" si="50"/>
        <v>15</v>
      </c>
      <c r="K175" s="168">
        <v>20</v>
      </c>
      <c r="L175" s="169">
        <f t="shared" si="51"/>
        <v>225</v>
      </c>
      <c r="M175" s="170">
        <f t="shared" si="52"/>
        <v>15</v>
      </c>
      <c r="N175" s="168">
        <v>10</v>
      </c>
      <c r="O175" s="169">
        <f t="shared" si="53"/>
        <v>25</v>
      </c>
      <c r="P175" s="170">
        <f t="shared" si="54"/>
        <v>5</v>
      </c>
      <c r="Q175" s="168">
        <v>10</v>
      </c>
      <c r="R175" s="169">
        <f t="shared" si="55"/>
        <v>25</v>
      </c>
      <c r="S175" s="170">
        <f t="shared" si="56"/>
        <v>5</v>
      </c>
      <c r="T175" s="171">
        <v>20</v>
      </c>
      <c r="U175" s="169">
        <f t="shared" si="57"/>
        <v>225</v>
      </c>
      <c r="V175" s="170">
        <f t="shared" si="58"/>
        <v>15</v>
      </c>
      <c r="W175" s="2"/>
    </row>
    <row r="176" spans="1:23" ht="15" customHeight="1">
      <c r="A176" s="49">
        <v>15</v>
      </c>
      <c r="B176" s="50" t="s">
        <v>19</v>
      </c>
      <c r="C176" s="49" t="s">
        <v>61</v>
      </c>
      <c r="D176" s="49">
        <v>27</v>
      </c>
      <c r="E176" s="49">
        <v>25</v>
      </c>
      <c r="F176" s="50">
        <f t="shared" si="48"/>
        <v>26</v>
      </c>
      <c r="G176" s="47" t="s">
        <v>768</v>
      </c>
      <c r="H176" s="168">
        <v>20</v>
      </c>
      <c r="I176" s="169">
        <f t="shared" si="49"/>
        <v>36</v>
      </c>
      <c r="J176" s="170">
        <f t="shared" si="50"/>
        <v>6</v>
      </c>
      <c r="K176" s="168">
        <v>35</v>
      </c>
      <c r="L176" s="169">
        <f t="shared" si="51"/>
        <v>81</v>
      </c>
      <c r="M176" s="170">
        <f t="shared" si="52"/>
        <v>9</v>
      </c>
      <c r="N176" s="168">
        <v>30</v>
      </c>
      <c r="O176" s="169">
        <f t="shared" si="53"/>
        <v>16</v>
      </c>
      <c r="P176" s="170">
        <f t="shared" si="54"/>
        <v>4</v>
      </c>
      <c r="Q176" s="168">
        <v>25</v>
      </c>
      <c r="R176" s="169">
        <f t="shared" si="55"/>
        <v>1</v>
      </c>
      <c r="S176" s="170">
        <f t="shared" si="56"/>
        <v>1</v>
      </c>
      <c r="T176" s="171">
        <v>20</v>
      </c>
      <c r="U176" s="169">
        <f t="shared" si="57"/>
        <v>36</v>
      </c>
      <c r="V176" s="170">
        <f t="shared" si="58"/>
        <v>6</v>
      </c>
      <c r="W176" s="2"/>
    </row>
    <row r="177" spans="1:23" ht="15" customHeight="1">
      <c r="A177" s="43">
        <v>16</v>
      </c>
      <c r="B177" s="50" t="s">
        <v>19</v>
      </c>
      <c r="C177" s="50" t="s">
        <v>64</v>
      </c>
      <c r="D177" s="49">
        <v>38</v>
      </c>
      <c r="E177" s="49">
        <v>35</v>
      </c>
      <c r="F177" s="50">
        <f t="shared" si="48"/>
        <v>36.5</v>
      </c>
      <c r="G177" s="47" t="s">
        <v>769</v>
      </c>
      <c r="H177" s="168">
        <v>30</v>
      </c>
      <c r="I177" s="169">
        <f t="shared" si="49"/>
        <v>42.25</v>
      </c>
      <c r="J177" s="170">
        <f t="shared" si="50"/>
        <v>6.5</v>
      </c>
      <c r="K177" s="168">
        <v>40</v>
      </c>
      <c r="L177" s="169">
        <f t="shared" si="51"/>
        <v>12.25</v>
      </c>
      <c r="M177" s="170">
        <f t="shared" si="52"/>
        <v>3.5</v>
      </c>
      <c r="N177" s="168">
        <v>40</v>
      </c>
      <c r="O177" s="169">
        <f t="shared" si="53"/>
        <v>12.25</v>
      </c>
      <c r="P177" s="170">
        <f t="shared" si="54"/>
        <v>3.5</v>
      </c>
      <c r="Q177" s="168">
        <v>35</v>
      </c>
      <c r="R177" s="169">
        <f t="shared" si="55"/>
        <v>2.25</v>
      </c>
      <c r="S177" s="170">
        <f t="shared" si="56"/>
        <v>1.5</v>
      </c>
      <c r="T177" s="171">
        <v>40</v>
      </c>
      <c r="U177" s="169">
        <f t="shared" si="57"/>
        <v>12.25</v>
      </c>
      <c r="V177" s="170">
        <f t="shared" si="58"/>
        <v>3.5</v>
      </c>
      <c r="W177" s="2"/>
    </row>
    <row r="178" spans="1:23" ht="15" customHeight="1">
      <c r="A178" s="49">
        <v>17</v>
      </c>
      <c r="B178" s="50" t="s">
        <v>19</v>
      </c>
      <c r="C178" s="50" t="s">
        <v>67</v>
      </c>
      <c r="D178" s="49">
        <v>20</v>
      </c>
      <c r="E178" s="49">
        <v>20</v>
      </c>
      <c r="F178" s="50">
        <f t="shared" si="48"/>
        <v>20</v>
      </c>
      <c r="G178" s="47" t="s">
        <v>770</v>
      </c>
      <c r="H178" s="168">
        <v>30</v>
      </c>
      <c r="I178" s="169">
        <f t="shared" si="49"/>
        <v>100</v>
      </c>
      <c r="J178" s="170">
        <f t="shared" si="50"/>
        <v>10</v>
      </c>
      <c r="K178" s="168">
        <v>30</v>
      </c>
      <c r="L178" s="169">
        <f t="shared" si="51"/>
        <v>100</v>
      </c>
      <c r="M178" s="170">
        <f t="shared" si="52"/>
        <v>10</v>
      </c>
      <c r="N178" s="168">
        <v>30</v>
      </c>
      <c r="O178" s="169">
        <f t="shared" si="53"/>
        <v>100</v>
      </c>
      <c r="P178" s="170">
        <f t="shared" si="54"/>
        <v>10</v>
      </c>
      <c r="Q178" s="168">
        <v>30</v>
      </c>
      <c r="R178" s="169">
        <f t="shared" si="55"/>
        <v>100</v>
      </c>
      <c r="S178" s="170">
        <f t="shared" si="56"/>
        <v>10</v>
      </c>
      <c r="T178" s="171">
        <v>40</v>
      </c>
      <c r="U178" s="169">
        <f t="shared" si="57"/>
        <v>400</v>
      </c>
      <c r="V178" s="170">
        <f t="shared" si="58"/>
        <v>20</v>
      </c>
      <c r="W178" s="2"/>
    </row>
    <row r="179" spans="1:23" ht="15" customHeight="1">
      <c r="A179" s="49">
        <v>18</v>
      </c>
      <c r="B179" s="50" t="s">
        <v>19</v>
      </c>
      <c r="C179" s="49" t="s">
        <v>70</v>
      </c>
      <c r="D179" s="49">
        <v>10</v>
      </c>
      <c r="E179" s="49">
        <v>15</v>
      </c>
      <c r="F179" s="50">
        <f t="shared" si="48"/>
        <v>12.5</v>
      </c>
      <c r="G179" s="47" t="s">
        <v>771</v>
      </c>
      <c r="H179" s="168">
        <v>20</v>
      </c>
      <c r="I179" s="169">
        <f t="shared" si="49"/>
        <v>56.25</v>
      </c>
      <c r="J179" s="170">
        <f t="shared" si="50"/>
        <v>7.5</v>
      </c>
      <c r="K179" s="168">
        <v>25</v>
      </c>
      <c r="L179" s="169">
        <f t="shared" si="51"/>
        <v>156.25</v>
      </c>
      <c r="M179" s="170">
        <f t="shared" si="52"/>
        <v>12.5</v>
      </c>
      <c r="N179" s="168">
        <v>25</v>
      </c>
      <c r="O179" s="169">
        <f t="shared" si="53"/>
        <v>156.25</v>
      </c>
      <c r="P179" s="170">
        <f t="shared" si="54"/>
        <v>12.5</v>
      </c>
      <c r="Q179" s="168">
        <v>25</v>
      </c>
      <c r="R179" s="169">
        <f t="shared" si="55"/>
        <v>156.25</v>
      </c>
      <c r="S179" s="170">
        <f t="shared" si="56"/>
        <v>12.5</v>
      </c>
      <c r="T179" s="171">
        <v>20</v>
      </c>
      <c r="U179" s="169">
        <f t="shared" si="57"/>
        <v>56.25</v>
      </c>
      <c r="V179" s="170">
        <f t="shared" si="58"/>
        <v>7.5</v>
      </c>
      <c r="W179" s="2"/>
    </row>
    <row r="180" spans="1:23" ht="15" customHeight="1">
      <c r="A180" s="51">
        <v>19</v>
      </c>
      <c r="B180" s="50" t="s">
        <v>19</v>
      </c>
      <c r="C180" s="50" t="s">
        <v>73</v>
      </c>
      <c r="D180" s="49">
        <v>20</v>
      </c>
      <c r="E180" s="49">
        <v>0</v>
      </c>
      <c r="F180" s="50">
        <f t="shared" si="48"/>
        <v>10</v>
      </c>
      <c r="G180" s="47" t="s">
        <v>772</v>
      </c>
      <c r="H180" s="168">
        <v>20</v>
      </c>
      <c r="I180" s="169">
        <f t="shared" si="49"/>
        <v>100</v>
      </c>
      <c r="J180" s="170">
        <f t="shared" si="50"/>
        <v>10</v>
      </c>
      <c r="K180" s="168">
        <v>20</v>
      </c>
      <c r="L180" s="169">
        <f t="shared" si="51"/>
        <v>100</v>
      </c>
      <c r="M180" s="170">
        <f t="shared" si="52"/>
        <v>10</v>
      </c>
      <c r="N180" s="168">
        <v>10</v>
      </c>
      <c r="O180" s="169">
        <f t="shared" si="53"/>
        <v>0</v>
      </c>
      <c r="P180" s="170">
        <f t="shared" si="54"/>
        <v>0</v>
      </c>
      <c r="Q180" s="168">
        <v>15</v>
      </c>
      <c r="R180" s="169">
        <f t="shared" si="55"/>
        <v>25</v>
      </c>
      <c r="S180" s="170">
        <f t="shared" si="56"/>
        <v>5</v>
      </c>
      <c r="T180" s="171">
        <v>20</v>
      </c>
      <c r="U180" s="169">
        <f t="shared" si="57"/>
        <v>100</v>
      </c>
      <c r="V180" s="170">
        <f t="shared" si="58"/>
        <v>10</v>
      </c>
      <c r="W180" s="2"/>
    </row>
    <row r="181" spans="1:23" ht="15" customHeight="1">
      <c r="A181" s="49">
        <v>20</v>
      </c>
      <c r="B181" s="50" t="s">
        <v>19</v>
      </c>
      <c r="C181" s="50" t="s">
        <v>76</v>
      </c>
      <c r="D181" s="49">
        <v>30</v>
      </c>
      <c r="E181" s="49">
        <v>25</v>
      </c>
      <c r="F181" s="50">
        <f t="shared" si="48"/>
        <v>27.5</v>
      </c>
      <c r="G181" s="47" t="s">
        <v>773</v>
      </c>
      <c r="H181" s="168">
        <v>30</v>
      </c>
      <c r="I181" s="169">
        <f t="shared" si="49"/>
        <v>6.25</v>
      </c>
      <c r="J181" s="170">
        <f t="shared" si="50"/>
        <v>2.5</v>
      </c>
      <c r="K181" s="168">
        <v>30</v>
      </c>
      <c r="L181" s="169">
        <f t="shared" si="51"/>
        <v>6.25</v>
      </c>
      <c r="M181" s="170">
        <f t="shared" si="52"/>
        <v>2.5</v>
      </c>
      <c r="N181" s="168">
        <v>10</v>
      </c>
      <c r="O181" s="169">
        <f t="shared" si="53"/>
        <v>306.25</v>
      </c>
      <c r="P181" s="170">
        <f t="shared" si="54"/>
        <v>17.5</v>
      </c>
      <c r="Q181" s="168">
        <v>30</v>
      </c>
      <c r="R181" s="169">
        <f t="shared" si="55"/>
        <v>6.25</v>
      </c>
      <c r="S181" s="170">
        <f t="shared" si="56"/>
        <v>2.5</v>
      </c>
      <c r="T181" s="171">
        <v>25</v>
      </c>
      <c r="U181" s="169">
        <f t="shared" si="57"/>
        <v>6.25</v>
      </c>
      <c r="V181" s="170">
        <f t="shared" si="58"/>
        <v>2.5</v>
      </c>
      <c r="W181" s="2"/>
    </row>
    <row r="182" spans="1:23" ht="15" customHeight="1">
      <c r="A182" s="49">
        <v>21</v>
      </c>
      <c r="B182" s="50" t="s">
        <v>19</v>
      </c>
      <c r="C182" s="50" t="s">
        <v>79</v>
      </c>
      <c r="D182" s="49">
        <v>20</v>
      </c>
      <c r="E182" s="49">
        <v>10</v>
      </c>
      <c r="F182" s="50">
        <f t="shared" si="48"/>
        <v>15</v>
      </c>
      <c r="G182" s="47" t="s">
        <v>774</v>
      </c>
      <c r="H182" s="168">
        <v>20</v>
      </c>
      <c r="I182" s="169">
        <f t="shared" si="49"/>
        <v>25</v>
      </c>
      <c r="J182" s="170">
        <f t="shared" si="50"/>
        <v>5</v>
      </c>
      <c r="K182" s="168">
        <v>40</v>
      </c>
      <c r="L182" s="169">
        <f t="shared" si="51"/>
        <v>625</v>
      </c>
      <c r="M182" s="170">
        <f t="shared" si="52"/>
        <v>25</v>
      </c>
      <c r="N182" s="168">
        <v>10</v>
      </c>
      <c r="O182" s="169">
        <f t="shared" si="53"/>
        <v>25</v>
      </c>
      <c r="P182" s="170">
        <f t="shared" si="54"/>
        <v>5</v>
      </c>
      <c r="Q182" s="168">
        <v>30</v>
      </c>
      <c r="R182" s="169">
        <f t="shared" si="55"/>
        <v>225</v>
      </c>
      <c r="S182" s="170">
        <f t="shared" si="56"/>
        <v>15</v>
      </c>
      <c r="T182" s="171">
        <v>20</v>
      </c>
      <c r="U182" s="169">
        <f t="shared" si="57"/>
        <v>25</v>
      </c>
      <c r="V182" s="170">
        <f t="shared" si="58"/>
        <v>5</v>
      </c>
      <c r="W182" s="2"/>
    </row>
    <row r="183" spans="1:23" ht="15" customHeight="1">
      <c r="A183" s="43">
        <v>22</v>
      </c>
      <c r="B183" s="49" t="s">
        <v>19</v>
      </c>
      <c r="C183" s="50" t="s">
        <v>82</v>
      </c>
      <c r="D183" s="49">
        <v>20</v>
      </c>
      <c r="E183" s="49">
        <v>20</v>
      </c>
      <c r="F183" s="50">
        <f t="shared" si="48"/>
        <v>20</v>
      </c>
      <c r="G183" s="47" t="s">
        <v>775</v>
      </c>
      <c r="H183" s="168">
        <v>20</v>
      </c>
      <c r="I183" s="169">
        <f t="shared" si="49"/>
        <v>0</v>
      </c>
      <c r="J183" s="170">
        <f t="shared" si="50"/>
        <v>0</v>
      </c>
      <c r="K183" s="168">
        <v>20</v>
      </c>
      <c r="L183" s="169">
        <f t="shared" si="51"/>
        <v>0</v>
      </c>
      <c r="M183" s="170">
        <f t="shared" si="52"/>
        <v>0</v>
      </c>
      <c r="N183" s="168">
        <v>30</v>
      </c>
      <c r="O183" s="169">
        <f t="shared" si="53"/>
        <v>100</v>
      </c>
      <c r="P183" s="170">
        <f t="shared" si="54"/>
        <v>10</v>
      </c>
      <c r="Q183" s="168">
        <v>25</v>
      </c>
      <c r="R183" s="169">
        <f t="shared" si="55"/>
        <v>25</v>
      </c>
      <c r="S183" s="170">
        <f t="shared" si="56"/>
        <v>5</v>
      </c>
      <c r="T183" s="171">
        <v>25</v>
      </c>
      <c r="U183" s="169">
        <f t="shared" si="57"/>
        <v>25</v>
      </c>
      <c r="V183" s="170">
        <f t="shared" si="58"/>
        <v>5</v>
      </c>
      <c r="W183" s="2"/>
    </row>
    <row r="184" spans="1:23" ht="15" customHeight="1">
      <c r="A184" s="49">
        <v>23</v>
      </c>
      <c r="B184" s="50" t="s">
        <v>19</v>
      </c>
      <c r="C184" s="50" t="s">
        <v>85</v>
      </c>
      <c r="D184" s="49">
        <v>40</v>
      </c>
      <c r="E184" s="49">
        <v>35</v>
      </c>
      <c r="F184" s="50">
        <f t="shared" si="48"/>
        <v>37.5</v>
      </c>
      <c r="G184" s="47" t="s">
        <v>776</v>
      </c>
      <c r="H184" s="168">
        <v>30</v>
      </c>
      <c r="I184" s="169">
        <f t="shared" si="49"/>
        <v>56.25</v>
      </c>
      <c r="J184" s="170">
        <f t="shared" si="50"/>
        <v>7.5</v>
      </c>
      <c r="K184" s="168">
        <v>30</v>
      </c>
      <c r="L184" s="169">
        <f t="shared" si="51"/>
        <v>56.25</v>
      </c>
      <c r="M184" s="170">
        <f t="shared" si="52"/>
        <v>7.5</v>
      </c>
      <c r="N184" s="168">
        <v>35</v>
      </c>
      <c r="O184" s="169">
        <f t="shared" si="53"/>
        <v>6.25</v>
      </c>
      <c r="P184" s="170">
        <f t="shared" si="54"/>
        <v>2.5</v>
      </c>
      <c r="Q184" s="168">
        <v>30</v>
      </c>
      <c r="R184" s="169">
        <f t="shared" si="55"/>
        <v>56.25</v>
      </c>
      <c r="S184" s="170">
        <f t="shared" si="56"/>
        <v>7.5</v>
      </c>
      <c r="T184" s="171">
        <v>35</v>
      </c>
      <c r="U184" s="169">
        <f t="shared" si="57"/>
        <v>6.25</v>
      </c>
      <c r="V184" s="170">
        <f t="shared" si="58"/>
        <v>2.5</v>
      </c>
      <c r="W184" s="2"/>
    </row>
    <row r="185" spans="1:23" ht="15" customHeight="1">
      <c r="A185" s="49">
        <v>24</v>
      </c>
      <c r="B185" s="50" t="s">
        <v>19</v>
      </c>
      <c r="C185" s="50" t="s">
        <v>88</v>
      </c>
      <c r="D185" s="49">
        <v>15</v>
      </c>
      <c r="E185" s="49">
        <v>20</v>
      </c>
      <c r="F185" s="50">
        <f t="shared" si="48"/>
        <v>17.5</v>
      </c>
      <c r="G185" s="47" t="s">
        <v>777</v>
      </c>
      <c r="H185" s="168">
        <v>20</v>
      </c>
      <c r="I185" s="169">
        <f t="shared" si="49"/>
        <v>6.25</v>
      </c>
      <c r="J185" s="170">
        <f t="shared" si="50"/>
        <v>2.5</v>
      </c>
      <c r="K185" s="168">
        <v>35</v>
      </c>
      <c r="L185" s="169">
        <f t="shared" si="51"/>
        <v>306.25</v>
      </c>
      <c r="M185" s="170">
        <f t="shared" si="52"/>
        <v>17.5</v>
      </c>
      <c r="N185" s="168">
        <v>35</v>
      </c>
      <c r="O185" s="169">
        <f t="shared" si="53"/>
        <v>306.25</v>
      </c>
      <c r="P185" s="170">
        <f t="shared" si="54"/>
        <v>17.5</v>
      </c>
      <c r="Q185" s="168">
        <v>25</v>
      </c>
      <c r="R185" s="169">
        <f t="shared" si="55"/>
        <v>56.25</v>
      </c>
      <c r="S185" s="170">
        <f t="shared" si="56"/>
        <v>7.5</v>
      </c>
      <c r="T185" s="171">
        <v>30</v>
      </c>
      <c r="U185" s="169">
        <f t="shared" si="57"/>
        <v>156.25</v>
      </c>
      <c r="V185" s="170">
        <f t="shared" si="58"/>
        <v>12.5</v>
      </c>
      <c r="W185" s="2"/>
    </row>
    <row r="186" spans="1:23" ht="15" customHeight="1">
      <c r="A186" s="51">
        <v>25</v>
      </c>
      <c r="B186" s="50" t="s">
        <v>19</v>
      </c>
      <c r="C186" s="49" t="s">
        <v>91</v>
      </c>
      <c r="D186" s="49">
        <v>40</v>
      </c>
      <c r="E186" s="49">
        <v>40</v>
      </c>
      <c r="F186" s="50">
        <f t="shared" si="48"/>
        <v>40</v>
      </c>
      <c r="G186" s="47" t="s">
        <v>778</v>
      </c>
      <c r="H186" s="168">
        <v>30</v>
      </c>
      <c r="I186" s="169">
        <f t="shared" si="49"/>
        <v>100</v>
      </c>
      <c r="J186" s="170">
        <f t="shared" si="50"/>
        <v>10</v>
      </c>
      <c r="K186" s="168">
        <v>30</v>
      </c>
      <c r="L186" s="169">
        <f t="shared" si="51"/>
        <v>100</v>
      </c>
      <c r="M186" s="170">
        <f t="shared" si="52"/>
        <v>10</v>
      </c>
      <c r="N186" s="168">
        <v>35</v>
      </c>
      <c r="O186" s="169">
        <f t="shared" si="53"/>
        <v>25</v>
      </c>
      <c r="P186" s="170">
        <f t="shared" si="54"/>
        <v>5</v>
      </c>
      <c r="Q186" s="168">
        <v>30</v>
      </c>
      <c r="R186" s="169">
        <f t="shared" si="55"/>
        <v>100</v>
      </c>
      <c r="S186" s="170">
        <f t="shared" si="56"/>
        <v>10</v>
      </c>
      <c r="T186" s="171">
        <v>20</v>
      </c>
      <c r="U186" s="169">
        <f t="shared" si="57"/>
        <v>400</v>
      </c>
      <c r="V186" s="170">
        <f t="shared" si="58"/>
        <v>20</v>
      </c>
      <c r="W186" s="2"/>
    </row>
    <row r="187" spans="1:23" ht="15" customHeight="1">
      <c r="A187" s="49">
        <v>26</v>
      </c>
      <c r="B187" s="50" t="s">
        <v>19</v>
      </c>
      <c r="C187" s="49" t="s">
        <v>94</v>
      </c>
      <c r="D187" s="49">
        <v>40</v>
      </c>
      <c r="E187" s="49">
        <v>40</v>
      </c>
      <c r="F187" s="50">
        <f t="shared" si="48"/>
        <v>40</v>
      </c>
      <c r="G187" s="47" t="s">
        <v>779</v>
      </c>
      <c r="H187" s="168">
        <v>30</v>
      </c>
      <c r="I187" s="169">
        <f t="shared" si="49"/>
        <v>100</v>
      </c>
      <c r="J187" s="170">
        <f t="shared" si="50"/>
        <v>10</v>
      </c>
      <c r="K187" s="168">
        <v>35</v>
      </c>
      <c r="L187" s="169">
        <f t="shared" si="51"/>
        <v>25</v>
      </c>
      <c r="M187" s="170">
        <f t="shared" si="52"/>
        <v>5</v>
      </c>
      <c r="N187" s="168">
        <v>10</v>
      </c>
      <c r="O187" s="169">
        <f t="shared" si="53"/>
        <v>900</v>
      </c>
      <c r="P187" s="170">
        <f t="shared" si="54"/>
        <v>30</v>
      </c>
      <c r="Q187" s="168">
        <v>30</v>
      </c>
      <c r="R187" s="169">
        <f t="shared" si="55"/>
        <v>100</v>
      </c>
      <c r="S187" s="170">
        <f t="shared" si="56"/>
        <v>10</v>
      </c>
      <c r="T187" s="171">
        <v>20</v>
      </c>
      <c r="U187" s="169">
        <f t="shared" si="57"/>
        <v>400</v>
      </c>
      <c r="V187" s="170">
        <f t="shared" si="58"/>
        <v>20</v>
      </c>
      <c r="W187" s="2"/>
    </row>
    <row r="188" spans="1:23" ht="15" customHeight="1">
      <c r="A188" s="51">
        <v>28</v>
      </c>
      <c r="B188" s="49" t="s">
        <v>19</v>
      </c>
      <c r="C188" s="50" t="s">
        <v>100</v>
      </c>
      <c r="D188" s="49">
        <v>20</v>
      </c>
      <c r="E188" s="49">
        <v>35</v>
      </c>
      <c r="F188" s="50">
        <f t="shared" si="48"/>
        <v>27.5</v>
      </c>
      <c r="G188" s="47" t="s">
        <v>780</v>
      </c>
      <c r="H188" s="168">
        <v>30</v>
      </c>
      <c r="I188" s="169">
        <f t="shared" si="49"/>
        <v>6.25</v>
      </c>
      <c r="J188" s="170">
        <f t="shared" si="50"/>
        <v>2.5</v>
      </c>
      <c r="K188" s="168">
        <v>30</v>
      </c>
      <c r="L188" s="169">
        <f t="shared" si="51"/>
        <v>6.25</v>
      </c>
      <c r="M188" s="170">
        <f t="shared" si="52"/>
        <v>2.5</v>
      </c>
      <c r="N188" s="168">
        <v>35</v>
      </c>
      <c r="O188" s="169">
        <f t="shared" si="53"/>
        <v>56.25</v>
      </c>
      <c r="P188" s="170">
        <f t="shared" si="54"/>
        <v>7.5</v>
      </c>
      <c r="Q188" s="168">
        <v>30</v>
      </c>
      <c r="R188" s="169">
        <f t="shared" si="55"/>
        <v>6.25</v>
      </c>
      <c r="S188" s="170">
        <f t="shared" si="56"/>
        <v>2.5</v>
      </c>
      <c r="T188" s="171">
        <v>35</v>
      </c>
      <c r="U188" s="169">
        <f t="shared" si="57"/>
        <v>56.25</v>
      </c>
      <c r="V188" s="170">
        <f t="shared" si="58"/>
        <v>7.5</v>
      </c>
      <c r="W188" s="2"/>
    </row>
    <row r="189" spans="1:23" ht="15" customHeight="1">
      <c r="A189" s="49">
        <v>29</v>
      </c>
      <c r="B189" s="50" t="s">
        <v>19</v>
      </c>
      <c r="C189" s="49" t="s">
        <v>103</v>
      </c>
      <c r="D189" s="49">
        <v>20</v>
      </c>
      <c r="E189" s="49">
        <v>25</v>
      </c>
      <c r="F189" s="50">
        <f t="shared" si="48"/>
        <v>22.5</v>
      </c>
      <c r="G189" s="47" t="s">
        <v>781</v>
      </c>
      <c r="H189" s="168">
        <v>10</v>
      </c>
      <c r="I189" s="169">
        <f t="shared" si="49"/>
        <v>156.25</v>
      </c>
      <c r="J189" s="170">
        <f t="shared" si="50"/>
        <v>12.5</v>
      </c>
      <c r="K189" s="168">
        <v>10</v>
      </c>
      <c r="L189" s="169">
        <f t="shared" si="51"/>
        <v>156.25</v>
      </c>
      <c r="M189" s="170">
        <f t="shared" si="52"/>
        <v>12.5</v>
      </c>
      <c r="N189" s="168">
        <v>10</v>
      </c>
      <c r="O189" s="169">
        <f t="shared" si="53"/>
        <v>156.25</v>
      </c>
      <c r="P189" s="170">
        <f t="shared" si="54"/>
        <v>12.5</v>
      </c>
      <c r="Q189" s="168">
        <v>15</v>
      </c>
      <c r="R189" s="169">
        <f t="shared" si="55"/>
        <v>56.25</v>
      </c>
      <c r="S189" s="170">
        <f t="shared" si="56"/>
        <v>7.5</v>
      </c>
      <c r="T189" s="171">
        <v>20</v>
      </c>
      <c r="U189" s="169">
        <f t="shared" si="57"/>
        <v>6.25</v>
      </c>
      <c r="V189" s="170">
        <f t="shared" si="58"/>
        <v>2.5</v>
      </c>
      <c r="W189" s="2"/>
    </row>
    <row r="190" spans="1:23" ht="15" customHeight="1">
      <c r="A190" s="49">
        <v>30</v>
      </c>
      <c r="B190" s="50" t="s">
        <v>19</v>
      </c>
      <c r="C190" s="49" t="s">
        <v>106</v>
      </c>
      <c r="D190" s="49">
        <v>35</v>
      </c>
      <c r="E190" s="49">
        <v>30</v>
      </c>
      <c r="F190" s="50">
        <f t="shared" si="48"/>
        <v>32.5</v>
      </c>
      <c r="G190" s="47" t="s">
        <v>782</v>
      </c>
      <c r="H190" s="168">
        <v>20</v>
      </c>
      <c r="I190" s="169">
        <f t="shared" si="49"/>
        <v>156.25</v>
      </c>
      <c r="J190" s="170">
        <f t="shared" si="50"/>
        <v>12.5</v>
      </c>
      <c r="K190" s="168">
        <v>30</v>
      </c>
      <c r="L190" s="169">
        <f t="shared" si="51"/>
        <v>6.25</v>
      </c>
      <c r="M190" s="170">
        <f t="shared" si="52"/>
        <v>2.5</v>
      </c>
      <c r="N190" s="168">
        <v>10</v>
      </c>
      <c r="O190" s="169">
        <f t="shared" si="53"/>
        <v>506.25</v>
      </c>
      <c r="P190" s="170">
        <f t="shared" si="54"/>
        <v>22.5</v>
      </c>
      <c r="Q190" s="168">
        <v>25</v>
      </c>
      <c r="R190" s="169">
        <f t="shared" si="55"/>
        <v>56.25</v>
      </c>
      <c r="S190" s="170">
        <f t="shared" si="56"/>
        <v>7.5</v>
      </c>
      <c r="T190" s="171">
        <v>20</v>
      </c>
      <c r="U190" s="169">
        <f t="shared" si="57"/>
        <v>156.25</v>
      </c>
      <c r="V190" s="170">
        <f t="shared" si="58"/>
        <v>12.5</v>
      </c>
      <c r="W190" s="2"/>
    </row>
    <row r="191" spans="1:23" ht="15" customHeight="1">
      <c r="A191" s="43">
        <v>31</v>
      </c>
      <c r="B191" s="50" t="s">
        <v>19</v>
      </c>
      <c r="C191" s="49" t="s">
        <v>109</v>
      </c>
      <c r="D191" s="49">
        <v>30</v>
      </c>
      <c r="E191" s="49">
        <v>35</v>
      </c>
      <c r="F191" s="50">
        <f t="shared" si="48"/>
        <v>32.5</v>
      </c>
      <c r="G191" s="47" t="s">
        <v>783</v>
      </c>
      <c r="H191" s="168">
        <v>10</v>
      </c>
      <c r="I191" s="169">
        <f t="shared" si="49"/>
        <v>506.25</v>
      </c>
      <c r="J191" s="170">
        <f t="shared" si="50"/>
        <v>22.5</v>
      </c>
      <c r="K191" s="168">
        <v>10</v>
      </c>
      <c r="L191" s="169">
        <f t="shared" si="51"/>
        <v>506.25</v>
      </c>
      <c r="M191" s="170">
        <f t="shared" si="52"/>
        <v>22.5</v>
      </c>
      <c r="N191" s="168">
        <v>10</v>
      </c>
      <c r="O191" s="169">
        <f t="shared" si="53"/>
        <v>506.25</v>
      </c>
      <c r="P191" s="170">
        <f t="shared" si="54"/>
        <v>22.5</v>
      </c>
      <c r="Q191" s="168">
        <v>15</v>
      </c>
      <c r="R191" s="169">
        <f t="shared" si="55"/>
        <v>306.25</v>
      </c>
      <c r="S191" s="170">
        <f t="shared" si="56"/>
        <v>17.5</v>
      </c>
      <c r="T191" s="171">
        <v>20</v>
      </c>
      <c r="U191" s="169">
        <f t="shared" si="57"/>
        <v>156.25</v>
      </c>
      <c r="V191" s="170">
        <f t="shared" si="58"/>
        <v>12.5</v>
      </c>
      <c r="W191" s="2"/>
    </row>
    <row r="192" spans="1:23" ht="15" customHeight="1">
      <c r="A192" s="49">
        <v>32</v>
      </c>
      <c r="B192" s="50" t="s">
        <v>19</v>
      </c>
      <c r="C192" s="49" t="s">
        <v>112</v>
      </c>
      <c r="D192" s="49">
        <v>20</v>
      </c>
      <c r="E192" s="49">
        <v>25</v>
      </c>
      <c r="F192" s="50">
        <f t="shared" si="48"/>
        <v>22.5</v>
      </c>
      <c r="G192" s="47" t="s">
        <v>784</v>
      </c>
      <c r="H192" s="168">
        <v>20</v>
      </c>
      <c r="I192" s="169">
        <f t="shared" si="49"/>
        <v>6.25</v>
      </c>
      <c r="J192" s="170">
        <f t="shared" si="50"/>
        <v>2.5</v>
      </c>
      <c r="K192" s="168">
        <v>30</v>
      </c>
      <c r="L192" s="169">
        <f t="shared" si="51"/>
        <v>56.25</v>
      </c>
      <c r="M192" s="170">
        <f t="shared" si="52"/>
        <v>7.5</v>
      </c>
      <c r="N192" s="168">
        <v>30</v>
      </c>
      <c r="O192" s="169">
        <f t="shared" si="53"/>
        <v>56.25</v>
      </c>
      <c r="P192" s="170">
        <f t="shared" si="54"/>
        <v>7.5</v>
      </c>
      <c r="Q192" s="168">
        <v>25</v>
      </c>
      <c r="R192" s="169">
        <f t="shared" si="55"/>
        <v>6.25</v>
      </c>
      <c r="S192" s="170">
        <f t="shared" si="56"/>
        <v>2.5</v>
      </c>
      <c r="T192" s="171">
        <v>20</v>
      </c>
      <c r="U192" s="169">
        <f t="shared" si="57"/>
        <v>6.25</v>
      </c>
      <c r="V192" s="170">
        <f t="shared" si="58"/>
        <v>2.5</v>
      </c>
      <c r="W192" s="2"/>
    </row>
    <row r="193" spans="1:23" ht="15" customHeight="1">
      <c r="A193" s="49">
        <v>33</v>
      </c>
      <c r="B193" s="50" t="s">
        <v>19</v>
      </c>
      <c r="C193" s="50" t="s">
        <v>115</v>
      </c>
      <c r="D193" s="49">
        <v>10</v>
      </c>
      <c r="E193" s="49">
        <v>10</v>
      </c>
      <c r="F193" s="50">
        <f t="shared" si="48"/>
        <v>10</v>
      </c>
      <c r="G193" s="47" t="s">
        <v>785</v>
      </c>
      <c r="H193" s="168">
        <v>30</v>
      </c>
      <c r="I193" s="169">
        <f t="shared" si="49"/>
        <v>400</v>
      </c>
      <c r="J193" s="170">
        <f t="shared" si="50"/>
        <v>20</v>
      </c>
      <c r="K193" s="168">
        <v>25</v>
      </c>
      <c r="L193" s="169">
        <f t="shared" si="51"/>
        <v>225</v>
      </c>
      <c r="M193" s="170">
        <f t="shared" si="52"/>
        <v>15</v>
      </c>
      <c r="N193" s="168">
        <v>35</v>
      </c>
      <c r="O193" s="169">
        <f t="shared" si="53"/>
        <v>625</v>
      </c>
      <c r="P193" s="170">
        <f t="shared" si="54"/>
        <v>25</v>
      </c>
      <c r="Q193" s="168">
        <v>30</v>
      </c>
      <c r="R193" s="169">
        <f t="shared" si="55"/>
        <v>400</v>
      </c>
      <c r="S193" s="170">
        <f t="shared" si="56"/>
        <v>20</v>
      </c>
      <c r="T193" s="171">
        <v>20</v>
      </c>
      <c r="U193" s="169">
        <f t="shared" si="57"/>
        <v>100</v>
      </c>
      <c r="V193" s="170">
        <f t="shared" si="58"/>
        <v>10</v>
      </c>
      <c r="W193" s="2"/>
    </row>
    <row r="194" spans="1:23" ht="15" customHeight="1">
      <c r="A194" s="51">
        <v>34</v>
      </c>
      <c r="B194" s="50" t="s">
        <v>19</v>
      </c>
      <c r="C194" s="49" t="s">
        <v>118</v>
      </c>
      <c r="D194" s="49">
        <v>0</v>
      </c>
      <c r="E194" s="49">
        <v>0</v>
      </c>
      <c r="F194" s="50">
        <f t="shared" si="48"/>
        <v>0</v>
      </c>
      <c r="G194" s="47" t="s">
        <v>786</v>
      </c>
      <c r="H194" s="168">
        <v>20</v>
      </c>
      <c r="I194" s="169">
        <f t="shared" si="49"/>
        <v>400</v>
      </c>
      <c r="J194" s="170">
        <f t="shared" si="50"/>
        <v>20</v>
      </c>
      <c r="K194" s="168">
        <v>25</v>
      </c>
      <c r="L194" s="169">
        <f t="shared" si="51"/>
        <v>625</v>
      </c>
      <c r="M194" s="170">
        <f t="shared" si="52"/>
        <v>25</v>
      </c>
      <c r="N194" s="168">
        <v>10</v>
      </c>
      <c r="O194" s="169">
        <f t="shared" si="53"/>
        <v>100</v>
      </c>
      <c r="P194" s="170">
        <f t="shared" si="54"/>
        <v>10</v>
      </c>
      <c r="Q194" s="168">
        <v>25</v>
      </c>
      <c r="R194" s="169">
        <f t="shared" si="55"/>
        <v>625</v>
      </c>
      <c r="S194" s="170">
        <f t="shared" si="56"/>
        <v>25</v>
      </c>
      <c r="T194" s="171">
        <v>20</v>
      </c>
      <c r="U194" s="169">
        <f t="shared" si="57"/>
        <v>400</v>
      </c>
      <c r="V194" s="170">
        <f t="shared" si="58"/>
        <v>20</v>
      </c>
      <c r="W194" s="2"/>
    </row>
    <row r="195" spans="1:23" ht="15" customHeight="1">
      <c r="A195" s="49">
        <v>35</v>
      </c>
      <c r="B195" s="50" t="s">
        <v>19</v>
      </c>
      <c r="C195" s="50" t="s">
        <v>121</v>
      </c>
      <c r="D195" s="49">
        <v>40</v>
      </c>
      <c r="E195" s="49">
        <v>40</v>
      </c>
      <c r="F195" s="50">
        <f t="shared" si="48"/>
        <v>40</v>
      </c>
      <c r="G195" s="47" t="s">
        <v>787</v>
      </c>
      <c r="H195" s="168">
        <v>30</v>
      </c>
      <c r="I195" s="169">
        <f t="shared" si="49"/>
        <v>100</v>
      </c>
      <c r="J195" s="170">
        <f t="shared" si="50"/>
        <v>10</v>
      </c>
      <c r="K195" s="168">
        <v>40</v>
      </c>
      <c r="L195" s="169">
        <f t="shared" si="51"/>
        <v>0</v>
      </c>
      <c r="M195" s="170">
        <f t="shared" si="52"/>
        <v>0</v>
      </c>
      <c r="N195" s="168">
        <v>40</v>
      </c>
      <c r="O195" s="169">
        <f t="shared" si="53"/>
        <v>0</v>
      </c>
      <c r="P195" s="170">
        <f t="shared" si="54"/>
        <v>0</v>
      </c>
      <c r="Q195" s="168">
        <v>35</v>
      </c>
      <c r="R195" s="169">
        <f t="shared" si="55"/>
        <v>25</v>
      </c>
      <c r="S195" s="170">
        <f t="shared" si="56"/>
        <v>5</v>
      </c>
      <c r="T195" s="171">
        <v>20</v>
      </c>
      <c r="U195" s="169">
        <f t="shared" si="57"/>
        <v>400</v>
      </c>
      <c r="V195" s="170">
        <f t="shared" si="58"/>
        <v>20</v>
      </c>
      <c r="W195" s="2"/>
    </row>
    <row r="196" spans="1:23" ht="15" customHeight="1">
      <c r="A196" s="49">
        <v>36</v>
      </c>
      <c r="B196" s="50" t="s">
        <v>19</v>
      </c>
      <c r="C196" s="49" t="s">
        <v>124</v>
      </c>
      <c r="D196" s="49">
        <v>40</v>
      </c>
      <c r="E196" s="49">
        <v>40</v>
      </c>
      <c r="F196" s="50">
        <f t="shared" si="48"/>
        <v>40</v>
      </c>
      <c r="G196" s="47" t="s">
        <v>788</v>
      </c>
      <c r="H196" s="168">
        <v>30</v>
      </c>
      <c r="I196" s="169">
        <f t="shared" si="49"/>
        <v>100</v>
      </c>
      <c r="J196" s="170">
        <f t="shared" si="50"/>
        <v>10</v>
      </c>
      <c r="K196" s="168">
        <v>35</v>
      </c>
      <c r="L196" s="169">
        <f t="shared" si="51"/>
        <v>25</v>
      </c>
      <c r="M196" s="170">
        <f t="shared" si="52"/>
        <v>5</v>
      </c>
      <c r="N196" s="168">
        <v>35</v>
      </c>
      <c r="O196" s="169">
        <f t="shared" si="53"/>
        <v>25</v>
      </c>
      <c r="P196" s="170">
        <f t="shared" si="54"/>
        <v>5</v>
      </c>
      <c r="Q196" s="168">
        <v>25</v>
      </c>
      <c r="R196" s="169">
        <f t="shared" si="55"/>
        <v>225</v>
      </c>
      <c r="S196" s="170">
        <f t="shared" si="56"/>
        <v>15</v>
      </c>
      <c r="T196" s="171">
        <v>20</v>
      </c>
      <c r="U196" s="169">
        <f t="shared" si="57"/>
        <v>400</v>
      </c>
      <c r="V196" s="170">
        <f t="shared" si="58"/>
        <v>20</v>
      </c>
      <c r="W196" s="2"/>
    </row>
    <row r="197" spans="1:23" ht="15" customHeight="1">
      <c r="A197" s="49">
        <v>38</v>
      </c>
      <c r="B197" s="49" t="s">
        <v>19</v>
      </c>
      <c r="C197" s="50" t="s">
        <v>129</v>
      </c>
      <c r="D197" s="49">
        <v>40</v>
      </c>
      <c r="E197" s="49">
        <v>30</v>
      </c>
      <c r="F197" s="50">
        <f t="shared" si="48"/>
        <v>35</v>
      </c>
      <c r="G197" s="47" t="s">
        <v>789</v>
      </c>
      <c r="H197" s="168">
        <v>30</v>
      </c>
      <c r="I197" s="169">
        <f t="shared" si="49"/>
        <v>25</v>
      </c>
      <c r="J197" s="170">
        <f t="shared" si="50"/>
        <v>5</v>
      </c>
      <c r="K197" s="168">
        <v>30</v>
      </c>
      <c r="L197" s="169">
        <f t="shared" si="51"/>
        <v>25</v>
      </c>
      <c r="M197" s="170">
        <f t="shared" si="52"/>
        <v>5</v>
      </c>
      <c r="N197" s="168">
        <v>10</v>
      </c>
      <c r="O197" s="169">
        <f t="shared" si="53"/>
        <v>625</v>
      </c>
      <c r="P197" s="170">
        <f t="shared" si="54"/>
        <v>25</v>
      </c>
      <c r="Q197" s="168">
        <v>25</v>
      </c>
      <c r="R197" s="169">
        <f t="shared" si="55"/>
        <v>100</v>
      </c>
      <c r="S197" s="170">
        <f t="shared" si="56"/>
        <v>10</v>
      </c>
      <c r="T197" s="171">
        <v>20</v>
      </c>
      <c r="U197" s="169">
        <f t="shared" si="57"/>
        <v>225</v>
      </c>
      <c r="V197" s="170">
        <f t="shared" si="58"/>
        <v>15</v>
      </c>
      <c r="W197" s="2"/>
    </row>
    <row r="198" spans="1:23" ht="15" customHeight="1">
      <c r="A198" s="49">
        <v>39</v>
      </c>
      <c r="B198" s="49" t="s">
        <v>19</v>
      </c>
      <c r="C198" s="49" t="s">
        <v>132</v>
      </c>
      <c r="D198" s="49">
        <v>10</v>
      </c>
      <c r="E198" s="49">
        <v>10</v>
      </c>
      <c r="F198" s="50">
        <f t="shared" si="48"/>
        <v>10</v>
      </c>
      <c r="G198" s="47" t="s">
        <v>790</v>
      </c>
      <c r="H198" s="168">
        <v>20</v>
      </c>
      <c r="I198" s="169">
        <f t="shared" si="49"/>
        <v>100</v>
      </c>
      <c r="J198" s="170">
        <f t="shared" si="50"/>
        <v>10</v>
      </c>
      <c r="K198" s="168">
        <v>20</v>
      </c>
      <c r="L198" s="169">
        <f t="shared" si="51"/>
        <v>100</v>
      </c>
      <c r="M198" s="170">
        <f t="shared" si="52"/>
        <v>10</v>
      </c>
      <c r="N198" s="168">
        <v>20</v>
      </c>
      <c r="O198" s="169">
        <f t="shared" si="53"/>
        <v>100</v>
      </c>
      <c r="P198" s="170">
        <f t="shared" si="54"/>
        <v>10</v>
      </c>
      <c r="Q198" s="168">
        <v>15</v>
      </c>
      <c r="R198" s="169">
        <f t="shared" si="55"/>
        <v>25</v>
      </c>
      <c r="S198" s="170">
        <f t="shared" si="56"/>
        <v>5</v>
      </c>
      <c r="T198" s="171">
        <v>20</v>
      </c>
      <c r="U198" s="169">
        <f t="shared" si="57"/>
        <v>100</v>
      </c>
      <c r="V198" s="170">
        <f t="shared" si="58"/>
        <v>10</v>
      </c>
      <c r="W198" s="2"/>
    </row>
    <row r="199" spans="1:23" ht="15" customHeight="1">
      <c r="A199" s="43">
        <v>40</v>
      </c>
      <c r="B199" s="49" t="s">
        <v>19</v>
      </c>
      <c r="C199" s="49" t="s">
        <v>135</v>
      </c>
      <c r="D199" s="49">
        <v>0</v>
      </c>
      <c r="E199" s="49">
        <v>0</v>
      </c>
      <c r="F199" s="49">
        <v>0</v>
      </c>
      <c r="G199" s="47" t="s">
        <v>791</v>
      </c>
      <c r="H199" s="168">
        <v>20</v>
      </c>
      <c r="I199" s="169">
        <f t="shared" si="49"/>
        <v>400</v>
      </c>
      <c r="J199" s="170">
        <f t="shared" si="50"/>
        <v>20</v>
      </c>
      <c r="K199" s="168">
        <v>20</v>
      </c>
      <c r="L199" s="169">
        <f t="shared" si="51"/>
        <v>400</v>
      </c>
      <c r="M199" s="170">
        <f t="shared" si="52"/>
        <v>20</v>
      </c>
      <c r="N199" s="168">
        <v>10</v>
      </c>
      <c r="O199" s="169">
        <f t="shared" si="53"/>
        <v>100</v>
      </c>
      <c r="P199" s="170">
        <f t="shared" si="54"/>
        <v>10</v>
      </c>
      <c r="Q199" s="168">
        <v>15</v>
      </c>
      <c r="R199" s="169">
        <f t="shared" si="55"/>
        <v>225</v>
      </c>
      <c r="S199" s="170">
        <f t="shared" si="56"/>
        <v>15</v>
      </c>
      <c r="T199" s="171">
        <v>20</v>
      </c>
      <c r="U199" s="169">
        <f t="shared" si="57"/>
        <v>400</v>
      </c>
      <c r="V199" s="170">
        <f t="shared" si="58"/>
        <v>20</v>
      </c>
      <c r="W199" s="2"/>
    </row>
    <row r="200" spans="1:23" ht="15" customHeight="1">
      <c r="A200" s="49">
        <v>41</v>
      </c>
      <c r="B200" s="50" t="s">
        <v>19</v>
      </c>
      <c r="C200" s="50" t="s">
        <v>138</v>
      </c>
      <c r="D200" s="49">
        <v>0</v>
      </c>
      <c r="E200" s="49">
        <v>0</v>
      </c>
      <c r="F200" s="50">
        <f t="shared" ref="F200:F290" si="59">SUM(D200:E200)/2</f>
        <v>0</v>
      </c>
      <c r="G200" s="47" t="s">
        <v>792</v>
      </c>
      <c r="H200" s="168">
        <v>20</v>
      </c>
      <c r="I200" s="169">
        <f t="shared" si="49"/>
        <v>400</v>
      </c>
      <c r="J200" s="170">
        <f t="shared" si="50"/>
        <v>20</v>
      </c>
      <c r="K200" s="168">
        <v>25</v>
      </c>
      <c r="L200" s="169">
        <f t="shared" si="51"/>
        <v>625</v>
      </c>
      <c r="M200" s="170">
        <f t="shared" si="52"/>
        <v>25</v>
      </c>
      <c r="N200" s="168">
        <v>10</v>
      </c>
      <c r="O200" s="169">
        <f t="shared" si="53"/>
        <v>100</v>
      </c>
      <c r="P200" s="170">
        <f t="shared" si="54"/>
        <v>10</v>
      </c>
      <c r="Q200" s="168">
        <v>25</v>
      </c>
      <c r="R200" s="169">
        <f t="shared" si="55"/>
        <v>625</v>
      </c>
      <c r="S200" s="170">
        <f t="shared" si="56"/>
        <v>25</v>
      </c>
      <c r="T200" s="171">
        <v>20</v>
      </c>
      <c r="U200" s="169">
        <f t="shared" si="57"/>
        <v>400</v>
      </c>
      <c r="V200" s="170">
        <f t="shared" si="58"/>
        <v>20</v>
      </c>
      <c r="W200" s="2"/>
    </row>
    <row r="201" spans="1:23" ht="15" customHeight="1">
      <c r="A201" s="49">
        <v>42</v>
      </c>
      <c r="B201" s="50" t="s">
        <v>19</v>
      </c>
      <c r="C201" s="50" t="s">
        <v>141</v>
      </c>
      <c r="D201" s="49">
        <v>15</v>
      </c>
      <c r="E201" s="49">
        <v>15</v>
      </c>
      <c r="F201" s="50">
        <f t="shared" si="59"/>
        <v>15</v>
      </c>
      <c r="G201" s="47" t="s">
        <v>793</v>
      </c>
      <c r="H201" s="168">
        <v>20</v>
      </c>
      <c r="I201" s="169">
        <f t="shared" si="49"/>
        <v>25</v>
      </c>
      <c r="J201" s="170">
        <f t="shared" si="50"/>
        <v>5</v>
      </c>
      <c r="K201" s="168">
        <v>20</v>
      </c>
      <c r="L201" s="169">
        <f t="shared" si="51"/>
        <v>25</v>
      </c>
      <c r="M201" s="170">
        <f t="shared" si="52"/>
        <v>5</v>
      </c>
      <c r="N201" s="168">
        <v>20</v>
      </c>
      <c r="O201" s="169">
        <f t="shared" si="53"/>
        <v>25</v>
      </c>
      <c r="P201" s="170">
        <f t="shared" si="54"/>
        <v>5</v>
      </c>
      <c r="Q201" s="168">
        <v>25</v>
      </c>
      <c r="R201" s="169">
        <f t="shared" si="55"/>
        <v>100</v>
      </c>
      <c r="S201" s="170">
        <f t="shared" si="56"/>
        <v>10</v>
      </c>
      <c r="T201" s="171">
        <v>20</v>
      </c>
      <c r="U201" s="169">
        <f t="shared" si="57"/>
        <v>25</v>
      </c>
      <c r="V201" s="170">
        <f t="shared" si="58"/>
        <v>5</v>
      </c>
      <c r="W201" s="2"/>
    </row>
    <row r="202" spans="1:23" ht="15" customHeight="1">
      <c r="A202" s="51">
        <v>43</v>
      </c>
      <c r="B202" s="50" t="s">
        <v>19</v>
      </c>
      <c r="C202" s="50" t="s">
        <v>144</v>
      </c>
      <c r="D202" s="49">
        <v>40</v>
      </c>
      <c r="E202" s="49">
        <v>40</v>
      </c>
      <c r="F202" s="50">
        <f t="shared" si="59"/>
        <v>40</v>
      </c>
      <c r="G202" s="47" t="s">
        <v>794</v>
      </c>
      <c r="H202" s="168">
        <v>30</v>
      </c>
      <c r="I202" s="169">
        <f t="shared" si="49"/>
        <v>100</v>
      </c>
      <c r="J202" s="170">
        <f t="shared" si="50"/>
        <v>10</v>
      </c>
      <c r="K202" s="168">
        <v>30</v>
      </c>
      <c r="L202" s="169">
        <f t="shared" si="51"/>
        <v>100</v>
      </c>
      <c r="M202" s="170">
        <f t="shared" si="52"/>
        <v>10</v>
      </c>
      <c r="N202" s="168">
        <v>40</v>
      </c>
      <c r="O202" s="169">
        <f t="shared" si="53"/>
        <v>0</v>
      </c>
      <c r="P202" s="170">
        <f t="shared" si="54"/>
        <v>0</v>
      </c>
      <c r="Q202" s="168">
        <v>30</v>
      </c>
      <c r="R202" s="169">
        <f t="shared" si="55"/>
        <v>100</v>
      </c>
      <c r="S202" s="170">
        <f t="shared" si="56"/>
        <v>10</v>
      </c>
      <c r="T202" s="171">
        <v>20</v>
      </c>
      <c r="U202" s="169">
        <f t="shared" si="57"/>
        <v>400</v>
      </c>
      <c r="V202" s="170">
        <f t="shared" si="58"/>
        <v>20</v>
      </c>
      <c r="W202" s="2"/>
    </row>
    <row r="203" spans="1:23" ht="15" customHeight="1">
      <c r="A203" s="49">
        <v>44</v>
      </c>
      <c r="B203" s="50" t="s">
        <v>19</v>
      </c>
      <c r="C203" s="50" t="s">
        <v>147</v>
      </c>
      <c r="D203" s="49">
        <v>30</v>
      </c>
      <c r="E203" s="49">
        <v>20</v>
      </c>
      <c r="F203" s="50">
        <f t="shared" si="59"/>
        <v>25</v>
      </c>
      <c r="G203" s="47" t="s">
        <v>795</v>
      </c>
      <c r="H203" s="168">
        <v>20</v>
      </c>
      <c r="I203" s="169">
        <f t="shared" si="49"/>
        <v>25</v>
      </c>
      <c r="J203" s="170">
        <f t="shared" si="50"/>
        <v>5</v>
      </c>
      <c r="K203" s="168">
        <v>20</v>
      </c>
      <c r="L203" s="169">
        <f t="shared" si="51"/>
        <v>25</v>
      </c>
      <c r="M203" s="170">
        <f t="shared" si="52"/>
        <v>5</v>
      </c>
      <c r="N203" s="168">
        <v>10</v>
      </c>
      <c r="O203" s="169">
        <f t="shared" si="53"/>
        <v>225</v>
      </c>
      <c r="P203" s="170">
        <f t="shared" si="54"/>
        <v>15</v>
      </c>
      <c r="Q203" s="168">
        <v>15</v>
      </c>
      <c r="R203" s="169">
        <f t="shared" si="55"/>
        <v>100</v>
      </c>
      <c r="S203" s="170">
        <f t="shared" si="56"/>
        <v>10</v>
      </c>
      <c r="T203" s="171">
        <v>20</v>
      </c>
      <c r="U203" s="169">
        <f t="shared" si="57"/>
        <v>25</v>
      </c>
      <c r="V203" s="170">
        <f t="shared" si="58"/>
        <v>5</v>
      </c>
      <c r="W203" s="2"/>
    </row>
    <row r="204" spans="1:23" ht="15" customHeight="1">
      <c r="A204" s="49">
        <v>45</v>
      </c>
      <c r="B204" s="50" t="s">
        <v>19</v>
      </c>
      <c r="C204" s="49" t="s">
        <v>150</v>
      </c>
      <c r="D204" s="49">
        <v>25</v>
      </c>
      <c r="E204" s="49">
        <v>20</v>
      </c>
      <c r="F204" s="50">
        <f t="shared" si="59"/>
        <v>22.5</v>
      </c>
      <c r="G204" s="47" t="s">
        <v>796</v>
      </c>
      <c r="H204" s="168">
        <v>30</v>
      </c>
      <c r="I204" s="169">
        <f t="shared" si="49"/>
        <v>56.25</v>
      </c>
      <c r="J204" s="170">
        <f t="shared" si="50"/>
        <v>7.5</v>
      </c>
      <c r="K204" s="168">
        <v>30</v>
      </c>
      <c r="L204" s="169">
        <f t="shared" si="51"/>
        <v>56.25</v>
      </c>
      <c r="M204" s="170">
        <f t="shared" si="52"/>
        <v>7.5</v>
      </c>
      <c r="N204" s="168">
        <v>10</v>
      </c>
      <c r="O204" s="169">
        <f t="shared" si="53"/>
        <v>156.25</v>
      </c>
      <c r="P204" s="170">
        <f t="shared" si="54"/>
        <v>12.5</v>
      </c>
      <c r="Q204" s="168">
        <v>25</v>
      </c>
      <c r="R204" s="169">
        <f t="shared" si="55"/>
        <v>6.25</v>
      </c>
      <c r="S204" s="170">
        <f t="shared" si="56"/>
        <v>2.5</v>
      </c>
      <c r="T204" s="171">
        <v>20</v>
      </c>
      <c r="U204" s="169">
        <f t="shared" si="57"/>
        <v>6.25</v>
      </c>
      <c r="V204" s="170">
        <f t="shared" si="58"/>
        <v>2.5</v>
      </c>
      <c r="W204" s="2"/>
    </row>
    <row r="205" spans="1:23" ht="15" customHeight="1">
      <c r="A205" s="43">
        <v>46</v>
      </c>
      <c r="B205" s="49" t="s">
        <v>19</v>
      </c>
      <c r="C205" s="50" t="s">
        <v>153</v>
      </c>
      <c r="D205" s="49">
        <v>15</v>
      </c>
      <c r="E205" s="49">
        <v>30</v>
      </c>
      <c r="F205" s="50">
        <f t="shared" si="59"/>
        <v>22.5</v>
      </c>
      <c r="G205" s="47" t="s">
        <v>797</v>
      </c>
      <c r="H205" s="168">
        <v>30</v>
      </c>
      <c r="I205" s="169">
        <f t="shared" si="49"/>
        <v>56.25</v>
      </c>
      <c r="J205" s="170">
        <f t="shared" si="50"/>
        <v>7.5</v>
      </c>
      <c r="K205" s="168">
        <v>35</v>
      </c>
      <c r="L205" s="169">
        <f t="shared" si="51"/>
        <v>156.25</v>
      </c>
      <c r="M205" s="170">
        <f t="shared" si="52"/>
        <v>12.5</v>
      </c>
      <c r="N205" s="168">
        <v>30</v>
      </c>
      <c r="O205" s="169">
        <f t="shared" si="53"/>
        <v>56.25</v>
      </c>
      <c r="P205" s="170">
        <f t="shared" si="54"/>
        <v>7.5</v>
      </c>
      <c r="Q205" s="168">
        <v>30</v>
      </c>
      <c r="R205" s="169">
        <f t="shared" si="55"/>
        <v>56.25</v>
      </c>
      <c r="S205" s="170">
        <f t="shared" si="56"/>
        <v>7.5</v>
      </c>
      <c r="T205" s="171">
        <v>20</v>
      </c>
      <c r="U205" s="169">
        <f t="shared" si="57"/>
        <v>6.25</v>
      </c>
      <c r="V205" s="170">
        <f t="shared" si="58"/>
        <v>2.5</v>
      </c>
      <c r="W205" s="2"/>
    </row>
    <row r="206" spans="1:23" ht="15" customHeight="1">
      <c r="A206" s="49">
        <v>47</v>
      </c>
      <c r="B206" s="50" t="s">
        <v>19</v>
      </c>
      <c r="C206" s="49" t="s">
        <v>156</v>
      </c>
      <c r="D206" s="49">
        <v>30</v>
      </c>
      <c r="E206" s="49">
        <v>30</v>
      </c>
      <c r="F206" s="50">
        <f t="shared" si="59"/>
        <v>30</v>
      </c>
      <c r="G206" s="47" t="s">
        <v>798</v>
      </c>
      <c r="H206" s="168">
        <v>30</v>
      </c>
      <c r="I206" s="169">
        <f t="shared" si="49"/>
        <v>0</v>
      </c>
      <c r="J206" s="170">
        <f t="shared" si="50"/>
        <v>0</v>
      </c>
      <c r="K206" s="168">
        <v>40</v>
      </c>
      <c r="L206" s="169">
        <f t="shared" si="51"/>
        <v>100</v>
      </c>
      <c r="M206" s="170">
        <f t="shared" si="52"/>
        <v>10</v>
      </c>
      <c r="N206" s="168">
        <v>40</v>
      </c>
      <c r="O206" s="169">
        <f t="shared" si="53"/>
        <v>100</v>
      </c>
      <c r="P206" s="170">
        <f t="shared" si="54"/>
        <v>10</v>
      </c>
      <c r="Q206" s="168">
        <v>35</v>
      </c>
      <c r="R206" s="169">
        <f t="shared" si="55"/>
        <v>25</v>
      </c>
      <c r="S206" s="170">
        <f t="shared" si="56"/>
        <v>5</v>
      </c>
      <c r="T206" s="171">
        <v>30</v>
      </c>
      <c r="U206" s="169">
        <f t="shared" si="57"/>
        <v>0</v>
      </c>
      <c r="V206" s="170">
        <f t="shared" si="58"/>
        <v>0</v>
      </c>
      <c r="W206" s="2"/>
    </row>
    <row r="207" spans="1:23" ht="15" customHeight="1">
      <c r="A207" s="49">
        <v>48</v>
      </c>
      <c r="B207" s="50" t="s">
        <v>19</v>
      </c>
      <c r="C207" s="49" t="s">
        <v>159</v>
      </c>
      <c r="D207" s="49">
        <v>35</v>
      </c>
      <c r="E207" s="49">
        <v>35</v>
      </c>
      <c r="F207" s="50">
        <f t="shared" si="59"/>
        <v>35</v>
      </c>
      <c r="G207" s="47" t="s">
        <v>799</v>
      </c>
      <c r="H207" s="168">
        <v>30</v>
      </c>
      <c r="I207" s="169">
        <f t="shared" si="49"/>
        <v>25</v>
      </c>
      <c r="J207" s="170">
        <f t="shared" si="50"/>
        <v>5</v>
      </c>
      <c r="K207" s="168">
        <v>35</v>
      </c>
      <c r="L207" s="169">
        <f t="shared" si="51"/>
        <v>0</v>
      </c>
      <c r="M207" s="170">
        <f t="shared" si="52"/>
        <v>0</v>
      </c>
      <c r="N207" s="168">
        <v>35</v>
      </c>
      <c r="O207" s="169">
        <f t="shared" si="53"/>
        <v>0</v>
      </c>
      <c r="P207" s="170">
        <f t="shared" si="54"/>
        <v>0</v>
      </c>
      <c r="Q207" s="168">
        <v>30</v>
      </c>
      <c r="R207" s="169">
        <f t="shared" si="55"/>
        <v>25</v>
      </c>
      <c r="S207" s="170">
        <f t="shared" si="56"/>
        <v>5</v>
      </c>
      <c r="T207" s="171">
        <v>20</v>
      </c>
      <c r="U207" s="169">
        <f t="shared" si="57"/>
        <v>225</v>
      </c>
      <c r="V207" s="170">
        <f t="shared" si="58"/>
        <v>15</v>
      </c>
      <c r="W207" s="2"/>
    </row>
    <row r="208" spans="1:23" ht="15" customHeight="1">
      <c r="A208" s="51">
        <v>49</v>
      </c>
      <c r="B208" s="50" t="s">
        <v>19</v>
      </c>
      <c r="C208" s="49" t="s">
        <v>162</v>
      </c>
      <c r="D208" s="49">
        <v>10</v>
      </c>
      <c r="E208" s="49">
        <v>10</v>
      </c>
      <c r="F208" s="50">
        <f t="shared" si="59"/>
        <v>10</v>
      </c>
      <c r="G208" s="47" t="s">
        <v>800</v>
      </c>
      <c r="H208" s="168">
        <v>10</v>
      </c>
      <c r="I208" s="169">
        <f t="shared" si="49"/>
        <v>0</v>
      </c>
      <c r="J208" s="170">
        <f t="shared" si="50"/>
        <v>0</v>
      </c>
      <c r="K208" s="168">
        <v>30</v>
      </c>
      <c r="L208" s="169">
        <f t="shared" si="51"/>
        <v>400</v>
      </c>
      <c r="M208" s="170">
        <f t="shared" si="52"/>
        <v>20</v>
      </c>
      <c r="N208" s="168">
        <v>10</v>
      </c>
      <c r="O208" s="169">
        <f t="shared" si="53"/>
        <v>0</v>
      </c>
      <c r="P208" s="170">
        <f t="shared" si="54"/>
        <v>0</v>
      </c>
      <c r="Q208" s="168">
        <v>15</v>
      </c>
      <c r="R208" s="169">
        <f t="shared" si="55"/>
        <v>25</v>
      </c>
      <c r="S208" s="170">
        <f t="shared" si="56"/>
        <v>5</v>
      </c>
      <c r="T208" s="171">
        <v>20</v>
      </c>
      <c r="U208" s="169">
        <f t="shared" si="57"/>
        <v>100</v>
      </c>
      <c r="V208" s="170">
        <f t="shared" si="58"/>
        <v>10</v>
      </c>
      <c r="W208" s="2"/>
    </row>
    <row r="209" spans="1:23" ht="15" customHeight="1">
      <c r="A209" s="49">
        <v>50</v>
      </c>
      <c r="B209" s="50" t="s">
        <v>19</v>
      </c>
      <c r="C209" s="50" t="s">
        <v>165</v>
      </c>
      <c r="D209" s="49">
        <v>10</v>
      </c>
      <c r="E209" s="49">
        <v>15</v>
      </c>
      <c r="F209" s="50">
        <f t="shared" si="59"/>
        <v>12.5</v>
      </c>
      <c r="G209" s="47" t="s">
        <v>801</v>
      </c>
      <c r="H209" s="168">
        <v>20</v>
      </c>
      <c r="I209" s="169">
        <f t="shared" si="49"/>
        <v>56.25</v>
      </c>
      <c r="J209" s="170">
        <f t="shared" si="50"/>
        <v>7.5</v>
      </c>
      <c r="K209" s="168">
        <v>25</v>
      </c>
      <c r="L209" s="169">
        <f t="shared" si="51"/>
        <v>156.25</v>
      </c>
      <c r="M209" s="170">
        <f t="shared" si="52"/>
        <v>12.5</v>
      </c>
      <c r="N209" s="168">
        <v>35</v>
      </c>
      <c r="O209" s="169">
        <f t="shared" si="53"/>
        <v>506.25</v>
      </c>
      <c r="P209" s="170">
        <f t="shared" si="54"/>
        <v>22.5</v>
      </c>
      <c r="Q209" s="168">
        <v>20</v>
      </c>
      <c r="R209" s="169">
        <f t="shared" si="55"/>
        <v>56.25</v>
      </c>
      <c r="S209" s="170">
        <f t="shared" si="56"/>
        <v>7.5</v>
      </c>
      <c r="T209" s="171">
        <v>20</v>
      </c>
      <c r="U209" s="169">
        <f t="shared" si="57"/>
        <v>56.25</v>
      </c>
      <c r="V209" s="170">
        <f t="shared" si="58"/>
        <v>7.5</v>
      </c>
      <c r="W209" s="2"/>
    </row>
    <row r="210" spans="1:23" ht="15" customHeight="1">
      <c r="A210" s="49">
        <v>51</v>
      </c>
      <c r="B210" s="50" t="s">
        <v>19</v>
      </c>
      <c r="C210" s="50" t="s">
        <v>168</v>
      </c>
      <c r="D210" s="49">
        <v>30</v>
      </c>
      <c r="E210" s="49">
        <v>35</v>
      </c>
      <c r="F210" s="50">
        <f t="shared" si="59"/>
        <v>32.5</v>
      </c>
      <c r="G210" s="47" t="s">
        <v>802</v>
      </c>
      <c r="H210" s="168">
        <v>30</v>
      </c>
      <c r="I210" s="169">
        <f t="shared" si="49"/>
        <v>6.25</v>
      </c>
      <c r="J210" s="170">
        <f t="shared" si="50"/>
        <v>2.5</v>
      </c>
      <c r="K210" s="168">
        <v>35</v>
      </c>
      <c r="L210" s="169">
        <f t="shared" si="51"/>
        <v>6.25</v>
      </c>
      <c r="M210" s="170">
        <f t="shared" si="52"/>
        <v>2.5</v>
      </c>
      <c r="N210" s="168">
        <v>35</v>
      </c>
      <c r="O210" s="169">
        <f t="shared" si="53"/>
        <v>6.25</v>
      </c>
      <c r="P210" s="170">
        <f t="shared" si="54"/>
        <v>2.5</v>
      </c>
      <c r="Q210" s="168">
        <v>25</v>
      </c>
      <c r="R210" s="169">
        <f t="shared" si="55"/>
        <v>56.25</v>
      </c>
      <c r="S210" s="170">
        <f t="shared" si="56"/>
        <v>7.5</v>
      </c>
      <c r="T210" s="171">
        <v>30</v>
      </c>
      <c r="U210" s="169">
        <f t="shared" si="57"/>
        <v>6.25</v>
      </c>
      <c r="V210" s="170">
        <f t="shared" si="58"/>
        <v>2.5</v>
      </c>
      <c r="W210" s="2"/>
    </row>
    <row r="211" spans="1:23" ht="15" customHeight="1">
      <c r="A211" s="43">
        <v>52</v>
      </c>
      <c r="B211" s="50" t="s">
        <v>19</v>
      </c>
      <c r="C211" s="49" t="s">
        <v>171</v>
      </c>
      <c r="D211" s="49">
        <v>40</v>
      </c>
      <c r="E211" s="49">
        <v>35</v>
      </c>
      <c r="F211" s="50">
        <f t="shared" si="59"/>
        <v>37.5</v>
      </c>
      <c r="G211" s="47" t="s">
        <v>803</v>
      </c>
      <c r="H211" s="168">
        <v>30</v>
      </c>
      <c r="I211" s="169">
        <f t="shared" si="49"/>
        <v>56.25</v>
      </c>
      <c r="J211" s="170">
        <f t="shared" si="50"/>
        <v>7.5</v>
      </c>
      <c r="K211" s="168">
        <v>40</v>
      </c>
      <c r="L211" s="169">
        <f t="shared" si="51"/>
        <v>6.25</v>
      </c>
      <c r="M211" s="170">
        <f t="shared" si="52"/>
        <v>2.5</v>
      </c>
      <c r="N211" s="168">
        <v>10</v>
      </c>
      <c r="O211" s="169">
        <f t="shared" si="53"/>
        <v>756.25</v>
      </c>
      <c r="P211" s="170">
        <f t="shared" si="54"/>
        <v>27.5</v>
      </c>
      <c r="Q211" s="168">
        <v>35</v>
      </c>
      <c r="R211" s="169">
        <f t="shared" si="55"/>
        <v>6.25</v>
      </c>
      <c r="S211" s="170">
        <f t="shared" si="56"/>
        <v>2.5</v>
      </c>
      <c r="T211" s="171">
        <v>35</v>
      </c>
      <c r="U211" s="169">
        <f t="shared" si="57"/>
        <v>6.25</v>
      </c>
      <c r="V211" s="170">
        <f t="shared" si="58"/>
        <v>2.5</v>
      </c>
      <c r="W211" s="2"/>
    </row>
    <row r="212" spans="1:23" ht="15" customHeight="1">
      <c r="A212" s="49">
        <v>53</v>
      </c>
      <c r="B212" s="50" t="s">
        <v>19</v>
      </c>
      <c r="C212" s="49" t="s">
        <v>174</v>
      </c>
      <c r="D212" s="49">
        <v>20</v>
      </c>
      <c r="E212" s="49">
        <v>25</v>
      </c>
      <c r="F212" s="50">
        <f t="shared" si="59"/>
        <v>22.5</v>
      </c>
      <c r="G212" s="47" t="s">
        <v>804</v>
      </c>
      <c r="H212" s="168">
        <v>30</v>
      </c>
      <c r="I212" s="169">
        <f t="shared" si="49"/>
        <v>56.25</v>
      </c>
      <c r="J212" s="170">
        <f t="shared" si="50"/>
        <v>7.5</v>
      </c>
      <c r="K212" s="168">
        <v>35</v>
      </c>
      <c r="L212" s="169">
        <f t="shared" si="51"/>
        <v>156.25</v>
      </c>
      <c r="M212" s="170">
        <f t="shared" si="52"/>
        <v>12.5</v>
      </c>
      <c r="N212" s="168">
        <v>35</v>
      </c>
      <c r="O212" s="169">
        <f t="shared" si="53"/>
        <v>156.25</v>
      </c>
      <c r="P212" s="170">
        <f t="shared" si="54"/>
        <v>12.5</v>
      </c>
      <c r="Q212" s="168">
        <v>35</v>
      </c>
      <c r="R212" s="169">
        <f t="shared" si="55"/>
        <v>156.25</v>
      </c>
      <c r="S212" s="170">
        <f t="shared" si="56"/>
        <v>12.5</v>
      </c>
      <c r="T212" s="171">
        <v>20</v>
      </c>
      <c r="U212" s="169">
        <f t="shared" si="57"/>
        <v>6.25</v>
      </c>
      <c r="V212" s="170">
        <f t="shared" si="58"/>
        <v>2.5</v>
      </c>
      <c r="W212" s="2"/>
    </row>
    <row r="213" spans="1:23" ht="15" customHeight="1">
      <c r="A213" s="49">
        <v>54</v>
      </c>
      <c r="B213" s="50" t="s">
        <v>19</v>
      </c>
      <c r="C213" s="49" t="s">
        <v>177</v>
      </c>
      <c r="D213" s="49">
        <v>27</v>
      </c>
      <c r="E213" s="49">
        <v>28</v>
      </c>
      <c r="F213" s="50">
        <f t="shared" si="59"/>
        <v>27.5</v>
      </c>
      <c r="G213" s="47" t="s">
        <v>805</v>
      </c>
      <c r="H213" s="168">
        <v>30</v>
      </c>
      <c r="I213" s="169">
        <f t="shared" si="49"/>
        <v>6.25</v>
      </c>
      <c r="J213" s="170">
        <f t="shared" si="50"/>
        <v>2.5</v>
      </c>
      <c r="K213" s="168">
        <v>40</v>
      </c>
      <c r="L213" s="169">
        <f t="shared" si="51"/>
        <v>156.25</v>
      </c>
      <c r="M213" s="170">
        <f t="shared" si="52"/>
        <v>12.5</v>
      </c>
      <c r="N213" s="168">
        <v>40</v>
      </c>
      <c r="O213" s="169">
        <f t="shared" si="53"/>
        <v>156.25</v>
      </c>
      <c r="P213" s="170">
        <f t="shared" si="54"/>
        <v>12.5</v>
      </c>
      <c r="Q213" s="168">
        <v>30</v>
      </c>
      <c r="R213" s="169">
        <f t="shared" si="55"/>
        <v>6.25</v>
      </c>
      <c r="S213" s="170">
        <f t="shared" si="56"/>
        <v>2.5</v>
      </c>
      <c r="T213" s="171">
        <v>35</v>
      </c>
      <c r="U213" s="169">
        <f t="shared" si="57"/>
        <v>56.25</v>
      </c>
      <c r="V213" s="170">
        <f t="shared" si="58"/>
        <v>7.5</v>
      </c>
      <c r="W213" s="2"/>
    </row>
    <row r="214" spans="1:23" ht="15" customHeight="1">
      <c r="A214" s="51">
        <v>55</v>
      </c>
      <c r="B214" s="50" t="s">
        <v>19</v>
      </c>
      <c r="C214" s="49" t="s">
        <v>180</v>
      </c>
      <c r="D214" s="49">
        <v>40</v>
      </c>
      <c r="E214" s="49">
        <v>40</v>
      </c>
      <c r="F214" s="50">
        <f t="shared" si="59"/>
        <v>40</v>
      </c>
      <c r="G214" s="47" t="s">
        <v>806</v>
      </c>
      <c r="H214" s="168">
        <v>30</v>
      </c>
      <c r="I214" s="169">
        <f t="shared" si="49"/>
        <v>100</v>
      </c>
      <c r="J214" s="170">
        <f t="shared" si="50"/>
        <v>10</v>
      </c>
      <c r="K214" s="168">
        <v>40</v>
      </c>
      <c r="L214" s="169">
        <f t="shared" si="51"/>
        <v>0</v>
      </c>
      <c r="M214" s="170">
        <f t="shared" si="52"/>
        <v>0</v>
      </c>
      <c r="N214" s="168">
        <v>40</v>
      </c>
      <c r="O214" s="169">
        <f t="shared" si="53"/>
        <v>0</v>
      </c>
      <c r="P214" s="170">
        <f t="shared" si="54"/>
        <v>0</v>
      </c>
      <c r="Q214" s="168">
        <v>35</v>
      </c>
      <c r="R214" s="169">
        <f t="shared" si="55"/>
        <v>25</v>
      </c>
      <c r="S214" s="170">
        <f t="shared" si="56"/>
        <v>5</v>
      </c>
      <c r="T214" s="171">
        <v>35</v>
      </c>
      <c r="U214" s="169">
        <f t="shared" si="57"/>
        <v>25</v>
      </c>
      <c r="V214" s="170">
        <f t="shared" si="58"/>
        <v>5</v>
      </c>
      <c r="W214" s="2"/>
    </row>
    <row r="215" spans="1:23" ht="15" customHeight="1">
      <c r="A215" s="49">
        <v>56</v>
      </c>
      <c r="B215" s="50" t="s">
        <v>19</v>
      </c>
      <c r="C215" s="50" t="s">
        <v>183</v>
      </c>
      <c r="D215" s="49">
        <v>25</v>
      </c>
      <c r="E215" s="49">
        <v>20</v>
      </c>
      <c r="F215" s="50">
        <f t="shared" si="59"/>
        <v>22.5</v>
      </c>
      <c r="G215" s="47" t="s">
        <v>807</v>
      </c>
      <c r="H215" s="168">
        <v>20</v>
      </c>
      <c r="I215" s="169">
        <f t="shared" si="49"/>
        <v>6.25</v>
      </c>
      <c r="J215" s="170">
        <f t="shared" si="50"/>
        <v>2.5</v>
      </c>
      <c r="K215" s="168">
        <v>20</v>
      </c>
      <c r="L215" s="169">
        <f t="shared" si="51"/>
        <v>6.25</v>
      </c>
      <c r="M215" s="170">
        <f t="shared" si="52"/>
        <v>2.5</v>
      </c>
      <c r="N215" s="168">
        <v>15</v>
      </c>
      <c r="O215" s="169">
        <f t="shared" si="53"/>
        <v>56.25</v>
      </c>
      <c r="P215" s="170">
        <f t="shared" si="54"/>
        <v>7.5</v>
      </c>
      <c r="Q215" s="168">
        <v>20</v>
      </c>
      <c r="R215" s="169">
        <f t="shared" si="55"/>
        <v>6.25</v>
      </c>
      <c r="S215" s="170">
        <f t="shared" si="56"/>
        <v>2.5</v>
      </c>
      <c r="T215" s="171">
        <v>20</v>
      </c>
      <c r="U215" s="169">
        <f t="shared" si="57"/>
        <v>6.25</v>
      </c>
      <c r="V215" s="170">
        <f t="shared" si="58"/>
        <v>2.5</v>
      </c>
      <c r="W215" s="2"/>
    </row>
    <row r="216" spans="1:23" ht="15" customHeight="1">
      <c r="A216" s="49">
        <v>57</v>
      </c>
      <c r="B216" s="49" t="s">
        <v>19</v>
      </c>
      <c r="C216" s="49" t="s">
        <v>186</v>
      </c>
      <c r="D216" s="49">
        <v>30</v>
      </c>
      <c r="E216" s="49">
        <v>30</v>
      </c>
      <c r="F216" s="50">
        <f t="shared" si="59"/>
        <v>30</v>
      </c>
      <c r="G216" s="47" t="s">
        <v>808</v>
      </c>
      <c r="H216" s="168">
        <v>30</v>
      </c>
      <c r="I216" s="169">
        <f t="shared" si="49"/>
        <v>0</v>
      </c>
      <c r="J216" s="170">
        <f t="shared" si="50"/>
        <v>0</v>
      </c>
      <c r="K216" s="168">
        <v>30</v>
      </c>
      <c r="L216" s="169">
        <f t="shared" si="51"/>
        <v>0</v>
      </c>
      <c r="M216" s="170">
        <f t="shared" si="52"/>
        <v>0</v>
      </c>
      <c r="N216" s="168">
        <v>15</v>
      </c>
      <c r="O216" s="169">
        <f t="shared" si="53"/>
        <v>225</v>
      </c>
      <c r="P216" s="170">
        <f t="shared" si="54"/>
        <v>15</v>
      </c>
      <c r="Q216" s="168">
        <v>25</v>
      </c>
      <c r="R216" s="169">
        <f t="shared" si="55"/>
        <v>25</v>
      </c>
      <c r="S216" s="170">
        <f t="shared" si="56"/>
        <v>5</v>
      </c>
      <c r="T216" s="171">
        <v>20</v>
      </c>
      <c r="U216" s="169">
        <f t="shared" si="57"/>
        <v>100</v>
      </c>
      <c r="V216" s="170">
        <f t="shared" si="58"/>
        <v>10</v>
      </c>
      <c r="W216" s="2"/>
    </row>
    <row r="217" spans="1:23" ht="15" customHeight="1">
      <c r="A217" s="43">
        <v>58</v>
      </c>
      <c r="B217" s="50" t="s">
        <v>19</v>
      </c>
      <c r="C217" s="50" t="s">
        <v>189</v>
      </c>
      <c r="D217" s="49">
        <v>0</v>
      </c>
      <c r="E217" s="49">
        <v>0</v>
      </c>
      <c r="F217" s="50">
        <f t="shared" si="59"/>
        <v>0</v>
      </c>
      <c r="G217" s="47" t="s">
        <v>809</v>
      </c>
      <c r="H217" s="168">
        <v>20</v>
      </c>
      <c r="I217" s="169">
        <f t="shared" si="49"/>
        <v>400</v>
      </c>
      <c r="J217" s="170">
        <f t="shared" si="50"/>
        <v>20</v>
      </c>
      <c r="K217" s="168">
        <v>20</v>
      </c>
      <c r="L217" s="169">
        <f t="shared" si="51"/>
        <v>400</v>
      </c>
      <c r="M217" s="170">
        <f t="shared" si="52"/>
        <v>20</v>
      </c>
      <c r="N217" s="168">
        <v>10</v>
      </c>
      <c r="O217" s="169">
        <f t="shared" si="53"/>
        <v>100</v>
      </c>
      <c r="P217" s="170">
        <f t="shared" si="54"/>
        <v>10</v>
      </c>
      <c r="Q217" s="168">
        <v>10</v>
      </c>
      <c r="R217" s="169">
        <f t="shared" si="55"/>
        <v>100</v>
      </c>
      <c r="S217" s="170">
        <f t="shared" si="56"/>
        <v>10</v>
      </c>
      <c r="T217" s="171">
        <v>20</v>
      </c>
      <c r="U217" s="169">
        <f t="shared" si="57"/>
        <v>400</v>
      </c>
      <c r="V217" s="170">
        <f t="shared" si="58"/>
        <v>20</v>
      </c>
      <c r="W217" s="2"/>
    </row>
    <row r="218" spans="1:23" ht="15" customHeight="1">
      <c r="A218" s="49">
        <v>59</v>
      </c>
      <c r="B218" s="50" t="s">
        <v>19</v>
      </c>
      <c r="C218" s="50" t="s">
        <v>192</v>
      </c>
      <c r="D218" s="49">
        <v>30</v>
      </c>
      <c r="E218" s="49">
        <v>30</v>
      </c>
      <c r="F218" s="50">
        <f t="shared" si="59"/>
        <v>30</v>
      </c>
      <c r="G218" s="47" t="s">
        <v>810</v>
      </c>
      <c r="H218" s="168">
        <v>20</v>
      </c>
      <c r="I218" s="169">
        <f t="shared" si="49"/>
        <v>100</v>
      </c>
      <c r="J218" s="170">
        <f t="shared" si="50"/>
        <v>10</v>
      </c>
      <c r="K218" s="168">
        <v>25</v>
      </c>
      <c r="L218" s="169">
        <f t="shared" si="51"/>
        <v>25</v>
      </c>
      <c r="M218" s="170">
        <f t="shared" si="52"/>
        <v>5</v>
      </c>
      <c r="N218" s="168">
        <v>10</v>
      </c>
      <c r="O218" s="169">
        <f t="shared" si="53"/>
        <v>400</v>
      </c>
      <c r="P218" s="170">
        <f t="shared" si="54"/>
        <v>20</v>
      </c>
      <c r="Q218" s="168">
        <v>25</v>
      </c>
      <c r="R218" s="169">
        <f t="shared" si="55"/>
        <v>25</v>
      </c>
      <c r="S218" s="170">
        <f t="shared" si="56"/>
        <v>5</v>
      </c>
      <c r="T218" s="171">
        <v>20</v>
      </c>
      <c r="U218" s="169">
        <f t="shared" si="57"/>
        <v>100</v>
      </c>
      <c r="V218" s="170">
        <f t="shared" si="58"/>
        <v>10</v>
      </c>
      <c r="W218" s="2"/>
    </row>
    <row r="219" spans="1:23" ht="15" customHeight="1">
      <c r="A219" s="49">
        <v>60</v>
      </c>
      <c r="B219" s="50" t="s">
        <v>19</v>
      </c>
      <c r="C219" s="50" t="s">
        <v>195</v>
      </c>
      <c r="D219" s="49">
        <v>40</v>
      </c>
      <c r="E219" s="49">
        <v>40</v>
      </c>
      <c r="F219" s="50">
        <f t="shared" si="59"/>
        <v>40</v>
      </c>
      <c r="G219" s="47" t="s">
        <v>811</v>
      </c>
      <c r="H219" s="168">
        <v>30</v>
      </c>
      <c r="I219" s="169">
        <f t="shared" si="49"/>
        <v>100</v>
      </c>
      <c r="J219" s="170">
        <f t="shared" si="50"/>
        <v>10</v>
      </c>
      <c r="K219" s="168">
        <v>40</v>
      </c>
      <c r="L219" s="169">
        <f t="shared" si="51"/>
        <v>0</v>
      </c>
      <c r="M219" s="170">
        <f t="shared" si="52"/>
        <v>0</v>
      </c>
      <c r="N219" s="168">
        <v>40</v>
      </c>
      <c r="O219" s="169">
        <f t="shared" si="53"/>
        <v>0</v>
      </c>
      <c r="P219" s="170">
        <f t="shared" si="54"/>
        <v>0</v>
      </c>
      <c r="Q219" s="168">
        <v>35</v>
      </c>
      <c r="R219" s="169">
        <f t="shared" si="55"/>
        <v>25</v>
      </c>
      <c r="S219" s="170">
        <f t="shared" si="56"/>
        <v>5</v>
      </c>
      <c r="T219" s="171">
        <v>20</v>
      </c>
      <c r="U219" s="169">
        <f t="shared" si="57"/>
        <v>400</v>
      </c>
      <c r="V219" s="170">
        <f t="shared" si="58"/>
        <v>20</v>
      </c>
      <c r="W219" s="2"/>
    </row>
    <row r="220" spans="1:23" ht="15" customHeight="1">
      <c r="A220" s="51">
        <v>61</v>
      </c>
      <c r="B220" s="50" t="s">
        <v>19</v>
      </c>
      <c r="C220" s="49" t="s">
        <v>198</v>
      </c>
      <c r="D220" s="49">
        <v>10</v>
      </c>
      <c r="E220" s="49">
        <v>10</v>
      </c>
      <c r="F220" s="50">
        <f t="shared" si="59"/>
        <v>10</v>
      </c>
      <c r="G220" s="47" t="s">
        <v>812</v>
      </c>
      <c r="H220" s="168">
        <v>30</v>
      </c>
      <c r="I220" s="169">
        <f t="shared" si="49"/>
        <v>400</v>
      </c>
      <c r="J220" s="170">
        <f t="shared" si="50"/>
        <v>20</v>
      </c>
      <c r="K220" s="168">
        <v>30</v>
      </c>
      <c r="L220" s="169">
        <f t="shared" si="51"/>
        <v>400</v>
      </c>
      <c r="M220" s="170">
        <f t="shared" si="52"/>
        <v>20</v>
      </c>
      <c r="N220" s="168">
        <v>10</v>
      </c>
      <c r="O220" s="169">
        <f t="shared" si="53"/>
        <v>0</v>
      </c>
      <c r="P220" s="170">
        <f t="shared" si="54"/>
        <v>0</v>
      </c>
      <c r="Q220" s="168">
        <v>30</v>
      </c>
      <c r="R220" s="169">
        <f t="shared" si="55"/>
        <v>400</v>
      </c>
      <c r="S220" s="170">
        <f t="shared" si="56"/>
        <v>20</v>
      </c>
      <c r="T220" s="171">
        <v>20</v>
      </c>
      <c r="U220" s="169">
        <f t="shared" si="57"/>
        <v>100</v>
      </c>
      <c r="V220" s="170">
        <f t="shared" si="58"/>
        <v>10</v>
      </c>
      <c r="W220" s="2"/>
    </row>
    <row r="221" spans="1:23" ht="15" customHeight="1">
      <c r="A221" s="49">
        <v>62</v>
      </c>
      <c r="B221" s="50" t="s">
        <v>19</v>
      </c>
      <c r="C221" s="49" t="s">
        <v>201</v>
      </c>
      <c r="D221" s="49">
        <v>10</v>
      </c>
      <c r="E221" s="49">
        <v>0</v>
      </c>
      <c r="F221" s="50">
        <f t="shared" si="59"/>
        <v>5</v>
      </c>
      <c r="G221" s="47" t="s">
        <v>813</v>
      </c>
      <c r="H221" s="168">
        <v>20</v>
      </c>
      <c r="I221" s="169">
        <f t="shared" si="49"/>
        <v>225</v>
      </c>
      <c r="J221" s="170">
        <f t="shared" si="50"/>
        <v>15</v>
      </c>
      <c r="K221" s="168">
        <v>20</v>
      </c>
      <c r="L221" s="169">
        <f t="shared" si="51"/>
        <v>225</v>
      </c>
      <c r="M221" s="170">
        <f t="shared" si="52"/>
        <v>15</v>
      </c>
      <c r="N221" s="168">
        <v>10</v>
      </c>
      <c r="O221" s="169">
        <f t="shared" si="53"/>
        <v>25</v>
      </c>
      <c r="P221" s="170">
        <f t="shared" si="54"/>
        <v>5</v>
      </c>
      <c r="Q221" s="168">
        <v>25</v>
      </c>
      <c r="R221" s="169">
        <f t="shared" si="55"/>
        <v>400</v>
      </c>
      <c r="S221" s="170">
        <f t="shared" si="56"/>
        <v>20</v>
      </c>
      <c r="T221" s="171">
        <v>20</v>
      </c>
      <c r="U221" s="169">
        <f t="shared" si="57"/>
        <v>225</v>
      </c>
      <c r="V221" s="170">
        <f t="shared" si="58"/>
        <v>15</v>
      </c>
      <c r="W221" s="2"/>
    </row>
    <row r="222" spans="1:23" ht="15" customHeight="1">
      <c r="A222" s="49">
        <v>63</v>
      </c>
      <c r="B222" s="50" t="s">
        <v>19</v>
      </c>
      <c r="C222" s="50" t="s">
        <v>204</v>
      </c>
      <c r="D222" s="49">
        <v>30</v>
      </c>
      <c r="E222" s="49">
        <v>30</v>
      </c>
      <c r="F222" s="50">
        <f t="shared" si="59"/>
        <v>30</v>
      </c>
      <c r="G222" s="47" t="s">
        <v>814</v>
      </c>
      <c r="H222" s="168">
        <v>20</v>
      </c>
      <c r="I222" s="169">
        <f t="shared" si="49"/>
        <v>100</v>
      </c>
      <c r="J222" s="170">
        <f t="shared" si="50"/>
        <v>10</v>
      </c>
      <c r="K222" s="168">
        <v>35</v>
      </c>
      <c r="L222" s="169">
        <f t="shared" si="51"/>
        <v>25</v>
      </c>
      <c r="M222" s="170">
        <f t="shared" si="52"/>
        <v>5</v>
      </c>
      <c r="N222" s="168">
        <v>35</v>
      </c>
      <c r="O222" s="169">
        <f t="shared" si="53"/>
        <v>25</v>
      </c>
      <c r="P222" s="170">
        <f t="shared" si="54"/>
        <v>5</v>
      </c>
      <c r="Q222" s="168">
        <v>25</v>
      </c>
      <c r="R222" s="169">
        <f t="shared" si="55"/>
        <v>25</v>
      </c>
      <c r="S222" s="170">
        <f t="shared" si="56"/>
        <v>5</v>
      </c>
      <c r="T222" s="171">
        <v>20</v>
      </c>
      <c r="U222" s="169">
        <f t="shared" si="57"/>
        <v>100</v>
      </c>
      <c r="V222" s="170">
        <f t="shared" si="58"/>
        <v>10</v>
      </c>
      <c r="W222" s="2"/>
    </row>
    <row r="223" spans="1:23" ht="15" customHeight="1">
      <c r="A223" s="43">
        <v>64</v>
      </c>
      <c r="B223" s="49" t="s">
        <v>19</v>
      </c>
      <c r="C223" s="49" t="s">
        <v>207</v>
      </c>
      <c r="D223" s="49">
        <v>25</v>
      </c>
      <c r="E223" s="49">
        <v>20</v>
      </c>
      <c r="F223" s="50">
        <f t="shared" si="59"/>
        <v>22.5</v>
      </c>
      <c r="G223" s="47" t="s">
        <v>815</v>
      </c>
      <c r="H223" s="168">
        <v>30</v>
      </c>
      <c r="I223" s="169">
        <f t="shared" si="49"/>
        <v>56.25</v>
      </c>
      <c r="J223" s="170">
        <f t="shared" si="50"/>
        <v>7.5</v>
      </c>
      <c r="K223" s="168">
        <v>30</v>
      </c>
      <c r="L223" s="169">
        <f t="shared" si="51"/>
        <v>56.25</v>
      </c>
      <c r="M223" s="170">
        <f t="shared" si="52"/>
        <v>7.5</v>
      </c>
      <c r="N223" s="168">
        <v>35</v>
      </c>
      <c r="O223" s="169">
        <f t="shared" si="53"/>
        <v>156.25</v>
      </c>
      <c r="P223" s="170">
        <f t="shared" si="54"/>
        <v>12.5</v>
      </c>
      <c r="Q223" s="168">
        <v>30</v>
      </c>
      <c r="R223" s="169">
        <f t="shared" si="55"/>
        <v>56.25</v>
      </c>
      <c r="S223" s="170">
        <f t="shared" si="56"/>
        <v>7.5</v>
      </c>
      <c r="T223" s="171">
        <v>20</v>
      </c>
      <c r="U223" s="169">
        <f t="shared" si="57"/>
        <v>6.25</v>
      </c>
      <c r="V223" s="170">
        <f t="shared" si="58"/>
        <v>2.5</v>
      </c>
      <c r="W223" s="2"/>
    </row>
    <row r="224" spans="1:23" ht="15" customHeight="1">
      <c r="A224" s="49">
        <v>65</v>
      </c>
      <c r="B224" s="49" t="s">
        <v>19</v>
      </c>
      <c r="C224" s="49" t="s">
        <v>124</v>
      </c>
      <c r="D224" s="49">
        <v>40</v>
      </c>
      <c r="E224" s="49">
        <v>40</v>
      </c>
      <c r="F224" s="50">
        <f t="shared" si="59"/>
        <v>40</v>
      </c>
      <c r="G224" s="47" t="s">
        <v>788</v>
      </c>
      <c r="H224" s="168">
        <v>30</v>
      </c>
      <c r="I224" s="169">
        <f t="shared" si="49"/>
        <v>100</v>
      </c>
      <c r="J224" s="170">
        <f t="shared" si="50"/>
        <v>10</v>
      </c>
      <c r="K224" s="168">
        <v>25</v>
      </c>
      <c r="L224" s="169">
        <f t="shared" si="51"/>
        <v>225</v>
      </c>
      <c r="M224" s="170">
        <f t="shared" si="52"/>
        <v>15</v>
      </c>
      <c r="N224" s="168">
        <v>30</v>
      </c>
      <c r="O224" s="169">
        <f t="shared" si="53"/>
        <v>100</v>
      </c>
      <c r="P224" s="170">
        <f t="shared" si="54"/>
        <v>10</v>
      </c>
      <c r="Q224" s="168">
        <v>25</v>
      </c>
      <c r="R224" s="169">
        <f t="shared" si="55"/>
        <v>225</v>
      </c>
      <c r="S224" s="170">
        <f t="shared" si="56"/>
        <v>15</v>
      </c>
      <c r="T224" s="171">
        <v>30</v>
      </c>
      <c r="U224" s="169">
        <f t="shared" si="57"/>
        <v>100</v>
      </c>
      <c r="V224" s="170">
        <f t="shared" si="58"/>
        <v>10</v>
      </c>
      <c r="W224" s="2"/>
    </row>
    <row r="225" spans="1:23" ht="15" customHeight="1">
      <c r="A225" s="49">
        <v>66</v>
      </c>
      <c r="B225" s="49" t="s">
        <v>19</v>
      </c>
      <c r="C225" s="50" t="s">
        <v>212</v>
      </c>
      <c r="D225" s="49">
        <v>10</v>
      </c>
      <c r="E225" s="49">
        <v>25</v>
      </c>
      <c r="F225" s="50">
        <f t="shared" si="59"/>
        <v>17.5</v>
      </c>
      <c r="G225" s="47" t="s">
        <v>816</v>
      </c>
      <c r="H225" s="168">
        <v>10</v>
      </c>
      <c r="I225" s="169">
        <f t="shared" si="49"/>
        <v>56.25</v>
      </c>
      <c r="J225" s="170">
        <f t="shared" si="50"/>
        <v>7.5</v>
      </c>
      <c r="K225" s="168">
        <v>25</v>
      </c>
      <c r="L225" s="169">
        <f t="shared" si="51"/>
        <v>56.25</v>
      </c>
      <c r="M225" s="170">
        <f t="shared" si="52"/>
        <v>7.5</v>
      </c>
      <c r="N225" s="168">
        <v>10</v>
      </c>
      <c r="O225" s="169">
        <f t="shared" si="53"/>
        <v>56.25</v>
      </c>
      <c r="P225" s="170">
        <f t="shared" si="54"/>
        <v>7.5</v>
      </c>
      <c r="Q225" s="168">
        <v>15</v>
      </c>
      <c r="R225" s="169">
        <f t="shared" si="55"/>
        <v>6.25</v>
      </c>
      <c r="S225" s="170">
        <f t="shared" si="56"/>
        <v>2.5</v>
      </c>
      <c r="T225" s="171">
        <v>10</v>
      </c>
      <c r="U225" s="169">
        <f t="shared" si="57"/>
        <v>56.25</v>
      </c>
      <c r="V225" s="170">
        <f t="shared" si="58"/>
        <v>7.5</v>
      </c>
      <c r="W225" s="2"/>
    </row>
    <row r="226" spans="1:23" ht="15" customHeight="1">
      <c r="A226" s="51">
        <v>67</v>
      </c>
      <c r="B226" s="50" t="s">
        <v>19</v>
      </c>
      <c r="C226" s="50" t="s">
        <v>215</v>
      </c>
      <c r="D226" s="49">
        <v>0</v>
      </c>
      <c r="E226" s="49">
        <v>0</v>
      </c>
      <c r="F226" s="50">
        <f t="shared" si="59"/>
        <v>0</v>
      </c>
      <c r="G226" s="47" t="s">
        <v>817</v>
      </c>
      <c r="H226" s="168">
        <v>20</v>
      </c>
      <c r="I226" s="169">
        <f t="shared" si="49"/>
        <v>400</v>
      </c>
      <c r="J226" s="170">
        <f t="shared" si="50"/>
        <v>20</v>
      </c>
      <c r="K226" s="168">
        <v>25</v>
      </c>
      <c r="L226" s="169">
        <f t="shared" si="51"/>
        <v>625</v>
      </c>
      <c r="M226" s="170">
        <f t="shared" si="52"/>
        <v>25</v>
      </c>
      <c r="N226" s="168">
        <v>20</v>
      </c>
      <c r="O226" s="169">
        <f t="shared" si="53"/>
        <v>400</v>
      </c>
      <c r="P226" s="170">
        <f t="shared" si="54"/>
        <v>20</v>
      </c>
      <c r="Q226" s="168">
        <v>15</v>
      </c>
      <c r="R226" s="169">
        <f t="shared" si="55"/>
        <v>225</v>
      </c>
      <c r="S226" s="170">
        <f t="shared" si="56"/>
        <v>15</v>
      </c>
      <c r="T226" s="171">
        <v>20</v>
      </c>
      <c r="U226" s="169">
        <f t="shared" si="57"/>
        <v>400</v>
      </c>
      <c r="V226" s="170">
        <f t="shared" si="58"/>
        <v>20</v>
      </c>
      <c r="W226" s="2"/>
    </row>
    <row r="227" spans="1:23" ht="15" customHeight="1">
      <c r="A227" s="49">
        <v>68</v>
      </c>
      <c r="B227" s="50" t="s">
        <v>19</v>
      </c>
      <c r="C227" s="50" t="s">
        <v>218</v>
      </c>
      <c r="D227" s="49">
        <v>10</v>
      </c>
      <c r="E227" s="49">
        <v>10</v>
      </c>
      <c r="F227" s="50">
        <f t="shared" si="59"/>
        <v>10</v>
      </c>
      <c r="G227" s="47" t="s">
        <v>818</v>
      </c>
      <c r="H227" s="168">
        <v>20</v>
      </c>
      <c r="I227" s="169">
        <f t="shared" si="49"/>
        <v>100</v>
      </c>
      <c r="J227" s="170">
        <f t="shared" si="50"/>
        <v>10</v>
      </c>
      <c r="K227" s="168">
        <v>30</v>
      </c>
      <c r="L227" s="169">
        <f t="shared" si="51"/>
        <v>400</v>
      </c>
      <c r="M227" s="170">
        <f t="shared" si="52"/>
        <v>20</v>
      </c>
      <c r="N227" s="168">
        <v>20</v>
      </c>
      <c r="O227" s="169">
        <f t="shared" si="53"/>
        <v>100</v>
      </c>
      <c r="P227" s="170">
        <f t="shared" si="54"/>
        <v>10</v>
      </c>
      <c r="Q227" s="168">
        <v>30</v>
      </c>
      <c r="R227" s="169">
        <f t="shared" si="55"/>
        <v>400</v>
      </c>
      <c r="S227" s="170">
        <f t="shared" si="56"/>
        <v>20</v>
      </c>
      <c r="T227" s="171">
        <v>20</v>
      </c>
      <c r="U227" s="169">
        <f t="shared" si="57"/>
        <v>100</v>
      </c>
      <c r="V227" s="170">
        <f t="shared" si="58"/>
        <v>10</v>
      </c>
      <c r="W227" s="2"/>
    </row>
    <row r="228" spans="1:23" ht="15" customHeight="1">
      <c r="A228" s="51">
        <v>70</v>
      </c>
      <c r="B228" s="50" t="s">
        <v>19</v>
      </c>
      <c r="C228" s="49" t="s">
        <v>223</v>
      </c>
      <c r="D228" s="49">
        <v>20</v>
      </c>
      <c r="E228" s="49">
        <v>20</v>
      </c>
      <c r="F228" s="50">
        <f t="shared" si="59"/>
        <v>20</v>
      </c>
      <c r="G228" s="47" t="s">
        <v>819</v>
      </c>
      <c r="H228" s="168">
        <v>10</v>
      </c>
      <c r="I228" s="169">
        <f t="shared" si="49"/>
        <v>100</v>
      </c>
      <c r="J228" s="170">
        <f t="shared" si="50"/>
        <v>10</v>
      </c>
      <c r="K228" s="168">
        <v>25</v>
      </c>
      <c r="L228" s="169">
        <f t="shared" si="51"/>
        <v>25</v>
      </c>
      <c r="M228" s="170">
        <f t="shared" si="52"/>
        <v>5</v>
      </c>
      <c r="N228" s="168">
        <v>10</v>
      </c>
      <c r="O228" s="169">
        <f t="shared" si="53"/>
        <v>100</v>
      </c>
      <c r="P228" s="170">
        <f t="shared" si="54"/>
        <v>10</v>
      </c>
      <c r="Q228" s="168">
        <v>25</v>
      </c>
      <c r="R228" s="169">
        <f t="shared" si="55"/>
        <v>25</v>
      </c>
      <c r="S228" s="170">
        <f t="shared" si="56"/>
        <v>5</v>
      </c>
      <c r="T228" s="171">
        <v>20</v>
      </c>
      <c r="U228" s="169">
        <f t="shared" si="57"/>
        <v>0</v>
      </c>
      <c r="V228" s="170">
        <f t="shared" si="58"/>
        <v>0</v>
      </c>
      <c r="W228" s="2"/>
    </row>
    <row r="229" spans="1:23" ht="15" customHeight="1">
      <c r="A229" s="49">
        <v>71</v>
      </c>
      <c r="B229" s="50" t="s">
        <v>19</v>
      </c>
      <c r="C229" s="50" t="s">
        <v>226</v>
      </c>
      <c r="D229" s="49">
        <v>20</v>
      </c>
      <c r="E229" s="49">
        <v>30</v>
      </c>
      <c r="F229" s="50">
        <f t="shared" si="59"/>
        <v>25</v>
      </c>
      <c r="G229" s="47" t="s">
        <v>820</v>
      </c>
      <c r="H229" s="168">
        <v>30</v>
      </c>
      <c r="I229" s="169">
        <f t="shared" si="49"/>
        <v>25</v>
      </c>
      <c r="J229" s="170">
        <f t="shared" si="50"/>
        <v>5</v>
      </c>
      <c r="K229" s="168">
        <v>25</v>
      </c>
      <c r="L229" s="169">
        <f t="shared" si="51"/>
        <v>0</v>
      </c>
      <c r="M229" s="170">
        <f t="shared" si="52"/>
        <v>0</v>
      </c>
      <c r="N229" s="168">
        <v>10</v>
      </c>
      <c r="O229" s="169">
        <f t="shared" si="53"/>
        <v>225</v>
      </c>
      <c r="P229" s="170">
        <f t="shared" si="54"/>
        <v>15</v>
      </c>
      <c r="Q229" s="168">
        <v>15</v>
      </c>
      <c r="R229" s="169">
        <f t="shared" si="55"/>
        <v>100</v>
      </c>
      <c r="S229" s="170">
        <f t="shared" si="56"/>
        <v>10</v>
      </c>
      <c r="T229" s="171">
        <v>20</v>
      </c>
      <c r="U229" s="169">
        <f t="shared" si="57"/>
        <v>25</v>
      </c>
      <c r="V229" s="170">
        <f t="shared" si="58"/>
        <v>5</v>
      </c>
      <c r="W229" s="2"/>
    </row>
    <row r="230" spans="1:23" ht="15" customHeight="1">
      <c r="A230" s="49">
        <v>72</v>
      </c>
      <c r="B230" s="50" t="s">
        <v>19</v>
      </c>
      <c r="C230" s="50" t="s">
        <v>229</v>
      </c>
      <c r="D230" s="49">
        <v>5</v>
      </c>
      <c r="E230" s="49">
        <v>10</v>
      </c>
      <c r="F230" s="50">
        <f t="shared" si="59"/>
        <v>7.5</v>
      </c>
      <c r="G230" s="47" t="s">
        <v>821</v>
      </c>
      <c r="H230" s="168">
        <v>10</v>
      </c>
      <c r="I230" s="169">
        <f t="shared" si="49"/>
        <v>6.25</v>
      </c>
      <c r="J230" s="170">
        <f t="shared" si="50"/>
        <v>2.5</v>
      </c>
      <c r="K230" s="168">
        <v>15</v>
      </c>
      <c r="L230" s="169">
        <f t="shared" si="51"/>
        <v>56.25</v>
      </c>
      <c r="M230" s="170">
        <f t="shared" si="52"/>
        <v>7.5</v>
      </c>
      <c r="N230" s="168">
        <v>15</v>
      </c>
      <c r="O230" s="169">
        <f t="shared" si="53"/>
        <v>56.25</v>
      </c>
      <c r="P230" s="170">
        <f t="shared" si="54"/>
        <v>7.5</v>
      </c>
      <c r="Q230" s="168">
        <v>25</v>
      </c>
      <c r="R230" s="169">
        <f t="shared" si="55"/>
        <v>306.25</v>
      </c>
      <c r="S230" s="170">
        <f t="shared" si="56"/>
        <v>17.5</v>
      </c>
      <c r="T230" s="171">
        <v>20</v>
      </c>
      <c r="U230" s="169">
        <f t="shared" si="57"/>
        <v>156.25</v>
      </c>
      <c r="V230" s="170">
        <f t="shared" si="58"/>
        <v>12.5</v>
      </c>
      <c r="W230" s="2"/>
    </row>
    <row r="231" spans="1:23" ht="15" customHeight="1">
      <c r="A231" s="43">
        <v>73</v>
      </c>
      <c r="B231" s="50" t="s">
        <v>19</v>
      </c>
      <c r="C231" s="50" t="s">
        <v>232</v>
      </c>
      <c r="D231" s="49">
        <v>10</v>
      </c>
      <c r="E231" s="49">
        <v>20</v>
      </c>
      <c r="F231" s="50">
        <f t="shared" si="59"/>
        <v>15</v>
      </c>
      <c r="G231" s="47" t="s">
        <v>822</v>
      </c>
      <c r="H231" s="168">
        <v>10</v>
      </c>
      <c r="I231" s="169">
        <f t="shared" si="49"/>
        <v>25</v>
      </c>
      <c r="J231" s="170">
        <f t="shared" si="50"/>
        <v>5</v>
      </c>
      <c r="K231" s="168">
        <v>15</v>
      </c>
      <c r="L231" s="169">
        <f t="shared" si="51"/>
        <v>0</v>
      </c>
      <c r="M231" s="170">
        <f t="shared" si="52"/>
        <v>0</v>
      </c>
      <c r="N231" s="168">
        <v>10</v>
      </c>
      <c r="O231" s="169">
        <f t="shared" si="53"/>
        <v>25</v>
      </c>
      <c r="P231" s="170">
        <f t="shared" si="54"/>
        <v>5</v>
      </c>
      <c r="Q231" s="168">
        <v>25</v>
      </c>
      <c r="R231" s="169">
        <f t="shared" si="55"/>
        <v>100</v>
      </c>
      <c r="S231" s="170">
        <f t="shared" si="56"/>
        <v>10</v>
      </c>
      <c r="T231" s="171">
        <v>20</v>
      </c>
      <c r="U231" s="169">
        <f t="shared" si="57"/>
        <v>25</v>
      </c>
      <c r="V231" s="170">
        <f t="shared" si="58"/>
        <v>5</v>
      </c>
      <c r="W231" s="2"/>
    </row>
    <row r="232" spans="1:23" ht="15" customHeight="1">
      <c r="A232" s="49">
        <v>74</v>
      </c>
      <c r="B232" s="50" t="s">
        <v>19</v>
      </c>
      <c r="C232" s="50" t="s">
        <v>235</v>
      </c>
      <c r="D232" s="49">
        <v>20</v>
      </c>
      <c r="E232" s="49">
        <v>20</v>
      </c>
      <c r="F232" s="50">
        <f t="shared" si="59"/>
        <v>20</v>
      </c>
      <c r="G232" s="47" t="s">
        <v>823</v>
      </c>
      <c r="H232" s="168">
        <v>30</v>
      </c>
      <c r="I232" s="169">
        <f t="shared" si="49"/>
        <v>100</v>
      </c>
      <c r="J232" s="170">
        <f t="shared" si="50"/>
        <v>10</v>
      </c>
      <c r="K232" s="168">
        <v>40</v>
      </c>
      <c r="L232" s="169">
        <f t="shared" si="51"/>
        <v>400</v>
      </c>
      <c r="M232" s="170">
        <f t="shared" si="52"/>
        <v>20</v>
      </c>
      <c r="N232" s="168">
        <v>35</v>
      </c>
      <c r="O232" s="169">
        <f t="shared" si="53"/>
        <v>225</v>
      </c>
      <c r="P232" s="170">
        <f t="shared" si="54"/>
        <v>15</v>
      </c>
      <c r="Q232" s="168">
        <v>35</v>
      </c>
      <c r="R232" s="169">
        <f t="shared" si="55"/>
        <v>225</v>
      </c>
      <c r="S232" s="170">
        <f t="shared" si="56"/>
        <v>15</v>
      </c>
      <c r="T232" s="171">
        <v>35</v>
      </c>
      <c r="U232" s="169">
        <f t="shared" si="57"/>
        <v>225</v>
      </c>
      <c r="V232" s="170">
        <f t="shared" si="58"/>
        <v>15</v>
      </c>
      <c r="W232" s="2"/>
    </row>
    <row r="233" spans="1:23" ht="15" customHeight="1">
      <c r="A233" s="49">
        <v>75</v>
      </c>
      <c r="B233" s="50" t="s">
        <v>19</v>
      </c>
      <c r="C233" s="50" t="s">
        <v>238</v>
      </c>
      <c r="D233" s="49">
        <v>0</v>
      </c>
      <c r="E233" s="49">
        <v>0</v>
      </c>
      <c r="F233" s="50">
        <f t="shared" si="59"/>
        <v>0</v>
      </c>
      <c r="G233" s="47" t="s">
        <v>824</v>
      </c>
      <c r="H233" s="168">
        <v>20</v>
      </c>
      <c r="I233" s="169">
        <f t="shared" si="49"/>
        <v>400</v>
      </c>
      <c r="J233" s="170">
        <f t="shared" si="50"/>
        <v>20</v>
      </c>
      <c r="K233" s="168">
        <v>20</v>
      </c>
      <c r="L233" s="169">
        <f t="shared" si="51"/>
        <v>400</v>
      </c>
      <c r="M233" s="170">
        <f t="shared" si="52"/>
        <v>20</v>
      </c>
      <c r="N233" s="168">
        <v>20</v>
      </c>
      <c r="O233" s="169">
        <f t="shared" si="53"/>
        <v>400</v>
      </c>
      <c r="P233" s="170">
        <f t="shared" si="54"/>
        <v>20</v>
      </c>
      <c r="Q233" s="168">
        <v>10</v>
      </c>
      <c r="R233" s="169">
        <f t="shared" si="55"/>
        <v>100</v>
      </c>
      <c r="S233" s="170">
        <f t="shared" si="56"/>
        <v>10</v>
      </c>
      <c r="T233" s="171">
        <v>20</v>
      </c>
      <c r="U233" s="169">
        <f t="shared" si="57"/>
        <v>400</v>
      </c>
      <c r="V233" s="170">
        <f t="shared" si="58"/>
        <v>20</v>
      </c>
      <c r="W233" s="2"/>
    </row>
    <row r="234" spans="1:23" ht="15" customHeight="1">
      <c r="A234" s="51">
        <v>76</v>
      </c>
      <c r="B234" s="50" t="s">
        <v>19</v>
      </c>
      <c r="C234" s="50" t="s">
        <v>241</v>
      </c>
      <c r="D234" s="49">
        <v>40</v>
      </c>
      <c r="E234" s="49">
        <v>40</v>
      </c>
      <c r="F234" s="50">
        <f t="shared" si="59"/>
        <v>40</v>
      </c>
      <c r="G234" s="47" t="s">
        <v>825</v>
      </c>
      <c r="H234" s="168">
        <v>20</v>
      </c>
      <c r="I234" s="169">
        <f t="shared" si="49"/>
        <v>400</v>
      </c>
      <c r="J234" s="170">
        <f t="shared" si="50"/>
        <v>20</v>
      </c>
      <c r="K234" s="168">
        <v>30</v>
      </c>
      <c r="L234" s="169">
        <f t="shared" si="51"/>
        <v>100</v>
      </c>
      <c r="M234" s="170">
        <f t="shared" si="52"/>
        <v>10</v>
      </c>
      <c r="N234" s="168">
        <v>10</v>
      </c>
      <c r="O234" s="169">
        <f t="shared" si="53"/>
        <v>900</v>
      </c>
      <c r="P234" s="170">
        <f t="shared" si="54"/>
        <v>30</v>
      </c>
      <c r="Q234" s="168">
        <v>30</v>
      </c>
      <c r="R234" s="169">
        <f t="shared" si="55"/>
        <v>100</v>
      </c>
      <c r="S234" s="170">
        <f t="shared" si="56"/>
        <v>10</v>
      </c>
      <c r="T234" s="171">
        <v>20</v>
      </c>
      <c r="U234" s="169">
        <f t="shared" si="57"/>
        <v>400</v>
      </c>
      <c r="V234" s="170">
        <f t="shared" si="58"/>
        <v>20</v>
      </c>
      <c r="W234" s="2"/>
    </row>
    <row r="235" spans="1:23" ht="15" customHeight="1">
      <c r="A235" s="49">
        <v>77</v>
      </c>
      <c r="B235" s="50" t="s">
        <v>19</v>
      </c>
      <c r="C235" s="50" t="s">
        <v>244</v>
      </c>
      <c r="D235" s="49">
        <v>40</v>
      </c>
      <c r="E235" s="49">
        <v>40</v>
      </c>
      <c r="F235" s="50">
        <f t="shared" si="59"/>
        <v>40</v>
      </c>
      <c r="G235" s="47" t="s">
        <v>826</v>
      </c>
      <c r="H235" s="168">
        <v>30</v>
      </c>
      <c r="I235" s="169">
        <f t="shared" si="49"/>
        <v>100</v>
      </c>
      <c r="J235" s="170">
        <f t="shared" si="50"/>
        <v>10</v>
      </c>
      <c r="K235" s="168">
        <v>30</v>
      </c>
      <c r="L235" s="169">
        <f t="shared" si="51"/>
        <v>100</v>
      </c>
      <c r="M235" s="170">
        <f t="shared" si="52"/>
        <v>10</v>
      </c>
      <c r="N235" s="168">
        <v>30</v>
      </c>
      <c r="O235" s="169">
        <f t="shared" si="53"/>
        <v>100</v>
      </c>
      <c r="P235" s="170">
        <f t="shared" si="54"/>
        <v>10</v>
      </c>
      <c r="Q235" s="168">
        <v>35</v>
      </c>
      <c r="R235" s="169">
        <f t="shared" si="55"/>
        <v>25</v>
      </c>
      <c r="S235" s="170">
        <f t="shared" si="56"/>
        <v>5</v>
      </c>
      <c r="T235" s="171">
        <v>30</v>
      </c>
      <c r="U235" s="169">
        <f t="shared" si="57"/>
        <v>100</v>
      </c>
      <c r="V235" s="170">
        <f t="shared" si="58"/>
        <v>10</v>
      </c>
      <c r="W235" s="2"/>
    </row>
    <row r="236" spans="1:23" ht="15" customHeight="1">
      <c r="A236" s="49">
        <v>78</v>
      </c>
      <c r="B236" s="50" t="s">
        <v>19</v>
      </c>
      <c r="C236" s="50" t="s">
        <v>247</v>
      </c>
      <c r="D236" s="49">
        <v>40</v>
      </c>
      <c r="E236" s="49">
        <v>40</v>
      </c>
      <c r="F236" s="50">
        <f t="shared" si="59"/>
        <v>40</v>
      </c>
      <c r="G236" s="47" t="s">
        <v>827</v>
      </c>
      <c r="H236" s="168">
        <v>30</v>
      </c>
      <c r="I236" s="169">
        <f t="shared" si="49"/>
        <v>100</v>
      </c>
      <c r="J236" s="170">
        <f t="shared" si="50"/>
        <v>10</v>
      </c>
      <c r="K236" s="168">
        <v>35</v>
      </c>
      <c r="L236" s="169">
        <f t="shared" si="51"/>
        <v>25</v>
      </c>
      <c r="M236" s="170">
        <f t="shared" si="52"/>
        <v>5</v>
      </c>
      <c r="N236" s="168">
        <v>30</v>
      </c>
      <c r="O236" s="169">
        <f t="shared" si="53"/>
        <v>100</v>
      </c>
      <c r="P236" s="170">
        <f t="shared" si="54"/>
        <v>10</v>
      </c>
      <c r="Q236" s="168">
        <v>30</v>
      </c>
      <c r="R236" s="169">
        <f t="shared" si="55"/>
        <v>100</v>
      </c>
      <c r="S236" s="170">
        <f t="shared" si="56"/>
        <v>10</v>
      </c>
      <c r="T236" s="171">
        <v>35</v>
      </c>
      <c r="U236" s="169">
        <f t="shared" si="57"/>
        <v>25</v>
      </c>
      <c r="V236" s="170">
        <f t="shared" si="58"/>
        <v>5</v>
      </c>
      <c r="W236" s="2"/>
    </row>
    <row r="237" spans="1:23" ht="15" customHeight="1">
      <c r="A237" s="49">
        <v>80</v>
      </c>
      <c r="B237" s="50" t="s">
        <v>19</v>
      </c>
      <c r="C237" s="49" t="s">
        <v>252</v>
      </c>
      <c r="D237" s="49">
        <v>0</v>
      </c>
      <c r="E237" s="49">
        <v>5</v>
      </c>
      <c r="F237" s="50">
        <f t="shared" si="59"/>
        <v>2.5</v>
      </c>
      <c r="G237" s="47" t="s">
        <v>828</v>
      </c>
      <c r="H237" s="168">
        <v>20</v>
      </c>
      <c r="I237" s="169">
        <f t="shared" si="49"/>
        <v>306.25</v>
      </c>
      <c r="J237" s="170">
        <f t="shared" si="50"/>
        <v>17.5</v>
      </c>
      <c r="K237" s="168">
        <v>25</v>
      </c>
      <c r="L237" s="169">
        <f t="shared" si="51"/>
        <v>506.25</v>
      </c>
      <c r="M237" s="170">
        <f t="shared" si="52"/>
        <v>22.5</v>
      </c>
      <c r="N237" s="168">
        <v>15</v>
      </c>
      <c r="O237" s="169">
        <f t="shared" si="53"/>
        <v>156.25</v>
      </c>
      <c r="P237" s="170">
        <f t="shared" si="54"/>
        <v>12.5</v>
      </c>
      <c r="Q237" s="168">
        <v>25</v>
      </c>
      <c r="R237" s="169">
        <f t="shared" si="55"/>
        <v>506.25</v>
      </c>
      <c r="S237" s="170">
        <f t="shared" si="56"/>
        <v>22.5</v>
      </c>
      <c r="T237" s="171">
        <v>20</v>
      </c>
      <c r="U237" s="169">
        <f t="shared" si="57"/>
        <v>306.25</v>
      </c>
      <c r="V237" s="170">
        <f t="shared" si="58"/>
        <v>17.5</v>
      </c>
      <c r="W237" s="2"/>
    </row>
    <row r="238" spans="1:23" ht="15" customHeight="1">
      <c r="A238" s="49">
        <v>81</v>
      </c>
      <c r="B238" s="50" t="s">
        <v>19</v>
      </c>
      <c r="C238" s="49" t="s">
        <v>255</v>
      </c>
      <c r="D238" s="49">
        <v>10</v>
      </c>
      <c r="E238" s="49">
        <v>10</v>
      </c>
      <c r="F238" s="50">
        <f t="shared" si="59"/>
        <v>10</v>
      </c>
      <c r="G238" s="47" t="s">
        <v>829</v>
      </c>
      <c r="H238" s="168">
        <v>10</v>
      </c>
      <c r="I238" s="169">
        <f t="shared" si="49"/>
        <v>0</v>
      </c>
      <c r="J238" s="170">
        <f t="shared" si="50"/>
        <v>0</v>
      </c>
      <c r="K238" s="168">
        <v>10</v>
      </c>
      <c r="L238" s="169">
        <f t="shared" si="51"/>
        <v>0</v>
      </c>
      <c r="M238" s="170">
        <f t="shared" si="52"/>
        <v>0</v>
      </c>
      <c r="N238" s="168">
        <v>10</v>
      </c>
      <c r="O238" s="169">
        <f t="shared" si="53"/>
        <v>0</v>
      </c>
      <c r="P238" s="170">
        <f t="shared" si="54"/>
        <v>0</v>
      </c>
      <c r="Q238" s="168">
        <v>15</v>
      </c>
      <c r="R238" s="169">
        <f t="shared" si="55"/>
        <v>25</v>
      </c>
      <c r="S238" s="170">
        <f t="shared" si="56"/>
        <v>5</v>
      </c>
      <c r="T238" s="171">
        <v>20</v>
      </c>
      <c r="U238" s="169">
        <f t="shared" si="57"/>
        <v>100</v>
      </c>
      <c r="V238" s="170">
        <f t="shared" si="58"/>
        <v>10</v>
      </c>
      <c r="W238" s="2"/>
    </row>
    <row r="239" spans="1:23" ht="15" customHeight="1">
      <c r="A239" s="43">
        <v>82</v>
      </c>
      <c r="B239" s="50" t="s">
        <v>19</v>
      </c>
      <c r="C239" s="49" t="s">
        <v>258</v>
      </c>
      <c r="D239" s="49">
        <v>30</v>
      </c>
      <c r="E239" s="49">
        <v>32</v>
      </c>
      <c r="F239" s="50">
        <f t="shared" si="59"/>
        <v>31</v>
      </c>
      <c r="G239" s="47" t="s">
        <v>830</v>
      </c>
      <c r="H239" s="168">
        <v>30</v>
      </c>
      <c r="I239" s="169">
        <f t="shared" si="49"/>
        <v>1</v>
      </c>
      <c r="J239" s="170">
        <f t="shared" si="50"/>
        <v>1</v>
      </c>
      <c r="K239" s="168">
        <v>35</v>
      </c>
      <c r="L239" s="169">
        <f t="shared" si="51"/>
        <v>16</v>
      </c>
      <c r="M239" s="170">
        <f t="shared" si="52"/>
        <v>4</v>
      </c>
      <c r="N239" s="168">
        <v>40</v>
      </c>
      <c r="O239" s="169">
        <f t="shared" si="53"/>
        <v>81</v>
      </c>
      <c r="P239" s="170">
        <f t="shared" si="54"/>
        <v>9</v>
      </c>
      <c r="Q239" s="168">
        <v>30</v>
      </c>
      <c r="R239" s="169">
        <f t="shared" si="55"/>
        <v>1</v>
      </c>
      <c r="S239" s="170">
        <f t="shared" si="56"/>
        <v>1</v>
      </c>
      <c r="T239" s="171">
        <v>20</v>
      </c>
      <c r="U239" s="169">
        <f t="shared" si="57"/>
        <v>121</v>
      </c>
      <c r="V239" s="170">
        <f t="shared" si="58"/>
        <v>11</v>
      </c>
      <c r="W239" s="2"/>
    </row>
    <row r="240" spans="1:23" ht="15" customHeight="1">
      <c r="A240" s="49">
        <v>83</v>
      </c>
      <c r="B240" s="50" t="s">
        <v>19</v>
      </c>
      <c r="C240" s="50" t="s">
        <v>261</v>
      </c>
      <c r="D240" s="49">
        <v>0</v>
      </c>
      <c r="E240" s="49">
        <v>0</v>
      </c>
      <c r="F240" s="50">
        <f t="shared" si="59"/>
        <v>0</v>
      </c>
      <c r="G240" s="47" t="s">
        <v>831</v>
      </c>
      <c r="H240" s="168">
        <v>20</v>
      </c>
      <c r="I240" s="169">
        <f t="shared" si="49"/>
        <v>400</v>
      </c>
      <c r="J240" s="170">
        <f t="shared" si="50"/>
        <v>20</v>
      </c>
      <c r="K240" s="168">
        <v>20</v>
      </c>
      <c r="L240" s="169">
        <f t="shared" si="51"/>
        <v>400</v>
      </c>
      <c r="M240" s="170">
        <f t="shared" si="52"/>
        <v>20</v>
      </c>
      <c r="N240" s="168">
        <v>10</v>
      </c>
      <c r="O240" s="169">
        <f t="shared" si="53"/>
        <v>100</v>
      </c>
      <c r="P240" s="170">
        <f t="shared" si="54"/>
        <v>10</v>
      </c>
      <c r="Q240" s="168">
        <v>15</v>
      </c>
      <c r="R240" s="169">
        <f t="shared" si="55"/>
        <v>225</v>
      </c>
      <c r="S240" s="170">
        <f t="shared" si="56"/>
        <v>15</v>
      </c>
      <c r="T240" s="171">
        <v>20</v>
      </c>
      <c r="U240" s="169">
        <f t="shared" si="57"/>
        <v>400</v>
      </c>
      <c r="V240" s="170">
        <f t="shared" si="58"/>
        <v>20</v>
      </c>
      <c r="W240" s="2"/>
    </row>
    <row r="241" spans="1:23" ht="15" customHeight="1">
      <c r="A241" s="49">
        <v>84</v>
      </c>
      <c r="B241" s="50" t="s">
        <v>19</v>
      </c>
      <c r="C241" s="50" t="s">
        <v>264</v>
      </c>
      <c r="D241" s="49">
        <v>30</v>
      </c>
      <c r="E241" s="49">
        <v>35</v>
      </c>
      <c r="F241" s="50">
        <f t="shared" si="59"/>
        <v>32.5</v>
      </c>
      <c r="G241" s="47" t="s">
        <v>832</v>
      </c>
      <c r="H241" s="168">
        <v>30</v>
      </c>
      <c r="I241" s="169">
        <f t="shared" si="49"/>
        <v>6.25</v>
      </c>
      <c r="J241" s="170">
        <f t="shared" si="50"/>
        <v>2.5</v>
      </c>
      <c r="K241" s="168">
        <v>35</v>
      </c>
      <c r="L241" s="169">
        <f t="shared" si="51"/>
        <v>6.25</v>
      </c>
      <c r="M241" s="170">
        <f t="shared" si="52"/>
        <v>2.5</v>
      </c>
      <c r="N241" s="168">
        <v>40</v>
      </c>
      <c r="O241" s="169">
        <f t="shared" si="53"/>
        <v>56.25</v>
      </c>
      <c r="P241" s="170">
        <f t="shared" si="54"/>
        <v>7.5</v>
      </c>
      <c r="Q241" s="168">
        <v>35</v>
      </c>
      <c r="R241" s="169">
        <f t="shared" si="55"/>
        <v>6.25</v>
      </c>
      <c r="S241" s="170">
        <f t="shared" si="56"/>
        <v>2.5</v>
      </c>
      <c r="T241" s="171">
        <v>35</v>
      </c>
      <c r="U241" s="169">
        <f t="shared" si="57"/>
        <v>6.25</v>
      </c>
      <c r="V241" s="170">
        <f t="shared" si="58"/>
        <v>2.5</v>
      </c>
      <c r="W241" s="2"/>
    </row>
    <row r="242" spans="1:23" ht="15" customHeight="1">
      <c r="A242" s="51">
        <v>85</v>
      </c>
      <c r="B242" s="50" t="s">
        <v>19</v>
      </c>
      <c r="C242" s="50" t="s">
        <v>267</v>
      </c>
      <c r="D242" s="49">
        <v>40</v>
      </c>
      <c r="E242" s="49">
        <v>40</v>
      </c>
      <c r="F242" s="50">
        <f t="shared" si="59"/>
        <v>40</v>
      </c>
      <c r="G242" s="47" t="s">
        <v>833</v>
      </c>
      <c r="H242" s="168">
        <v>30</v>
      </c>
      <c r="I242" s="169">
        <f t="shared" si="49"/>
        <v>100</v>
      </c>
      <c r="J242" s="170">
        <f t="shared" si="50"/>
        <v>10</v>
      </c>
      <c r="K242" s="168">
        <v>40</v>
      </c>
      <c r="L242" s="169">
        <f t="shared" si="51"/>
        <v>0</v>
      </c>
      <c r="M242" s="170">
        <f t="shared" si="52"/>
        <v>0</v>
      </c>
      <c r="N242" s="168">
        <v>40</v>
      </c>
      <c r="O242" s="169">
        <f t="shared" si="53"/>
        <v>0</v>
      </c>
      <c r="P242" s="170">
        <f t="shared" si="54"/>
        <v>0</v>
      </c>
      <c r="Q242" s="168">
        <v>35</v>
      </c>
      <c r="R242" s="169">
        <f t="shared" si="55"/>
        <v>25</v>
      </c>
      <c r="S242" s="170">
        <f t="shared" si="56"/>
        <v>5</v>
      </c>
      <c r="T242" s="171">
        <v>20</v>
      </c>
      <c r="U242" s="169">
        <f t="shared" si="57"/>
        <v>400</v>
      </c>
      <c r="V242" s="170">
        <f t="shared" si="58"/>
        <v>20</v>
      </c>
      <c r="W242" s="2"/>
    </row>
    <row r="243" spans="1:23" ht="15" customHeight="1">
      <c r="A243" s="49">
        <v>86</v>
      </c>
      <c r="B243" s="49" t="s">
        <v>19</v>
      </c>
      <c r="C243" s="50" t="s">
        <v>270</v>
      </c>
      <c r="D243" s="49" t="s">
        <v>623</v>
      </c>
      <c r="E243" s="49">
        <v>0</v>
      </c>
      <c r="F243" s="50">
        <f t="shared" si="59"/>
        <v>0</v>
      </c>
      <c r="G243" s="47" t="s">
        <v>834</v>
      </c>
      <c r="H243" s="168">
        <v>20</v>
      </c>
      <c r="I243" s="169">
        <f t="shared" si="49"/>
        <v>400</v>
      </c>
      <c r="J243" s="170">
        <f t="shared" si="50"/>
        <v>20</v>
      </c>
      <c r="K243" s="168">
        <v>20</v>
      </c>
      <c r="L243" s="169">
        <f t="shared" si="51"/>
        <v>400</v>
      </c>
      <c r="M243" s="170">
        <f t="shared" si="52"/>
        <v>20</v>
      </c>
      <c r="N243" s="168">
        <v>20</v>
      </c>
      <c r="O243" s="169">
        <f t="shared" si="53"/>
        <v>400</v>
      </c>
      <c r="P243" s="170">
        <f t="shared" si="54"/>
        <v>20</v>
      </c>
      <c r="Q243" s="168">
        <v>15</v>
      </c>
      <c r="R243" s="169">
        <f t="shared" si="55"/>
        <v>225</v>
      </c>
      <c r="S243" s="170">
        <f t="shared" si="56"/>
        <v>15</v>
      </c>
      <c r="T243" s="171">
        <v>20</v>
      </c>
      <c r="U243" s="169">
        <f t="shared" si="57"/>
        <v>400</v>
      </c>
      <c r="V243" s="170">
        <f t="shared" si="58"/>
        <v>20</v>
      </c>
      <c r="W243" s="2"/>
    </row>
    <row r="244" spans="1:23" ht="15" customHeight="1">
      <c r="A244" s="49">
        <v>87</v>
      </c>
      <c r="B244" s="50" t="s">
        <v>19</v>
      </c>
      <c r="C244" s="50" t="s">
        <v>273</v>
      </c>
      <c r="D244" s="49">
        <v>40</v>
      </c>
      <c r="E244" s="49">
        <v>40</v>
      </c>
      <c r="F244" s="50">
        <f t="shared" si="59"/>
        <v>40</v>
      </c>
      <c r="G244" s="47" t="s">
        <v>835</v>
      </c>
      <c r="H244" s="168">
        <v>30</v>
      </c>
      <c r="I244" s="169">
        <f t="shared" si="49"/>
        <v>100</v>
      </c>
      <c r="J244" s="170">
        <f t="shared" si="50"/>
        <v>10</v>
      </c>
      <c r="K244" s="168">
        <v>35</v>
      </c>
      <c r="L244" s="169">
        <f t="shared" si="51"/>
        <v>25</v>
      </c>
      <c r="M244" s="170">
        <f t="shared" si="52"/>
        <v>5</v>
      </c>
      <c r="N244" s="168">
        <v>35</v>
      </c>
      <c r="O244" s="169">
        <f t="shared" si="53"/>
        <v>25</v>
      </c>
      <c r="P244" s="170">
        <f t="shared" si="54"/>
        <v>5</v>
      </c>
      <c r="Q244" s="168">
        <v>35</v>
      </c>
      <c r="R244" s="169">
        <f t="shared" si="55"/>
        <v>25</v>
      </c>
      <c r="S244" s="170">
        <f t="shared" si="56"/>
        <v>5</v>
      </c>
      <c r="T244" s="171">
        <v>30</v>
      </c>
      <c r="U244" s="169">
        <f t="shared" si="57"/>
        <v>100</v>
      </c>
      <c r="V244" s="170">
        <f t="shared" si="58"/>
        <v>10</v>
      </c>
      <c r="W244" s="2"/>
    </row>
    <row r="245" spans="1:23" ht="15" customHeight="1">
      <c r="A245" s="43">
        <v>88</v>
      </c>
      <c r="B245" s="49" t="s">
        <v>19</v>
      </c>
      <c r="C245" s="50" t="s">
        <v>276</v>
      </c>
      <c r="D245" s="49">
        <v>20</v>
      </c>
      <c r="E245" s="49">
        <v>30</v>
      </c>
      <c r="F245" s="50">
        <f t="shared" si="59"/>
        <v>25</v>
      </c>
      <c r="G245" s="47" t="s">
        <v>836</v>
      </c>
      <c r="H245" s="168">
        <v>30</v>
      </c>
      <c r="I245" s="169">
        <f t="shared" si="49"/>
        <v>25</v>
      </c>
      <c r="J245" s="170">
        <f t="shared" si="50"/>
        <v>5</v>
      </c>
      <c r="K245" s="168">
        <v>25</v>
      </c>
      <c r="L245" s="169">
        <f t="shared" si="51"/>
        <v>0</v>
      </c>
      <c r="M245" s="170">
        <f t="shared" si="52"/>
        <v>0</v>
      </c>
      <c r="N245" s="168">
        <v>35</v>
      </c>
      <c r="O245" s="169">
        <f t="shared" si="53"/>
        <v>100</v>
      </c>
      <c r="P245" s="170">
        <f t="shared" si="54"/>
        <v>10</v>
      </c>
      <c r="Q245" s="168">
        <v>25</v>
      </c>
      <c r="R245" s="169">
        <f t="shared" si="55"/>
        <v>0</v>
      </c>
      <c r="S245" s="170">
        <f t="shared" si="56"/>
        <v>0</v>
      </c>
      <c r="T245" s="171">
        <v>20</v>
      </c>
      <c r="U245" s="169">
        <f t="shared" si="57"/>
        <v>25</v>
      </c>
      <c r="V245" s="170">
        <f t="shared" si="58"/>
        <v>5</v>
      </c>
      <c r="W245" s="2"/>
    </row>
    <row r="246" spans="1:23" ht="15" customHeight="1">
      <c r="A246" s="49">
        <v>89</v>
      </c>
      <c r="B246" s="50" t="s">
        <v>19</v>
      </c>
      <c r="C246" s="50" t="s">
        <v>279</v>
      </c>
      <c r="D246" s="49">
        <v>0</v>
      </c>
      <c r="E246" s="49">
        <v>0</v>
      </c>
      <c r="F246" s="50">
        <f t="shared" si="59"/>
        <v>0</v>
      </c>
      <c r="G246" s="47" t="s">
        <v>837</v>
      </c>
      <c r="H246" s="168">
        <v>20</v>
      </c>
      <c r="I246" s="169">
        <f t="shared" si="49"/>
        <v>400</v>
      </c>
      <c r="J246" s="170">
        <f t="shared" si="50"/>
        <v>20</v>
      </c>
      <c r="K246" s="168">
        <v>30</v>
      </c>
      <c r="L246" s="169">
        <f t="shared" si="51"/>
        <v>900</v>
      </c>
      <c r="M246" s="170">
        <f t="shared" si="52"/>
        <v>30</v>
      </c>
      <c r="N246" s="168">
        <v>30</v>
      </c>
      <c r="O246" s="169">
        <f t="shared" si="53"/>
        <v>900</v>
      </c>
      <c r="P246" s="170">
        <f t="shared" si="54"/>
        <v>30</v>
      </c>
      <c r="Q246" s="168">
        <v>25</v>
      </c>
      <c r="R246" s="169">
        <f t="shared" si="55"/>
        <v>625</v>
      </c>
      <c r="S246" s="170">
        <f t="shared" si="56"/>
        <v>25</v>
      </c>
      <c r="T246" s="171">
        <v>20</v>
      </c>
      <c r="U246" s="169">
        <f t="shared" si="57"/>
        <v>400</v>
      </c>
      <c r="V246" s="170">
        <f t="shared" si="58"/>
        <v>20</v>
      </c>
      <c r="W246" s="2"/>
    </row>
    <row r="247" spans="1:23" ht="15" customHeight="1">
      <c r="A247" s="49">
        <v>90</v>
      </c>
      <c r="B247" s="50" t="s">
        <v>19</v>
      </c>
      <c r="C247" s="50" t="s">
        <v>282</v>
      </c>
      <c r="D247" s="49">
        <v>30</v>
      </c>
      <c r="E247" s="49">
        <v>30</v>
      </c>
      <c r="F247" s="50">
        <f t="shared" si="59"/>
        <v>30</v>
      </c>
      <c r="G247" s="47" t="s">
        <v>838</v>
      </c>
      <c r="H247" s="168">
        <v>30</v>
      </c>
      <c r="I247" s="169">
        <f t="shared" si="49"/>
        <v>0</v>
      </c>
      <c r="J247" s="170">
        <f t="shared" si="50"/>
        <v>0</v>
      </c>
      <c r="K247" s="168">
        <v>35</v>
      </c>
      <c r="L247" s="169">
        <f t="shared" si="51"/>
        <v>25</v>
      </c>
      <c r="M247" s="170">
        <f t="shared" si="52"/>
        <v>5</v>
      </c>
      <c r="N247" s="168">
        <v>10</v>
      </c>
      <c r="O247" s="169">
        <f t="shared" si="53"/>
        <v>400</v>
      </c>
      <c r="P247" s="170">
        <f t="shared" si="54"/>
        <v>20</v>
      </c>
      <c r="Q247" s="168">
        <v>25</v>
      </c>
      <c r="R247" s="169">
        <f t="shared" si="55"/>
        <v>25</v>
      </c>
      <c r="S247" s="170">
        <f t="shared" si="56"/>
        <v>5</v>
      </c>
      <c r="T247" s="171">
        <v>20</v>
      </c>
      <c r="U247" s="169">
        <f t="shared" si="57"/>
        <v>100</v>
      </c>
      <c r="V247" s="170">
        <f t="shared" si="58"/>
        <v>10</v>
      </c>
      <c r="W247" s="2"/>
    </row>
    <row r="248" spans="1:23" ht="15" customHeight="1">
      <c r="A248" s="51">
        <v>91</v>
      </c>
      <c r="B248" s="50" t="s">
        <v>19</v>
      </c>
      <c r="C248" s="50" t="s">
        <v>285</v>
      </c>
      <c r="D248" s="49">
        <v>40</v>
      </c>
      <c r="E248" s="49">
        <v>40</v>
      </c>
      <c r="F248" s="50">
        <f t="shared" si="59"/>
        <v>40</v>
      </c>
      <c r="G248" s="47" t="s">
        <v>839</v>
      </c>
      <c r="H248" s="168">
        <v>30</v>
      </c>
      <c r="I248" s="169">
        <f t="shared" si="49"/>
        <v>100</v>
      </c>
      <c r="J248" s="170">
        <f t="shared" si="50"/>
        <v>10</v>
      </c>
      <c r="K248" s="168">
        <v>30</v>
      </c>
      <c r="L248" s="169">
        <f t="shared" si="51"/>
        <v>100</v>
      </c>
      <c r="M248" s="170">
        <f t="shared" si="52"/>
        <v>10</v>
      </c>
      <c r="N248" s="168">
        <v>10</v>
      </c>
      <c r="O248" s="169">
        <f t="shared" si="53"/>
        <v>900</v>
      </c>
      <c r="P248" s="170">
        <f t="shared" si="54"/>
        <v>30</v>
      </c>
      <c r="Q248" s="168">
        <v>35</v>
      </c>
      <c r="R248" s="169">
        <f t="shared" si="55"/>
        <v>25</v>
      </c>
      <c r="S248" s="170">
        <f t="shared" si="56"/>
        <v>5</v>
      </c>
      <c r="T248" s="171">
        <v>20</v>
      </c>
      <c r="U248" s="169">
        <f t="shared" si="57"/>
        <v>400</v>
      </c>
      <c r="V248" s="170">
        <f t="shared" si="58"/>
        <v>20</v>
      </c>
      <c r="W248" s="2"/>
    </row>
    <row r="249" spans="1:23" ht="15" customHeight="1">
      <c r="A249" s="49">
        <v>92</v>
      </c>
      <c r="B249" s="50" t="s">
        <v>19</v>
      </c>
      <c r="C249" s="50" t="s">
        <v>288</v>
      </c>
      <c r="D249" s="49">
        <v>30</v>
      </c>
      <c r="E249" s="49">
        <v>30</v>
      </c>
      <c r="F249" s="50">
        <f t="shared" si="59"/>
        <v>30</v>
      </c>
      <c r="G249" s="47" t="s">
        <v>840</v>
      </c>
      <c r="H249" s="168">
        <v>35</v>
      </c>
      <c r="I249" s="169">
        <f t="shared" si="49"/>
        <v>25</v>
      </c>
      <c r="J249" s="170">
        <f t="shared" si="50"/>
        <v>5</v>
      </c>
      <c r="K249" s="168">
        <v>15</v>
      </c>
      <c r="L249" s="169">
        <f t="shared" si="51"/>
        <v>225</v>
      </c>
      <c r="M249" s="170">
        <f t="shared" si="52"/>
        <v>15</v>
      </c>
      <c r="N249" s="168">
        <v>10</v>
      </c>
      <c r="O249" s="169">
        <f t="shared" si="53"/>
        <v>400</v>
      </c>
      <c r="P249" s="170">
        <f t="shared" si="54"/>
        <v>20</v>
      </c>
      <c r="Q249" s="168">
        <v>25</v>
      </c>
      <c r="R249" s="169">
        <f t="shared" si="55"/>
        <v>25</v>
      </c>
      <c r="S249" s="170">
        <f t="shared" si="56"/>
        <v>5</v>
      </c>
      <c r="T249" s="171">
        <v>20</v>
      </c>
      <c r="U249" s="169">
        <f t="shared" si="57"/>
        <v>100</v>
      </c>
      <c r="V249" s="170">
        <f t="shared" si="58"/>
        <v>10</v>
      </c>
      <c r="W249" s="2"/>
    </row>
    <row r="250" spans="1:23" ht="15" customHeight="1">
      <c r="A250" s="49">
        <v>93</v>
      </c>
      <c r="B250" s="50" t="s">
        <v>19</v>
      </c>
      <c r="C250" s="50" t="s">
        <v>291</v>
      </c>
      <c r="D250" s="49">
        <v>10</v>
      </c>
      <c r="E250" s="49">
        <v>0</v>
      </c>
      <c r="F250" s="50">
        <f t="shared" si="59"/>
        <v>5</v>
      </c>
      <c r="G250" s="47" t="s">
        <v>841</v>
      </c>
      <c r="H250" s="168">
        <v>20</v>
      </c>
      <c r="I250" s="169">
        <f t="shared" si="49"/>
        <v>225</v>
      </c>
      <c r="J250" s="170">
        <f t="shared" si="50"/>
        <v>15</v>
      </c>
      <c r="K250" s="168">
        <v>20</v>
      </c>
      <c r="L250" s="169">
        <f t="shared" si="51"/>
        <v>225</v>
      </c>
      <c r="M250" s="170">
        <f t="shared" si="52"/>
        <v>15</v>
      </c>
      <c r="N250" s="168">
        <v>20</v>
      </c>
      <c r="O250" s="169">
        <f t="shared" si="53"/>
        <v>225</v>
      </c>
      <c r="P250" s="170">
        <f t="shared" si="54"/>
        <v>15</v>
      </c>
      <c r="Q250" s="168">
        <v>20</v>
      </c>
      <c r="R250" s="169">
        <f t="shared" si="55"/>
        <v>225</v>
      </c>
      <c r="S250" s="170">
        <f t="shared" si="56"/>
        <v>15</v>
      </c>
      <c r="T250" s="171">
        <v>20</v>
      </c>
      <c r="U250" s="169">
        <f t="shared" si="57"/>
        <v>225</v>
      </c>
      <c r="V250" s="170">
        <f t="shared" si="58"/>
        <v>15</v>
      </c>
      <c r="W250" s="2"/>
    </row>
    <row r="251" spans="1:23" ht="15" customHeight="1">
      <c r="A251" s="43">
        <v>94</v>
      </c>
      <c r="B251" s="50" t="s">
        <v>19</v>
      </c>
      <c r="C251" s="50" t="s">
        <v>294</v>
      </c>
      <c r="D251" s="49">
        <v>30</v>
      </c>
      <c r="E251" s="49">
        <v>30</v>
      </c>
      <c r="F251" s="50">
        <f t="shared" si="59"/>
        <v>30</v>
      </c>
      <c r="G251" s="47" t="s">
        <v>842</v>
      </c>
      <c r="H251" s="168">
        <v>30</v>
      </c>
      <c r="I251" s="169">
        <f t="shared" si="49"/>
        <v>0</v>
      </c>
      <c r="J251" s="170">
        <f t="shared" si="50"/>
        <v>0</v>
      </c>
      <c r="K251" s="168">
        <v>25</v>
      </c>
      <c r="L251" s="169">
        <f t="shared" si="51"/>
        <v>25</v>
      </c>
      <c r="M251" s="170">
        <f t="shared" si="52"/>
        <v>5</v>
      </c>
      <c r="N251" s="168">
        <v>10</v>
      </c>
      <c r="O251" s="169">
        <f t="shared" si="53"/>
        <v>400</v>
      </c>
      <c r="P251" s="170">
        <f t="shared" si="54"/>
        <v>20</v>
      </c>
      <c r="Q251" s="168">
        <v>25</v>
      </c>
      <c r="R251" s="169">
        <f t="shared" si="55"/>
        <v>25</v>
      </c>
      <c r="S251" s="170">
        <f t="shared" si="56"/>
        <v>5</v>
      </c>
      <c r="T251" s="171">
        <v>20</v>
      </c>
      <c r="U251" s="169">
        <f t="shared" si="57"/>
        <v>100</v>
      </c>
      <c r="V251" s="170">
        <f t="shared" si="58"/>
        <v>10</v>
      </c>
      <c r="W251" s="2"/>
    </row>
    <row r="252" spans="1:23" ht="15" customHeight="1">
      <c r="A252" s="49">
        <v>95</v>
      </c>
      <c r="B252" s="50" t="s">
        <v>19</v>
      </c>
      <c r="C252" s="49" t="s">
        <v>297</v>
      </c>
      <c r="D252" s="49">
        <v>12</v>
      </c>
      <c r="E252" s="49">
        <v>10</v>
      </c>
      <c r="F252" s="50">
        <f t="shared" si="59"/>
        <v>11</v>
      </c>
      <c r="G252" s="47" t="s">
        <v>843</v>
      </c>
      <c r="H252" s="168">
        <v>20</v>
      </c>
      <c r="I252" s="169">
        <f t="shared" si="49"/>
        <v>81</v>
      </c>
      <c r="J252" s="170">
        <f t="shared" si="50"/>
        <v>9</v>
      </c>
      <c r="K252" s="168">
        <v>20</v>
      </c>
      <c r="L252" s="169">
        <f t="shared" si="51"/>
        <v>81</v>
      </c>
      <c r="M252" s="170">
        <f t="shared" si="52"/>
        <v>9</v>
      </c>
      <c r="N252" s="168">
        <v>20</v>
      </c>
      <c r="O252" s="169">
        <f t="shared" si="53"/>
        <v>81</v>
      </c>
      <c r="P252" s="170">
        <f t="shared" si="54"/>
        <v>9</v>
      </c>
      <c r="Q252" s="168">
        <v>15</v>
      </c>
      <c r="R252" s="169">
        <f t="shared" si="55"/>
        <v>16</v>
      </c>
      <c r="S252" s="170">
        <f t="shared" si="56"/>
        <v>4</v>
      </c>
      <c r="T252" s="171">
        <v>20</v>
      </c>
      <c r="U252" s="169">
        <f t="shared" si="57"/>
        <v>81</v>
      </c>
      <c r="V252" s="170">
        <f t="shared" si="58"/>
        <v>9</v>
      </c>
      <c r="W252" s="2"/>
    </row>
    <row r="253" spans="1:23" ht="15" customHeight="1">
      <c r="A253" s="49">
        <v>96</v>
      </c>
      <c r="B253" s="50" t="s">
        <v>19</v>
      </c>
      <c r="C253" s="49" t="s">
        <v>300</v>
      </c>
      <c r="D253" s="49">
        <v>20</v>
      </c>
      <c r="E253" s="49">
        <v>20</v>
      </c>
      <c r="F253" s="50">
        <f t="shared" si="59"/>
        <v>20</v>
      </c>
      <c r="G253" s="47" t="s">
        <v>844</v>
      </c>
      <c r="H253" s="168">
        <v>20</v>
      </c>
      <c r="I253" s="169">
        <f t="shared" si="49"/>
        <v>0</v>
      </c>
      <c r="J253" s="170">
        <f t="shared" si="50"/>
        <v>0</v>
      </c>
      <c r="K253" s="168">
        <v>30</v>
      </c>
      <c r="L253" s="169">
        <f t="shared" si="51"/>
        <v>100</v>
      </c>
      <c r="M253" s="170">
        <f t="shared" si="52"/>
        <v>10</v>
      </c>
      <c r="N253" s="168">
        <v>30</v>
      </c>
      <c r="O253" s="169">
        <f t="shared" si="53"/>
        <v>100</v>
      </c>
      <c r="P253" s="170">
        <f t="shared" si="54"/>
        <v>10</v>
      </c>
      <c r="Q253" s="168">
        <v>25</v>
      </c>
      <c r="R253" s="169">
        <f t="shared" si="55"/>
        <v>25</v>
      </c>
      <c r="S253" s="170">
        <f t="shared" si="56"/>
        <v>5</v>
      </c>
      <c r="T253" s="171">
        <v>20</v>
      </c>
      <c r="U253" s="169">
        <f t="shared" si="57"/>
        <v>0</v>
      </c>
      <c r="V253" s="170">
        <f t="shared" si="58"/>
        <v>0</v>
      </c>
      <c r="W253" s="2"/>
    </row>
    <row r="254" spans="1:23" ht="15" customHeight="1">
      <c r="A254" s="51">
        <v>97</v>
      </c>
      <c r="B254" s="50" t="s">
        <v>19</v>
      </c>
      <c r="C254" s="50" t="s">
        <v>303</v>
      </c>
      <c r="D254" s="49">
        <v>10</v>
      </c>
      <c r="E254" s="49">
        <v>10</v>
      </c>
      <c r="F254" s="50">
        <f t="shared" si="59"/>
        <v>10</v>
      </c>
      <c r="G254" s="47" t="s">
        <v>845</v>
      </c>
      <c r="H254" s="168">
        <v>20</v>
      </c>
      <c r="I254" s="169">
        <f t="shared" si="49"/>
        <v>100</v>
      </c>
      <c r="J254" s="170">
        <f t="shared" si="50"/>
        <v>10</v>
      </c>
      <c r="K254" s="168">
        <v>25</v>
      </c>
      <c r="L254" s="169">
        <f t="shared" si="51"/>
        <v>225</v>
      </c>
      <c r="M254" s="170">
        <f t="shared" si="52"/>
        <v>15</v>
      </c>
      <c r="N254" s="168">
        <v>15</v>
      </c>
      <c r="O254" s="169">
        <f t="shared" si="53"/>
        <v>25</v>
      </c>
      <c r="P254" s="170">
        <f t="shared" si="54"/>
        <v>5</v>
      </c>
      <c r="Q254" s="168">
        <v>25</v>
      </c>
      <c r="R254" s="169">
        <f t="shared" si="55"/>
        <v>225</v>
      </c>
      <c r="S254" s="170">
        <f t="shared" si="56"/>
        <v>15</v>
      </c>
      <c r="T254" s="171">
        <v>20</v>
      </c>
      <c r="U254" s="169">
        <f t="shared" si="57"/>
        <v>100</v>
      </c>
      <c r="V254" s="170">
        <f t="shared" si="58"/>
        <v>10</v>
      </c>
      <c r="W254" s="2"/>
    </row>
    <row r="255" spans="1:23" ht="15" customHeight="1">
      <c r="A255" s="49">
        <v>98</v>
      </c>
      <c r="B255" s="50" t="s">
        <v>19</v>
      </c>
      <c r="C255" s="50" t="s">
        <v>306</v>
      </c>
      <c r="D255" s="49">
        <v>35</v>
      </c>
      <c r="E255" s="49">
        <v>40</v>
      </c>
      <c r="F255" s="50">
        <f t="shared" si="59"/>
        <v>37.5</v>
      </c>
      <c r="G255" s="47" t="s">
        <v>846</v>
      </c>
      <c r="H255" s="168">
        <v>30</v>
      </c>
      <c r="I255" s="169">
        <f t="shared" si="49"/>
        <v>56.25</v>
      </c>
      <c r="J255" s="170">
        <f t="shared" si="50"/>
        <v>7.5</v>
      </c>
      <c r="K255" s="168">
        <v>40</v>
      </c>
      <c r="L255" s="169">
        <f t="shared" si="51"/>
        <v>6.25</v>
      </c>
      <c r="M255" s="170">
        <f t="shared" si="52"/>
        <v>2.5</v>
      </c>
      <c r="N255" s="168">
        <v>10</v>
      </c>
      <c r="O255" s="169">
        <f t="shared" si="53"/>
        <v>756.25</v>
      </c>
      <c r="P255" s="170">
        <f t="shared" si="54"/>
        <v>27.5</v>
      </c>
      <c r="Q255" s="168">
        <v>25</v>
      </c>
      <c r="R255" s="169">
        <f t="shared" si="55"/>
        <v>156.25</v>
      </c>
      <c r="S255" s="170">
        <f t="shared" si="56"/>
        <v>12.5</v>
      </c>
      <c r="T255" s="171">
        <v>20</v>
      </c>
      <c r="U255" s="169">
        <f t="shared" si="57"/>
        <v>306.25</v>
      </c>
      <c r="V255" s="170">
        <f t="shared" si="58"/>
        <v>17.5</v>
      </c>
      <c r="W255" s="2"/>
    </row>
    <row r="256" spans="1:23" ht="15" customHeight="1">
      <c r="A256" s="49">
        <v>99</v>
      </c>
      <c r="B256" s="50" t="s">
        <v>19</v>
      </c>
      <c r="C256" s="50" t="s">
        <v>309</v>
      </c>
      <c r="D256" s="49">
        <v>30</v>
      </c>
      <c r="E256" s="49">
        <v>30</v>
      </c>
      <c r="F256" s="50">
        <f t="shared" si="59"/>
        <v>30</v>
      </c>
      <c r="G256" s="47" t="s">
        <v>847</v>
      </c>
      <c r="H256" s="168">
        <v>20</v>
      </c>
      <c r="I256" s="169">
        <f t="shared" si="49"/>
        <v>100</v>
      </c>
      <c r="J256" s="170">
        <f t="shared" si="50"/>
        <v>10</v>
      </c>
      <c r="K256" s="168">
        <v>20</v>
      </c>
      <c r="L256" s="169">
        <f t="shared" si="51"/>
        <v>100</v>
      </c>
      <c r="M256" s="170">
        <f t="shared" si="52"/>
        <v>10</v>
      </c>
      <c r="N256" s="168">
        <v>15</v>
      </c>
      <c r="O256" s="169">
        <f t="shared" si="53"/>
        <v>225</v>
      </c>
      <c r="P256" s="170">
        <f t="shared" si="54"/>
        <v>15</v>
      </c>
      <c r="Q256" s="168">
        <v>25</v>
      </c>
      <c r="R256" s="169">
        <f t="shared" si="55"/>
        <v>25</v>
      </c>
      <c r="S256" s="170">
        <f t="shared" si="56"/>
        <v>5</v>
      </c>
      <c r="T256" s="171">
        <v>20</v>
      </c>
      <c r="U256" s="169">
        <f t="shared" si="57"/>
        <v>100</v>
      </c>
      <c r="V256" s="170">
        <f t="shared" si="58"/>
        <v>10</v>
      </c>
      <c r="W256" s="2"/>
    </row>
    <row r="257" spans="1:23" ht="15" customHeight="1">
      <c r="A257" s="43">
        <v>100</v>
      </c>
      <c r="B257" s="49" t="s">
        <v>19</v>
      </c>
      <c r="C257" s="50" t="s">
        <v>312</v>
      </c>
      <c r="D257" s="49">
        <v>20</v>
      </c>
      <c r="E257" s="49">
        <v>20</v>
      </c>
      <c r="F257" s="50">
        <f t="shared" si="59"/>
        <v>20</v>
      </c>
      <c r="G257" s="47" t="s">
        <v>848</v>
      </c>
      <c r="H257" s="168">
        <v>20</v>
      </c>
      <c r="I257" s="169">
        <f t="shared" si="49"/>
        <v>0</v>
      </c>
      <c r="J257" s="170">
        <f t="shared" si="50"/>
        <v>0</v>
      </c>
      <c r="K257" s="168">
        <v>20</v>
      </c>
      <c r="L257" s="169">
        <f t="shared" si="51"/>
        <v>0</v>
      </c>
      <c r="M257" s="170">
        <f t="shared" si="52"/>
        <v>0</v>
      </c>
      <c r="N257" s="168">
        <v>10</v>
      </c>
      <c r="O257" s="169">
        <f t="shared" si="53"/>
        <v>100</v>
      </c>
      <c r="P257" s="170">
        <f t="shared" si="54"/>
        <v>10</v>
      </c>
      <c r="Q257" s="168">
        <v>25</v>
      </c>
      <c r="R257" s="169">
        <f t="shared" si="55"/>
        <v>25</v>
      </c>
      <c r="S257" s="170">
        <f t="shared" si="56"/>
        <v>5</v>
      </c>
      <c r="T257" s="171">
        <v>20</v>
      </c>
      <c r="U257" s="169">
        <f t="shared" si="57"/>
        <v>0</v>
      </c>
      <c r="V257" s="170">
        <f t="shared" si="58"/>
        <v>0</v>
      </c>
      <c r="W257" s="2"/>
    </row>
    <row r="258" spans="1:23" ht="15" customHeight="1">
      <c r="A258" s="49">
        <v>101</v>
      </c>
      <c r="B258" s="50" t="s">
        <v>19</v>
      </c>
      <c r="C258" s="50" t="s">
        <v>315</v>
      </c>
      <c r="D258" s="49">
        <v>10</v>
      </c>
      <c r="E258" s="49">
        <v>7</v>
      </c>
      <c r="F258" s="50">
        <f t="shared" si="59"/>
        <v>8.5</v>
      </c>
      <c r="G258" s="47" t="s">
        <v>849</v>
      </c>
      <c r="H258" s="168">
        <v>30</v>
      </c>
      <c r="I258" s="169">
        <f t="shared" si="49"/>
        <v>462.25</v>
      </c>
      <c r="J258" s="170">
        <f t="shared" si="50"/>
        <v>21.5</v>
      </c>
      <c r="K258" s="168">
        <v>25</v>
      </c>
      <c r="L258" s="169">
        <f t="shared" si="51"/>
        <v>272.25</v>
      </c>
      <c r="M258" s="170">
        <f t="shared" si="52"/>
        <v>16.5</v>
      </c>
      <c r="N258" s="168">
        <v>40</v>
      </c>
      <c r="O258" s="169">
        <f t="shared" si="53"/>
        <v>992.25</v>
      </c>
      <c r="P258" s="170">
        <f t="shared" si="54"/>
        <v>31.5</v>
      </c>
      <c r="Q258" s="168">
        <v>25</v>
      </c>
      <c r="R258" s="169">
        <f t="shared" si="55"/>
        <v>272.25</v>
      </c>
      <c r="S258" s="170">
        <f t="shared" si="56"/>
        <v>16.5</v>
      </c>
      <c r="T258" s="171">
        <v>20</v>
      </c>
      <c r="U258" s="169">
        <f t="shared" si="57"/>
        <v>132.25</v>
      </c>
      <c r="V258" s="170">
        <f t="shared" si="58"/>
        <v>11.5</v>
      </c>
      <c r="W258" s="2"/>
    </row>
    <row r="259" spans="1:23" ht="15" customHeight="1">
      <c r="A259" s="49">
        <v>102</v>
      </c>
      <c r="B259" s="50" t="s">
        <v>19</v>
      </c>
      <c r="C259" s="49" t="s">
        <v>318</v>
      </c>
      <c r="D259" s="49">
        <v>20</v>
      </c>
      <c r="E259" s="49">
        <v>20</v>
      </c>
      <c r="F259" s="50">
        <f t="shared" si="59"/>
        <v>20</v>
      </c>
      <c r="G259" s="47" t="s">
        <v>850</v>
      </c>
      <c r="H259" s="168">
        <v>20</v>
      </c>
      <c r="I259" s="169">
        <f t="shared" si="49"/>
        <v>0</v>
      </c>
      <c r="J259" s="170">
        <f t="shared" si="50"/>
        <v>0</v>
      </c>
      <c r="K259" s="168">
        <v>25</v>
      </c>
      <c r="L259" s="169">
        <f t="shared" si="51"/>
        <v>25</v>
      </c>
      <c r="M259" s="170">
        <f t="shared" si="52"/>
        <v>5</v>
      </c>
      <c r="N259" s="168">
        <v>30</v>
      </c>
      <c r="O259" s="169">
        <f t="shared" si="53"/>
        <v>100</v>
      </c>
      <c r="P259" s="170">
        <f t="shared" si="54"/>
        <v>10</v>
      </c>
      <c r="Q259" s="168">
        <v>25</v>
      </c>
      <c r="R259" s="169">
        <f t="shared" si="55"/>
        <v>25</v>
      </c>
      <c r="S259" s="170">
        <f t="shared" si="56"/>
        <v>5</v>
      </c>
      <c r="T259" s="171">
        <v>20</v>
      </c>
      <c r="U259" s="169">
        <f t="shared" si="57"/>
        <v>0</v>
      </c>
      <c r="V259" s="170">
        <f t="shared" si="58"/>
        <v>0</v>
      </c>
      <c r="W259" s="2"/>
    </row>
    <row r="260" spans="1:23" ht="15" customHeight="1">
      <c r="A260" s="51">
        <v>103</v>
      </c>
      <c r="B260" s="50" t="s">
        <v>19</v>
      </c>
      <c r="C260" s="50" t="s">
        <v>321</v>
      </c>
      <c r="D260" s="49">
        <v>30</v>
      </c>
      <c r="E260" s="49">
        <v>40</v>
      </c>
      <c r="F260" s="50">
        <f t="shared" si="59"/>
        <v>35</v>
      </c>
      <c r="G260" s="47" t="s">
        <v>851</v>
      </c>
      <c r="H260" s="168">
        <v>20</v>
      </c>
      <c r="I260" s="169">
        <f t="shared" si="49"/>
        <v>225</v>
      </c>
      <c r="J260" s="170">
        <f t="shared" si="50"/>
        <v>15</v>
      </c>
      <c r="K260" s="168">
        <v>25</v>
      </c>
      <c r="L260" s="169">
        <f t="shared" si="51"/>
        <v>100</v>
      </c>
      <c r="M260" s="170">
        <f t="shared" si="52"/>
        <v>10</v>
      </c>
      <c r="N260" s="168">
        <v>20</v>
      </c>
      <c r="O260" s="169">
        <f t="shared" si="53"/>
        <v>225</v>
      </c>
      <c r="P260" s="170">
        <f t="shared" si="54"/>
        <v>15</v>
      </c>
      <c r="Q260" s="168">
        <v>25</v>
      </c>
      <c r="R260" s="169">
        <f t="shared" si="55"/>
        <v>100</v>
      </c>
      <c r="S260" s="170">
        <f t="shared" si="56"/>
        <v>10</v>
      </c>
      <c r="T260" s="171">
        <v>20</v>
      </c>
      <c r="U260" s="169">
        <f t="shared" si="57"/>
        <v>225</v>
      </c>
      <c r="V260" s="170">
        <f t="shared" si="58"/>
        <v>15</v>
      </c>
      <c r="W260" s="2"/>
    </row>
    <row r="261" spans="1:23" ht="15" customHeight="1">
      <c r="A261" s="49">
        <v>104</v>
      </c>
      <c r="B261" s="50" t="s">
        <v>19</v>
      </c>
      <c r="C261" s="50" t="s">
        <v>324</v>
      </c>
      <c r="D261" s="49">
        <v>40</v>
      </c>
      <c r="E261" s="49">
        <v>40</v>
      </c>
      <c r="F261" s="50">
        <f t="shared" si="59"/>
        <v>40</v>
      </c>
      <c r="G261" s="47" t="s">
        <v>852</v>
      </c>
      <c r="H261" s="168">
        <v>10</v>
      </c>
      <c r="I261" s="169">
        <f t="shared" si="49"/>
        <v>900</v>
      </c>
      <c r="J261" s="170">
        <f t="shared" si="50"/>
        <v>30</v>
      </c>
      <c r="K261" s="168">
        <v>30</v>
      </c>
      <c r="L261" s="169">
        <f t="shared" si="51"/>
        <v>100</v>
      </c>
      <c r="M261" s="170">
        <f t="shared" si="52"/>
        <v>10</v>
      </c>
      <c r="N261" s="168">
        <v>10</v>
      </c>
      <c r="O261" s="169">
        <f t="shared" si="53"/>
        <v>900</v>
      </c>
      <c r="P261" s="170">
        <f t="shared" si="54"/>
        <v>30</v>
      </c>
      <c r="Q261" s="168">
        <v>25</v>
      </c>
      <c r="R261" s="169">
        <f t="shared" si="55"/>
        <v>225</v>
      </c>
      <c r="S261" s="170">
        <f t="shared" si="56"/>
        <v>15</v>
      </c>
      <c r="T261" s="171">
        <v>20</v>
      </c>
      <c r="U261" s="169">
        <f t="shared" si="57"/>
        <v>400</v>
      </c>
      <c r="V261" s="170">
        <f t="shared" si="58"/>
        <v>20</v>
      </c>
      <c r="W261" s="2"/>
    </row>
    <row r="262" spans="1:23" ht="15" customHeight="1">
      <c r="A262" s="49">
        <v>105</v>
      </c>
      <c r="B262" s="50" t="s">
        <v>19</v>
      </c>
      <c r="C262" s="49" t="s">
        <v>327</v>
      </c>
      <c r="D262" s="49">
        <v>25</v>
      </c>
      <c r="E262" s="49">
        <v>27</v>
      </c>
      <c r="F262" s="50">
        <f t="shared" si="59"/>
        <v>26</v>
      </c>
      <c r="G262" s="47" t="s">
        <v>853</v>
      </c>
      <c r="H262" s="168">
        <v>10</v>
      </c>
      <c r="I262" s="169">
        <f t="shared" si="49"/>
        <v>256</v>
      </c>
      <c r="J262" s="170">
        <f t="shared" si="50"/>
        <v>16</v>
      </c>
      <c r="K262" s="168">
        <v>30</v>
      </c>
      <c r="L262" s="169">
        <f t="shared" si="51"/>
        <v>16</v>
      </c>
      <c r="M262" s="170">
        <f t="shared" si="52"/>
        <v>4</v>
      </c>
      <c r="N262" s="168">
        <v>30</v>
      </c>
      <c r="O262" s="169">
        <f t="shared" si="53"/>
        <v>16</v>
      </c>
      <c r="P262" s="170">
        <f t="shared" si="54"/>
        <v>4</v>
      </c>
      <c r="Q262" s="168">
        <v>30</v>
      </c>
      <c r="R262" s="169">
        <f t="shared" si="55"/>
        <v>16</v>
      </c>
      <c r="S262" s="170">
        <f t="shared" si="56"/>
        <v>4</v>
      </c>
      <c r="T262" s="171">
        <v>10</v>
      </c>
      <c r="U262" s="169">
        <f t="shared" si="57"/>
        <v>256</v>
      </c>
      <c r="V262" s="170">
        <f t="shared" si="58"/>
        <v>16</v>
      </c>
      <c r="W262" s="2"/>
    </row>
    <row r="263" spans="1:23" ht="15" customHeight="1">
      <c r="A263" s="43">
        <v>106</v>
      </c>
      <c r="B263" s="50" t="s">
        <v>19</v>
      </c>
      <c r="C263" s="50" t="s">
        <v>330</v>
      </c>
      <c r="D263" s="49">
        <v>40</v>
      </c>
      <c r="E263" s="49">
        <v>35</v>
      </c>
      <c r="F263" s="50">
        <f t="shared" si="59"/>
        <v>37.5</v>
      </c>
      <c r="G263" s="47" t="s">
        <v>854</v>
      </c>
      <c r="H263" s="168">
        <v>30</v>
      </c>
      <c r="I263" s="169">
        <f t="shared" si="49"/>
        <v>56.25</v>
      </c>
      <c r="J263" s="170">
        <f t="shared" si="50"/>
        <v>7.5</v>
      </c>
      <c r="K263" s="168">
        <v>40</v>
      </c>
      <c r="L263" s="169">
        <f t="shared" si="51"/>
        <v>6.25</v>
      </c>
      <c r="M263" s="170">
        <f t="shared" si="52"/>
        <v>2.5</v>
      </c>
      <c r="N263" s="168">
        <v>10</v>
      </c>
      <c r="O263" s="169">
        <f t="shared" si="53"/>
        <v>756.25</v>
      </c>
      <c r="P263" s="170">
        <f t="shared" si="54"/>
        <v>27.5</v>
      </c>
      <c r="Q263" s="168">
        <v>30</v>
      </c>
      <c r="R263" s="169">
        <f t="shared" si="55"/>
        <v>56.25</v>
      </c>
      <c r="S263" s="170">
        <f t="shared" si="56"/>
        <v>7.5</v>
      </c>
      <c r="T263" s="171">
        <v>35</v>
      </c>
      <c r="U263" s="169">
        <f t="shared" si="57"/>
        <v>6.25</v>
      </c>
      <c r="V263" s="170">
        <f t="shared" si="58"/>
        <v>2.5</v>
      </c>
      <c r="W263" s="2"/>
    </row>
    <row r="264" spans="1:23" ht="15" customHeight="1">
      <c r="A264" s="49">
        <v>107</v>
      </c>
      <c r="B264" s="50" t="s">
        <v>19</v>
      </c>
      <c r="C264" s="50" t="s">
        <v>333</v>
      </c>
      <c r="D264" s="49">
        <v>10</v>
      </c>
      <c r="E264" s="49">
        <v>25</v>
      </c>
      <c r="F264" s="50">
        <f t="shared" si="59"/>
        <v>17.5</v>
      </c>
      <c r="G264" s="47" t="s">
        <v>855</v>
      </c>
      <c r="H264" s="168">
        <v>30</v>
      </c>
      <c r="I264" s="169">
        <f t="shared" si="49"/>
        <v>156.25</v>
      </c>
      <c r="J264" s="170">
        <f t="shared" si="50"/>
        <v>12.5</v>
      </c>
      <c r="K264" s="168">
        <v>40</v>
      </c>
      <c r="L264" s="169">
        <f t="shared" si="51"/>
        <v>506.25</v>
      </c>
      <c r="M264" s="170">
        <f t="shared" si="52"/>
        <v>22.5</v>
      </c>
      <c r="N264" s="168">
        <v>35</v>
      </c>
      <c r="O264" s="169">
        <f t="shared" si="53"/>
        <v>306.25</v>
      </c>
      <c r="P264" s="170">
        <f t="shared" si="54"/>
        <v>17.5</v>
      </c>
      <c r="Q264" s="168">
        <v>30</v>
      </c>
      <c r="R264" s="169">
        <f t="shared" si="55"/>
        <v>156.25</v>
      </c>
      <c r="S264" s="170">
        <f t="shared" si="56"/>
        <v>12.5</v>
      </c>
      <c r="T264" s="171">
        <v>20</v>
      </c>
      <c r="U264" s="169">
        <f t="shared" si="57"/>
        <v>6.25</v>
      </c>
      <c r="V264" s="170">
        <f t="shared" si="58"/>
        <v>2.5</v>
      </c>
      <c r="W264" s="2"/>
    </row>
    <row r="265" spans="1:23" ht="15" customHeight="1">
      <c r="A265" s="49">
        <v>108</v>
      </c>
      <c r="B265" s="50" t="s">
        <v>19</v>
      </c>
      <c r="C265" s="49" t="s">
        <v>336</v>
      </c>
      <c r="D265" s="49">
        <v>25</v>
      </c>
      <c r="E265" s="49">
        <v>25</v>
      </c>
      <c r="F265" s="50">
        <f t="shared" si="59"/>
        <v>25</v>
      </c>
      <c r="G265" s="47" t="s">
        <v>856</v>
      </c>
      <c r="H265" s="168">
        <v>30</v>
      </c>
      <c r="I265" s="169">
        <f t="shared" si="49"/>
        <v>25</v>
      </c>
      <c r="J265" s="170">
        <f t="shared" si="50"/>
        <v>5</v>
      </c>
      <c r="K265" s="168">
        <v>40</v>
      </c>
      <c r="L265" s="169">
        <f t="shared" si="51"/>
        <v>225</v>
      </c>
      <c r="M265" s="170">
        <f t="shared" si="52"/>
        <v>15</v>
      </c>
      <c r="N265" s="168">
        <v>35</v>
      </c>
      <c r="O265" s="169">
        <f t="shared" si="53"/>
        <v>100</v>
      </c>
      <c r="P265" s="170">
        <f t="shared" si="54"/>
        <v>10</v>
      </c>
      <c r="Q265" s="168">
        <v>30</v>
      </c>
      <c r="R265" s="169">
        <f t="shared" si="55"/>
        <v>25</v>
      </c>
      <c r="S265" s="170">
        <f t="shared" si="56"/>
        <v>5</v>
      </c>
      <c r="T265" s="171">
        <v>20</v>
      </c>
      <c r="U265" s="169">
        <f t="shared" si="57"/>
        <v>25</v>
      </c>
      <c r="V265" s="170">
        <f t="shared" si="58"/>
        <v>5</v>
      </c>
      <c r="W265" s="2"/>
    </row>
    <row r="266" spans="1:23" ht="15" customHeight="1">
      <c r="A266" s="51">
        <v>109</v>
      </c>
      <c r="B266" s="50" t="s">
        <v>19</v>
      </c>
      <c r="C266" s="50" t="s">
        <v>339</v>
      </c>
      <c r="D266" s="49">
        <v>35</v>
      </c>
      <c r="E266" s="49">
        <v>35</v>
      </c>
      <c r="F266" s="50">
        <f t="shared" si="59"/>
        <v>35</v>
      </c>
      <c r="G266" s="47" t="s">
        <v>857</v>
      </c>
      <c r="H266" s="168">
        <v>30</v>
      </c>
      <c r="I266" s="169">
        <f t="shared" si="49"/>
        <v>25</v>
      </c>
      <c r="J266" s="170">
        <f t="shared" si="50"/>
        <v>5</v>
      </c>
      <c r="K266" s="168">
        <v>30</v>
      </c>
      <c r="L266" s="169">
        <f t="shared" si="51"/>
        <v>25</v>
      </c>
      <c r="M266" s="170">
        <f t="shared" si="52"/>
        <v>5</v>
      </c>
      <c r="N266" s="168">
        <v>10</v>
      </c>
      <c r="O266" s="169">
        <f t="shared" si="53"/>
        <v>625</v>
      </c>
      <c r="P266" s="170">
        <f t="shared" si="54"/>
        <v>25</v>
      </c>
      <c r="Q266" s="168">
        <v>25</v>
      </c>
      <c r="R266" s="169">
        <f t="shared" si="55"/>
        <v>100</v>
      </c>
      <c r="S266" s="170">
        <f t="shared" si="56"/>
        <v>10</v>
      </c>
      <c r="T266" s="171">
        <v>20</v>
      </c>
      <c r="U266" s="169">
        <f t="shared" si="57"/>
        <v>225</v>
      </c>
      <c r="V266" s="170">
        <f t="shared" si="58"/>
        <v>15</v>
      </c>
      <c r="W266" s="2"/>
    </row>
    <row r="267" spans="1:23" ht="15" customHeight="1">
      <c r="A267" s="49">
        <v>110</v>
      </c>
      <c r="B267" s="50" t="s">
        <v>19</v>
      </c>
      <c r="C267" s="50" t="s">
        <v>342</v>
      </c>
      <c r="D267" s="49">
        <v>30</v>
      </c>
      <c r="E267" s="49">
        <v>35</v>
      </c>
      <c r="F267" s="50">
        <f t="shared" si="59"/>
        <v>32.5</v>
      </c>
      <c r="G267" s="47" t="s">
        <v>858</v>
      </c>
      <c r="H267" s="168">
        <v>30</v>
      </c>
      <c r="I267" s="169">
        <f t="shared" si="49"/>
        <v>6.25</v>
      </c>
      <c r="J267" s="170">
        <f t="shared" si="50"/>
        <v>2.5</v>
      </c>
      <c r="K267" s="168">
        <v>35</v>
      </c>
      <c r="L267" s="169">
        <f t="shared" si="51"/>
        <v>6.25</v>
      </c>
      <c r="M267" s="170">
        <f t="shared" si="52"/>
        <v>2.5</v>
      </c>
      <c r="N267" s="168">
        <v>40</v>
      </c>
      <c r="O267" s="169">
        <f t="shared" si="53"/>
        <v>56.25</v>
      </c>
      <c r="P267" s="170">
        <f t="shared" si="54"/>
        <v>7.5</v>
      </c>
      <c r="Q267" s="168">
        <v>35</v>
      </c>
      <c r="R267" s="169">
        <f t="shared" si="55"/>
        <v>6.25</v>
      </c>
      <c r="S267" s="170">
        <f t="shared" si="56"/>
        <v>2.5</v>
      </c>
      <c r="T267" s="171">
        <v>20</v>
      </c>
      <c r="U267" s="169">
        <f t="shared" si="57"/>
        <v>156.25</v>
      </c>
      <c r="V267" s="170">
        <f t="shared" si="58"/>
        <v>12.5</v>
      </c>
      <c r="W267" s="2"/>
    </row>
    <row r="268" spans="1:23" ht="15" customHeight="1">
      <c r="A268" s="49">
        <v>111</v>
      </c>
      <c r="B268" s="50" t="s">
        <v>19</v>
      </c>
      <c r="C268" s="50" t="s">
        <v>345</v>
      </c>
      <c r="D268" s="49">
        <v>10</v>
      </c>
      <c r="E268" s="49">
        <v>5</v>
      </c>
      <c r="F268" s="50">
        <f t="shared" si="59"/>
        <v>7.5</v>
      </c>
      <c r="G268" s="47" t="s">
        <v>859</v>
      </c>
      <c r="H268" s="168">
        <v>10</v>
      </c>
      <c r="I268" s="169">
        <f t="shared" si="49"/>
        <v>6.25</v>
      </c>
      <c r="J268" s="170">
        <f t="shared" si="50"/>
        <v>2.5</v>
      </c>
      <c r="K268" s="168">
        <v>10</v>
      </c>
      <c r="L268" s="169">
        <f t="shared" si="51"/>
        <v>6.25</v>
      </c>
      <c r="M268" s="170">
        <f t="shared" si="52"/>
        <v>2.5</v>
      </c>
      <c r="N268" s="168">
        <v>10</v>
      </c>
      <c r="O268" s="169">
        <f t="shared" si="53"/>
        <v>6.25</v>
      </c>
      <c r="P268" s="170">
        <f t="shared" si="54"/>
        <v>2.5</v>
      </c>
      <c r="Q268" s="168">
        <v>15</v>
      </c>
      <c r="R268" s="169">
        <f t="shared" si="55"/>
        <v>56.25</v>
      </c>
      <c r="S268" s="170">
        <f t="shared" si="56"/>
        <v>7.5</v>
      </c>
      <c r="T268" s="171">
        <v>20</v>
      </c>
      <c r="U268" s="169">
        <f t="shared" si="57"/>
        <v>156.25</v>
      </c>
      <c r="V268" s="170">
        <f t="shared" si="58"/>
        <v>12.5</v>
      </c>
      <c r="W268" s="2"/>
    </row>
    <row r="269" spans="1:23" ht="15" customHeight="1">
      <c r="A269" s="43">
        <v>112</v>
      </c>
      <c r="B269" s="50" t="s">
        <v>19</v>
      </c>
      <c r="C269" s="49" t="s">
        <v>348</v>
      </c>
      <c r="D269" s="49">
        <v>12</v>
      </c>
      <c r="E269" s="49">
        <v>10</v>
      </c>
      <c r="F269" s="50">
        <f t="shared" si="59"/>
        <v>11</v>
      </c>
      <c r="G269" s="47" t="s">
        <v>860</v>
      </c>
      <c r="H269" s="168">
        <v>20</v>
      </c>
      <c r="I269" s="169">
        <f t="shared" si="49"/>
        <v>81</v>
      </c>
      <c r="J269" s="170">
        <f t="shared" si="50"/>
        <v>9</v>
      </c>
      <c r="K269" s="168">
        <v>25</v>
      </c>
      <c r="L269" s="169">
        <f t="shared" si="51"/>
        <v>196</v>
      </c>
      <c r="M269" s="170">
        <f t="shared" si="52"/>
        <v>14</v>
      </c>
      <c r="N269" s="168">
        <v>35</v>
      </c>
      <c r="O269" s="169">
        <f t="shared" si="53"/>
        <v>576</v>
      </c>
      <c r="P269" s="170">
        <f t="shared" si="54"/>
        <v>24</v>
      </c>
      <c r="Q269" s="168">
        <v>25</v>
      </c>
      <c r="R269" s="169">
        <f t="shared" si="55"/>
        <v>196</v>
      </c>
      <c r="S269" s="170">
        <f t="shared" si="56"/>
        <v>14</v>
      </c>
      <c r="T269" s="171">
        <v>20</v>
      </c>
      <c r="U269" s="169">
        <f t="shared" si="57"/>
        <v>81</v>
      </c>
      <c r="V269" s="170">
        <f t="shared" si="58"/>
        <v>9</v>
      </c>
      <c r="W269" s="2"/>
    </row>
    <row r="270" spans="1:23" ht="15" customHeight="1">
      <c r="A270" s="49">
        <v>113</v>
      </c>
      <c r="B270" s="50" t="s">
        <v>19</v>
      </c>
      <c r="C270" s="49" t="s">
        <v>351</v>
      </c>
      <c r="D270" s="49">
        <v>25</v>
      </c>
      <c r="E270" s="49">
        <v>20</v>
      </c>
      <c r="F270" s="50">
        <f t="shared" si="59"/>
        <v>22.5</v>
      </c>
      <c r="G270" s="47" t="s">
        <v>861</v>
      </c>
      <c r="H270" s="168">
        <v>10</v>
      </c>
      <c r="I270" s="169">
        <f t="shared" si="49"/>
        <v>156.25</v>
      </c>
      <c r="J270" s="170">
        <f t="shared" si="50"/>
        <v>12.5</v>
      </c>
      <c r="K270" s="168">
        <v>40</v>
      </c>
      <c r="L270" s="169">
        <f t="shared" si="51"/>
        <v>306.25</v>
      </c>
      <c r="M270" s="170">
        <f t="shared" si="52"/>
        <v>17.5</v>
      </c>
      <c r="N270" s="168">
        <v>10</v>
      </c>
      <c r="O270" s="169">
        <f t="shared" si="53"/>
        <v>156.25</v>
      </c>
      <c r="P270" s="170">
        <f t="shared" si="54"/>
        <v>12.5</v>
      </c>
      <c r="Q270" s="168">
        <v>30</v>
      </c>
      <c r="R270" s="169">
        <f t="shared" si="55"/>
        <v>56.25</v>
      </c>
      <c r="S270" s="170">
        <f t="shared" si="56"/>
        <v>7.5</v>
      </c>
      <c r="T270" s="171">
        <v>20</v>
      </c>
      <c r="U270" s="169">
        <f t="shared" si="57"/>
        <v>6.25</v>
      </c>
      <c r="V270" s="170">
        <f t="shared" si="58"/>
        <v>2.5</v>
      </c>
      <c r="W270" s="2"/>
    </row>
    <row r="271" spans="1:23" ht="15" customHeight="1">
      <c r="A271" s="49">
        <v>114</v>
      </c>
      <c r="B271" s="50" t="s">
        <v>19</v>
      </c>
      <c r="C271" s="50" t="s">
        <v>354</v>
      </c>
      <c r="D271" s="49">
        <v>10</v>
      </c>
      <c r="E271" s="49">
        <v>20</v>
      </c>
      <c r="F271" s="50">
        <f t="shared" si="59"/>
        <v>15</v>
      </c>
      <c r="G271" s="47" t="s">
        <v>862</v>
      </c>
      <c r="H271" s="168">
        <v>30</v>
      </c>
      <c r="I271" s="169">
        <f t="shared" si="49"/>
        <v>225</v>
      </c>
      <c r="J271" s="170">
        <f t="shared" si="50"/>
        <v>15</v>
      </c>
      <c r="K271" s="168">
        <v>30</v>
      </c>
      <c r="L271" s="169">
        <f t="shared" si="51"/>
        <v>225</v>
      </c>
      <c r="M271" s="170">
        <f t="shared" si="52"/>
        <v>15</v>
      </c>
      <c r="N271" s="168">
        <v>30</v>
      </c>
      <c r="O271" s="169">
        <f t="shared" si="53"/>
        <v>225</v>
      </c>
      <c r="P271" s="170">
        <f t="shared" si="54"/>
        <v>15</v>
      </c>
      <c r="Q271" s="168">
        <v>30</v>
      </c>
      <c r="R271" s="169">
        <f t="shared" si="55"/>
        <v>225</v>
      </c>
      <c r="S271" s="170">
        <f t="shared" si="56"/>
        <v>15</v>
      </c>
      <c r="T271" s="171">
        <v>20</v>
      </c>
      <c r="U271" s="169">
        <f t="shared" si="57"/>
        <v>25</v>
      </c>
      <c r="V271" s="170">
        <f t="shared" si="58"/>
        <v>5</v>
      </c>
      <c r="W271" s="2"/>
    </row>
    <row r="272" spans="1:23" ht="15" customHeight="1">
      <c r="A272" s="51">
        <v>115</v>
      </c>
      <c r="B272" s="50" t="s">
        <v>19</v>
      </c>
      <c r="C272" s="50" t="s">
        <v>357</v>
      </c>
      <c r="D272" s="49">
        <v>30</v>
      </c>
      <c r="E272" s="49">
        <v>35</v>
      </c>
      <c r="F272" s="50">
        <f t="shared" si="59"/>
        <v>32.5</v>
      </c>
      <c r="G272" s="47" t="s">
        <v>863</v>
      </c>
      <c r="H272" s="168">
        <v>20</v>
      </c>
      <c r="I272" s="169">
        <f t="shared" si="49"/>
        <v>156.25</v>
      </c>
      <c r="J272" s="170">
        <f t="shared" si="50"/>
        <v>12.5</v>
      </c>
      <c r="K272" s="168">
        <v>25</v>
      </c>
      <c r="L272" s="169">
        <f t="shared" si="51"/>
        <v>56.25</v>
      </c>
      <c r="M272" s="170">
        <f t="shared" si="52"/>
        <v>7.5</v>
      </c>
      <c r="N272" s="168">
        <v>15</v>
      </c>
      <c r="O272" s="169">
        <f t="shared" si="53"/>
        <v>306.25</v>
      </c>
      <c r="P272" s="170">
        <f t="shared" si="54"/>
        <v>17.5</v>
      </c>
      <c r="Q272" s="168">
        <v>25</v>
      </c>
      <c r="R272" s="169">
        <f t="shared" si="55"/>
        <v>56.25</v>
      </c>
      <c r="S272" s="170">
        <f t="shared" si="56"/>
        <v>7.5</v>
      </c>
      <c r="T272" s="171">
        <v>20</v>
      </c>
      <c r="U272" s="169">
        <f t="shared" si="57"/>
        <v>156.25</v>
      </c>
      <c r="V272" s="170">
        <f t="shared" si="58"/>
        <v>12.5</v>
      </c>
      <c r="W272" s="2"/>
    </row>
    <row r="273" spans="1:23" ht="15" customHeight="1">
      <c r="A273" s="49">
        <v>116</v>
      </c>
      <c r="B273" s="50" t="s">
        <v>19</v>
      </c>
      <c r="C273" s="50" t="s">
        <v>360</v>
      </c>
      <c r="D273" s="49">
        <v>20</v>
      </c>
      <c r="E273" s="49">
        <v>20</v>
      </c>
      <c r="F273" s="50">
        <f t="shared" si="59"/>
        <v>20</v>
      </c>
      <c r="G273" s="47" t="s">
        <v>864</v>
      </c>
      <c r="H273" s="168">
        <v>20</v>
      </c>
      <c r="I273" s="169">
        <f t="shared" si="49"/>
        <v>0</v>
      </c>
      <c r="J273" s="170">
        <f t="shared" si="50"/>
        <v>0</v>
      </c>
      <c r="K273" s="168">
        <v>20</v>
      </c>
      <c r="L273" s="169">
        <f t="shared" si="51"/>
        <v>0</v>
      </c>
      <c r="M273" s="170">
        <f t="shared" si="52"/>
        <v>0</v>
      </c>
      <c r="N273" s="168">
        <v>25</v>
      </c>
      <c r="O273" s="169">
        <f t="shared" si="53"/>
        <v>25</v>
      </c>
      <c r="P273" s="170">
        <f t="shared" si="54"/>
        <v>5</v>
      </c>
      <c r="Q273" s="168">
        <v>25</v>
      </c>
      <c r="R273" s="169">
        <f t="shared" si="55"/>
        <v>25</v>
      </c>
      <c r="S273" s="170">
        <f t="shared" si="56"/>
        <v>5</v>
      </c>
      <c r="T273" s="171">
        <v>20</v>
      </c>
      <c r="U273" s="169">
        <f t="shared" si="57"/>
        <v>0</v>
      </c>
      <c r="V273" s="170">
        <f t="shared" si="58"/>
        <v>0</v>
      </c>
      <c r="W273" s="2"/>
    </row>
    <row r="274" spans="1:23" ht="15" customHeight="1">
      <c r="A274" s="49">
        <v>117</v>
      </c>
      <c r="B274" s="50" t="s">
        <v>19</v>
      </c>
      <c r="C274" s="50" t="s">
        <v>363</v>
      </c>
      <c r="D274" s="49">
        <v>10</v>
      </c>
      <c r="E274" s="49">
        <v>10</v>
      </c>
      <c r="F274" s="50">
        <f t="shared" si="59"/>
        <v>10</v>
      </c>
      <c r="G274" s="47" t="s">
        <v>865</v>
      </c>
      <c r="H274" s="168">
        <v>20</v>
      </c>
      <c r="I274" s="169">
        <f t="shared" si="49"/>
        <v>100</v>
      </c>
      <c r="J274" s="170">
        <f t="shared" si="50"/>
        <v>10</v>
      </c>
      <c r="K274" s="168">
        <v>25</v>
      </c>
      <c r="L274" s="169">
        <f t="shared" si="51"/>
        <v>225</v>
      </c>
      <c r="M274" s="170">
        <f t="shared" si="52"/>
        <v>15</v>
      </c>
      <c r="N274" s="168">
        <v>10</v>
      </c>
      <c r="O274" s="169">
        <f t="shared" si="53"/>
        <v>0</v>
      </c>
      <c r="P274" s="170">
        <f t="shared" si="54"/>
        <v>0</v>
      </c>
      <c r="Q274" s="168">
        <v>15</v>
      </c>
      <c r="R274" s="169">
        <f t="shared" si="55"/>
        <v>25</v>
      </c>
      <c r="S274" s="170">
        <f t="shared" si="56"/>
        <v>5</v>
      </c>
      <c r="T274" s="171">
        <v>20</v>
      </c>
      <c r="U274" s="169">
        <f t="shared" si="57"/>
        <v>100</v>
      </c>
      <c r="V274" s="170">
        <f t="shared" si="58"/>
        <v>10</v>
      </c>
      <c r="W274" s="2"/>
    </row>
    <row r="275" spans="1:23" ht="15" customHeight="1">
      <c r="A275" s="43">
        <v>118</v>
      </c>
      <c r="B275" s="50" t="s">
        <v>19</v>
      </c>
      <c r="C275" s="50" t="s">
        <v>366</v>
      </c>
      <c r="D275" s="49">
        <v>40</v>
      </c>
      <c r="E275" s="49">
        <v>40</v>
      </c>
      <c r="F275" s="50">
        <f t="shared" si="59"/>
        <v>40</v>
      </c>
      <c r="G275" s="47" t="s">
        <v>866</v>
      </c>
      <c r="H275" s="168">
        <v>30</v>
      </c>
      <c r="I275" s="169">
        <f t="shared" si="49"/>
        <v>100</v>
      </c>
      <c r="J275" s="170">
        <f t="shared" si="50"/>
        <v>10</v>
      </c>
      <c r="K275" s="168">
        <v>25</v>
      </c>
      <c r="L275" s="169">
        <f t="shared" si="51"/>
        <v>225</v>
      </c>
      <c r="M275" s="170">
        <f t="shared" si="52"/>
        <v>15</v>
      </c>
      <c r="N275" s="168">
        <v>30</v>
      </c>
      <c r="O275" s="169">
        <f t="shared" si="53"/>
        <v>100</v>
      </c>
      <c r="P275" s="170">
        <f t="shared" si="54"/>
        <v>10</v>
      </c>
      <c r="Q275" s="168">
        <v>35</v>
      </c>
      <c r="R275" s="169">
        <f t="shared" si="55"/>
        <v>25</v>
      </c>
      <c r="S275" s="170">
        <f t="shared" si="56"/>
        <v>5</v>
      </c>
      <c r="T275" s="171">
        <v>20</v>
      </c>
      <c r="U275" s="169">
        <f t="shared" si="57"/>
        <v>400</v>
      </c>
      <c r="V275" s="170">
        <f t="shared" si="58"/>
        <v>20</v>
      </c>
      <c r="W275" s="2"/>
    </row>
    <row r="276" spans="1:23" ht="15" customHeight="1">
      <c r="A276" s="49">
        <v>119</v>
      </c>
      <c r="B276" s="49" t="s">
        <v>19</v>
      </c>
      <c r="C276" s="49" t="s">
        <v>369</v>
      </c>
      <c r="D276" s="49">
        <v>20</v>
      </c>
      <c r="E276" s="49">
        <v>20</v>
      </c>
      <c r="F276" s="50">
        <f t="shared" si="59"/>
        <v>20</v>
      </c>
      <c r="G276" s="47" t="s">
        <v>867</v>
      </c>
      <c r="H276" s="168">
        <v>20</v>
      </c>
      <c r="I276" s="169">
        <f t="shared" si="49"/>
        <v>0</v>
      </c>
      <c r="J276" s="170">
        <f t="shared" si="50"/>
        <v>0</v>
      </c>
      <c r="K276" s="168">
        <v>20</v>
      </c>
      <c r="L276" s="169">
        <f t="shared" si="51"/>
        <v>0</v>
      </c>
      <c r="M276" s="170">
        <f t="shared" si="52"/>
        <v>0</v>
      </c>
      <c r="N276" s="168">
        <v>10</v>
      </c>
      <c r="O276" s="169">
        <f t="shared" si="53"/>
        <v>100</v>
      </c>
      <c r="P276" s="170">
        <f t="shared" si="54"/>
        <v>10</v>
      </c>
      <c r="Q276" s="168">
        <v>25</v>
      </c>
      <c r="R276" s="169">
        <f t="shared" si="55"/>
        <v>25</v>
      </c>
      <c r="S276" s="170">
        <f t="shared" si="56"/>
        <v>5</v>
      </c>
      <c r="T276" s="171">
        <v>20</v>
      </c>
      <c r="U276" s="169">
        <f t="shared" si="57"/>
        <v>0</v>
      </c>
      <c r="V276" s="170">
        <f t="shared" si="58"/>
        <v>0</v>
      </c>
      <c r="W276" s="2"/>
    </row>
    <row r="277" spans="1:23" ht="15" customHeight="1">
      <c r="A277" s="49">
        <v>120</v>
      </c>
      <c r="B277" s="50" t="s">
        <v>19</v>
      </c>
      <c r="C277" s="49" t="s">
        <v>372</v>
      </c>
      <c r="D277" s="49">
        <v>20</v>
      </c>
      <c r="E277" s="49">
        <v>22</v>
      </c>
      <c r="F277" s="50">
        <f t="shared" si="59"/>
        <v>21</v>
      </c>
      <c r="G277" s="47" t="s">
        <v>868</v>
      </c>
      <c r="H277" s="168">
        <v>20</v>
      </c>
      <c r="I277" s="169">
        <f t="shared" si="49"/>
        <v>1</v>
      </c>
      <c r="J277" s="170">
        <f t="shared" si="50"/>
        <v>1</v>
      </c>
      <c r="K277" s="168">
        <v>20</v>
      </c>
      <c r="L277" s="169">
        <f t="shared" si="51"/>
        <v>1</v>
      </c>
      <c r="M277" s="170">
        <f t="shared" si="52"/>
        <v>1</v>
      </c>
      <c r="N277" s="168">
        <v>20</v>
      </c>
      <c r="O277" s="169">
        <f t="shared" si="53"/>
        <v>1</v>
      </c>
      <c r="P277" s="170">
        <f t="shared" si="54"/>
        <v>1</v>
      </c>
      <c r="Q277" s="168">
        <v>20</v>
      </c>
      <c r="R277" s="169">
        <f t="shared" si="55"/>
        <v>1</v>
      </c>
      <c r="S277" s="170">
        <f t="shared" si="56"/>
        <v>1</v>
      </c>
      <c r="T277" s="171">
        <v>20</v>
      </c>
      <c r="U277" s="169">
        <f t="shared" si="57"/>
        <v>1</v>
      </c>
      <c r="V277" s="170">
        <f t="shared" si="58"/>
        <v>1</v>
      </c>
      <c r="W277" s="2"/>
    </row>
    <row r="278" spans="1:23" ht="15" customHeight="1">
      <c r="A278" s="51">
        <v>121</v>
      </c>
      <c r="B278" s="50" t="s">
        <v>19</v>
      </c>
      <c r="C278" s="50" t="s">
        <v>375</v>
      </c>
      <c r="D278" s="49">
        <v>20</v>
      </c>
      <c r="E278" s="49">
        <v>20</v>
      </c>
      <c r="F278" s="50">
        <f t="shared" si="59"/>
        <v>20</v>
      </c>
      <c r="G278" s="47" t="s">
        <v>869</v>
      </c>
      <c r="H278" s="168">
        <v>20</v>
      </c>
      <c r="I278" s="169">
        <f t="shared" si="49"/>
        <v>0</v>
      </c>
      <c r="J278" s="170">
        <f t="shared" si="50"/>
        <v>0</v>
      </c>
      <c r="K278" s="168">
        <v>20</v>
      </c>
      <c r="L278" s="169">
        <f t="shared" si="51"/>
        <v>0</v>
      </c>
      <c r="M278" s="170">
        <f t="shared" si="52"/>
        <v>0</v>
      </c>
      <c r="N278" s="168">
        <v>20</v>
      </c>
      <c r="O278" s="169">
        <f t="shared" si="53"/>
        <v>0</v>
      </c>
      <c r="P278" s="170">
        <f t="shared" si="54"/>
        <v>0</v>
      </c>
      <c r="Q278" s="168">
        <v>30</v>
      </c>
      <c r="R278" s="169">
        <f t="shared" si="55"/>
        <v>100</v>
      </c>
      <c r="S278" s="170">
        <f t="shared" si="56"/>
        <v>10</v>
      </c>
      <c r="T278" s="171">
        <v>20</v>
      </c>
      <c r="U278" s="169">
        <f t="shared" si="57"/>
        <v>0</v>
      </c>
      <c r="V278" s="170">
        <f t="shared" si="58"/>
        <v>0</v>
      </c>
      <c r="W278" s="2"/>
    </row>
    <row r="279" spans="1:23" ht="15" customHeight="1">
      <c r="A279" s="49">
        <v>122</v>
      </c>
      <c r="B279" s="50" t="s">
        <v>19</v>
      </c>
      <c r="C279" s="50" t="s">
        <v>378</v>
      </c>
      <c r="D279" s="49">
        <v>25</v>
      </c>
      <c r="E279" s="49">
        <v>40</v>
      </c>
      <c r="F279" s="50">
        <f t="shared" si="59"/>
        <v>32.5</v>
      </c>
      <c r="G279" s="47" t="s">
        <v>870</v>
      </c>
      <c r="H279" s="168">
        <v>30</v>
      </c>
      <c r="I279" s="169">
        <f t="shared" si="49"/>
        <v>6.25</v>
      </c>
      <c r="J279" s="170">
        <f t="shared" si="50"/>
        <v>2.5</v>
      </c>
      <c r="K279" s="168">
        <v>40</v>
      </c>
      <c r="L279" s="169">
        <f t="shared" si="51"/>
        <v>56.25</v>
      </c>
      <c r="M279" s="170">
        <f t="shared" si="52"/>
        <v>7.5</v>
      </c>
      <c r="N279" s="168">
        <v>10</v>
      </c>
      <c r="O279" s="169">
        <f t="shared" si="53"/>
        <v>506.25</v>
      </c>
      <c r="P279" s="170">
        <f t="shared" si="54"/>
        <v>22.5</v>
      </c>
      <c r="Q279" s="168">
        <v>30</v>
      </c>
      <c r="R279" s="169">
        <f t="shared" si="55"/>
        <v>6.25</v>
      </c>
      <c r="S279" s="170">
        <f t="shared" si="56"/>
        <v>2.5</v>
      </c>
      <c r="T279" s="171">
        <v>20</v>
      </c>
      <c r="U279" s="169">
        <f t="shared" si="57"/>
        <v>156.25</v>
      </c>
      <c r="V279" s="170">
        <f t="shared" si="58"/>
        <v>12.5</v>
      </c>
      <c r="W279" s="2"/>
    </row>
    <row r="280" spans="1:23" ht="15" customHeight="1">
      <c r="A280" s="49">
        <v>123</v>
      </c>
      <c r="B280" s="50" t="s">
        <v>19</v>
      </c>
      <c r="C280" s="50" t="s">
        <v>381</v>
      </c>
      <c r="D280" s="49">
        <v>40</v>
      </c>
      <c r="E280" s="49">
        <v>40</v>
      </c>
      <c r="F280" s="50">
        <f t="shared" si="59"/>
        <v>40</v>
      </c>
      <c r="G280" s="47" t="s">
        <v>871</v>
      </c>
      <c r="H280" s="168">
        <v>30</v>
      </c>
      <c r="I280" s="169">
        <f t="shared" si="49"/>
        <v>100</v>
      </c>
      <c r="J280" s="170">
        <f t="shared" si="50"/>
        <v>10</v>
      </c>
      <c r="K280" s="168">
        <v>40</v>
      </c>
      <c r="L280" s="169">
        <f t="shared" si="51"/>
        <v>0</v>
      </c>
      <c r="M280" s="170">
        <f t="shared" si="52"/>
        <v>0</v>
      </c>
      <c r="N280" s="168">
        <v>40</v>
      </c>
      <c r="O280" s="169">
        <f t="shared" si="53"/>
        <v>0</v>
      </c>
      <c r="P280" s="170">
        <f t="shared" si="54"/>
        <v>0</v>
      </c>
      <c r="Q280" s="168">
        <v>35</v>
      </c>
      <c r="R280" s="169">
        <f t="shared" si="55"/>
        <v>25</v>
      </c>
      <c r="S280" s="170">
        <f t="shared" si="56"/>
        <v>5</v>
      </c>
      <c r="T280" s="171">
        <v>40</v>
      </c>
      <c r="U280" s="169">
        <f t="shared" si="57"/>
        <v>0</v>
      </c>
      <c r="V280" s="170">
        <f t="shared" si="58"/>
        <v>0</v>
      </c>
      <c r="W280" s="2"/>
    </row>
    <row r="281" spans="1:23" ht="15" customHeight="1">
      <c r="A281" s="43">
        <v>124</v>
      </c>
      <c r="B281" s="50" t="s">
        <v>19</v>
      </c>
      <c r="C281" s="49" t="s">
        <v>384</v>
      </c>
      <c r="D281" s="49">
        <v>40</v>
      </c>
      <c r="E281" s="49">
        <v>40</v>
      </c>
      <c r="F281" s="50">
        <f t="shared" si="59"/>
        <v>40</v>
      </c>
      <c r="G281" s="47" t="s">
        <v>872</v>
      </c>
      <c r="H281" s="168">
        <v>30</v>
      </c>
      <c r="I281" s="169">
        <f t="shared" si="49"/>
        <v>100</v>
      </c>
      <c r="J281" s="170">
        <f t="shared" si="50"/>
        <v>10</v>
      </c>
      <c r="K281" s="168">
        <v>40</v>
      </c>
      <c r="L281" s="169">
        <f t="shared" si="51"/>
        <v>0</v>
      </c>
      <c r="M281" s="170">
        <f t="shared" si="52"/>
        <v>0</v>
      </c>
      <c r="N281" s="168">
        <v>40</v>
      </c>
      <c r="O281" s="169">
        <f t="shared" si="53"/>
        <v>0</v>
      </c>
      <c r="P281" s="170">
        <f t="shared" si="54"/>
        <v>0</v>
      </c>
      <c r="Q281" s="168">
        <v>35</v>
      </c>
      <c r="R281" s="169">
        <f t="shared" si="55"/>
        <v>25</v>
      </c>
      <c r="S281" s="170">
        <f t="shared" si="56"/>
        <v>5</v>
      </c>
      <c r="T281" s="171">
        <v>35</v>
      </c>
      <c r="U281" s="169">
        <f t="shared" si="57"/>
        <v>25</v>
      </c>
      <c r="V281" s="170">
        <f t="shared" si="58"/>
        <v>5</v>
      </c>
      <c r="W281" s="2"/>
    </row>
    <row r="282" spans="1:23" ht="15" customHeight="1">
      <c r="A282" s="49">
        <v>125</v>
      </c>
      <c r="B282" s="50" t="s">
        <v>19</v>
      </c>
      <c r="C282" s="50" t="s">
        <v>387</v>
      </c>
      <c r="D282" s="49">
        <v>10</v>
      </c>
      <c r="E282" s="49">
        <v>0</v>
      </c>
      <c r="F282" s="50">
        <f t="shared" si="59"/>
        <v>5</v>
      </c>
      <c r="G282" s="47" t="s">
        <v>873</v>
      </c>
      <c r="H282" s="168">
        <v>10</v>
      </c>
      <c r="I282" s="169">
        <f t="shared" si="49"/>
        <v>25</v>
      </c>
      <c r="J282" s="170">
        <f t="shared" si="50"/>
        <v>5</v>
      </c>
      <c r="K282" s="168">
        <v>15</v>
      </c>
      <c r="L282" s="169">
        <f t="shared" si="51"/>
        <v>100</v>
      </c>
      <c r="M282" s="170">
        <f t="shared" si="52"/>
        <v>10</v>
      </c>
      <c r="N282" s="168">
        <v>10</v>
      </c>
      <c r="O282" s="169">
        <f t="shared" si="53"/>
        <v>25</v>
      </c>
      <c r="P282" s="170">
        <f t="shared" si="54"/>
        <v>5</v>
      </c>
      <c r="Q282" s="168">
        <v>25</v>
      </c>
      <c r="R282" s="169">
        <f t="shared" si="55"/>
        <v>400</v>
      </c>
      <c r="S282" s="170">
        <f t="shared" si="56"/>
        <v>20</v>
      </c>
      <c r="T282" s="171">
        <v>20</v>
      </c>
      <c r="U282" s="169">
        <f t="shared" si="57"/>
        <v>225</v>
      </c>
      <c r="V282" s="170">
        <f t="shared" si="58"/>
        <v>15</v>
      </c>
      <c r="W282" s="2"/>
    </row>
    <row r="283" spans="1:23" ht="15" customHeight="1">
      <c r="A283" s="49">
        <v>126</v>
      </c>
      <c r="B283" s="50" t="s">
        <v>19</v>
      </c>
      <c r="C283" s="50" t="s">
        <v>390</v>
      </c>
      <c r="D283" s="49">
        <v>20</v>
      </c>
      <c r="E283" s="49">
        <v>30</v>
      </c>
      <c r="F283" s="50">
        <f t="shared" si="59"/>
        <v>25</v>
      </c>
      <c r="G283" s="47" t="s">
        <v>874</v>
      </c>
      <c r="H283" s="168">
        <v>20</v>
      </c>
      <c r="I283" s="169">
        <f t="shared" si="49"/>
        <v>25</v>
      </c>
      <c r="J283" s="170">
        <f t="shared" si="50"/>
        <v>5</v>
      </c>
      <c r="K283" s="168">
        <v>40</v>
      </c>
      <c r="L283" s="169">
        <f t="shared" si="51"/>
        <v>225</v>
      </c>
      <c r="M283" s="170">
        <f t="shared" si="52"/>
        <v>15</v>
      </c>
      <c r="N283" s="168">
        <v>35</v>
      </c>
      <c r="O283" s="169">
        <f t="shared" si="53"/>
        <v>100</v>
      </c>
      <c r="P283" s="170">
        <f t="shared" si="54"/>
        <v>10</v>
      </c>
      <c r="Q283" s="168">
        <v>25</v>
      </c>
      <c r="R283" s="169">
        <f t="shared" si="55"/>
        <v>0</v>
      </c>
      <c r="S283" s="170">
        <f t="shared" si="56"/>
        <v>0</v>
      </c>
      <c r="T283" s="171">
        <v>30</v>
      </c>
      <c r="U283" s="169">
        <f t="shared" si="57"/>
        <v>25</v>
      </c>
      <c r="V283" s="170">
        <f t="shared" si="58"/>
        <v>5</v>
      </c>
      <c r="W283" s="2"/>
    </row>
    <row r="284" spans="1:23" ht="15" customHeight="1">
      <c r="A284" s="51">
        <v>127</v>
      </c>
      <c r="B284" s="50" t="s">
        <v>19</v>
      </c>
      <c r="C284" s="50" t="s">
        <v>393</v>
      </c>
      <c r="D284" s="49">
        <v>10</v>
      </c>
      <c r="E284" s="49">
        <v>10</v>
      </c>
      <c r="F284" s="50">
        <f t="shared" si="59"/>
        <v>10</v>
      </c>
      <c r="G284" s="47" t="s">
        <v>875</v>
      </c>
      <c r="H284" s="168">
        <v>20</v>
      </c>
      <c r="I284" s="169">
        <f t="shared" si="49"/>
        <v>100</v>
      </c>
      <c r="J284" s="170">
        <f t="shared" si="50"/>
        <v>10</v>
      </c>
      <c r="K284" s="168">
        <v>20</v>
      </c>
      <c r="L284" s="169">
        <f t="shared" si="51"/>
        <v>100</v>
      </c>
      <c r="M284" s="170">
        <f t="shared" si="52"/>
        <v>10</v>
      </c>
      <c r="N284" s="168">
        <v>10</v>
      </c>
      <c r="O284" s="169">
        <f t="shared" si="53"/>
        <v>0</v>
      </c>
      <c r="P284" s="170">
        <f t="shared" si="54"/>
        <v>0</v>
      </c>
      <c r="Q284" s="168">
        <v>15</v>
      </c>
      <c r="R284" s="169">
        <f t="shared" si="55"/>
        <v>25</v>
      </c>
      <c r="S284" s="170">
        <f t="shared" si="56"/>
        <v>5</v>
      </c>
      <c r="T284" s="171">
        <v>20</v>
      </c>
      <c r="U284" s="169">
        <f t="shared" si="57"/>
        <v>100</v>
      </c>
      <c r="V284" s="170">
        <f t="shared" si="58"/>
        <v>10</v>
      </c>
      <c r="W284" s="2"/>
    </row>
    <row r="285" spans="1:23" ht="15" customHeight="1">
      <c r="A285" s="49">
        <v>128</v>
      </c>
      <c r="B285" s="50" t="s">
        <v>19</v>
      </c>
      <c r="C285" s="50" t="s">
        <v>396</v>
      </c>
      <c r="D285" s="49">
        <v>0</v>
      </c>
      <c r="E285" s="49">
        <v>0</v>
      </c>
      <c r="F285" s="50">
        <f t="shared" si="59"/>
        <v>0</v>
      </c>
      <c r="G285" s="47" t="s">
        <v>876</v>
      </c>
      <c r="H285" s="168">
        <v>30</v>
      </c>
      <c r="I285" s="169">
        <f t="shared" si="49"/>
        <v>900</v>
      </c>
      <c r="J285" s="170">
        <f t="shared" si="50"/>
        <v>30</v>
      </c>
      <c r="K285" s="168">
        <v>30</v>
      </c>
      <c r="L285" s="169">
        <f t="shared" si="51"/>
        <v>900</v>
      </c>
      <c r="M285" s="170">
        <f t="shared" si="52"/>
        <v>30</v>
      </c>
      <c r="N285" s="168">
        <v>10</v>
      </c>
      <c r="O285" s="169">
        <f t="shared" si="53"/>
        <v>100</v>
      </c>
      <c r="P285" s="170">
        <f t="shared" si="54"/>
        <v>10</v>
      </c>
      <c r="Q285" s="168">
        <v>25</v>
      </c>
      <c r="R285" s="169">
        <f t="shared" si="55"/>
        <v>625</v>
      </c>
      <c r="S285" s="170">
        <f t="shared" si="56"/>
        <v>25</v>
      </c>
      <c r="T285" s="171">
        <v>20</v>
      </c>
      <c r="U285" s="169">
        <f t="shared" si="57"/>
        <v>400</v>
      </c>
      <c r="V285" s="170">
        <f t="shared" si="58"/>
        <v>20</v>
      </c>
      <c r="W285" s="2"/>
    </row>
    <row r="286" spans="1:23" ht="15" customHeight="1">
      <c r="A286" s="49">
        <v>129</v>
      </c>
      <c r="B286" s="50" t="s">
        <v>19</v>
      </c>
      <c r="C286" s="49" t="s">
        <v>399</v>
      </c>
      <c r="D286" s="49">
        <v>25</v>
      </c>
      <c r="E286" s="49">
        <v>25</v>
      </c>
      <c r="F286" s="50">
        <f t="shared" si="59"/>
        <v>25</v>
      </c>
      <c r="G286" s="47" t="s">
        <v>877</v>
      </c>
      <c r="H286" s="168">
        <v>30</v>
      </c>
      <c r="I286" s="169">
        <f t="shared" si="49"/>
        <v>25</v>
      </c>
      <c r="J286" s="170">
        <f t="shared" si="50"/>
        <v>5</v>
      </c>
      <c r="K286" s="168">
        <v>40</v>
      </c>
      <c r="L286" s="169">
        <f t="shared" si="51"/>
        <v>225</v>
      </c>
      <c r="M286" s="170">
        <f t="shared" si="52"/>
        <v>15</v>
      </c>
      <c r="N286" s="168">
        <v>10</v>
      </c>
      <c r="O286" s="169">
        <f t="shared" si="53"/>
        <v>225</v>
      </c>
      <c r="P286" s="170">
        <f t="shared" si="54"/>
        <v>15</v>
      </c>
      <c r="Q286" s="168">
        <v>25</v>
      </c>
      <c r="R286" s="169">
        <f t="shared" si="55"/>
        <v>0</v>
      </c>
      <c r="S286" s="170">
        <f t="shared" si="56"/>
        <v>0</v>
      </c>
      <c r="T286" s="171">
        <v>30</v>
      </c>
      <c r="U286" s="169">
        <f t="shared" si="57"/>
        <v>25</v>
      </c>
      <c r="V286" s="170">
        <f t="shared" si="58"/>
        <v>5</v>
      </c>
      <c r="W286" s="2"/>
    </row>
    <row r="287" spans="1:23" ht="15" customHeight="1">
      <c r="A287" s="43">
        <v>130</v>
      </c>
      <c r="B287" s="50" t="s">
        <v>19</v>
      </c>
      <c r="C287" s="49" t="s">
        <v>402</v>
      </c>
      <c r="D287" s="49">
        <v>10</v>
      </c>
      <c r="E287" s="49">
        <v>10</v>
      </c>
      <c r="F287" s="50">
        <f t="shared" si="59"/>
        <v>10</v>
      </c>
      <c r="G287" s="47" t="s">
        <v>878</v>
      </c>
      <c r="H287" s="168">
        <v>20</v>
      </c>
      <c r="I287" s="169">
        <f t="shared" si="49"/>
        <v>100</v>
      </c>
      <c r="J287" s="170">
        <f t="shared" si="50"/>
        <v>10</v>
      </c>
      <c r="K287" s="168">
        <v>20</v>
      </c>
      <c r="L287" s="169">
        <f t="shared" si="51"/>
        <v>100</v>
      </c>
      <c r="M287" s="170">
        <f t="shared" si="52"/>
        <v>10</v>
      </c>
      <c r="N287" s="168">
        <v>20</v>
      </c>
      <c r="O287" s="169">
        <f t="shared" si="53"/>
        <v>100</v>
      </c>
      <c r="P287" s="170">
        <f t="shared" si="54"/>
        <v>10</v>
      </c>
      <c r="Q287" s="168">
        <v>15</v>
      </c>
      <c r="R287" s="169">
        <f t="shared" si="55"/>
        <v>25</v>
      </c>
      <c r="S287" s="170">
        <f t="shared" si="56"/>
        <v>5</v>
      </c>
      <c r="T287" s="171">
        <v>20</v>
      </c>
      <c r="U287" s="169">
        <f t="shared" si="57"/>
        <v>100</v>
      </c>
      <c r="V287" s="170">
        <f t="shared" si="58"/>
        <v>10</v>
      </c>
      <c r="W287" s="2"/>
    </row>
    <row r="288" spans="1:23" ht="15" customHeight="1">
      <c r="A288" s="49">
        <v>131</v>
      </c>
      <c r="B288" s="50" t="s">
        <v>19</v>
      </c>
      <c r="C288" s="50" t="s">
        <v>405</v>
      </c>
      <c r="D288" s="49">
        <v>40</v>
      </c>
      <c r="E288" s="49">
        <v>40</v>
      </c>
      <c r="F288" s="50">
        <f t="shared" si="59"/>
        <v>40</v>
      </c>
      <c r="G288" s="47" t="s">
        <v>879</v>
      </c>
      <c r="H288" s="168">
        <v>40</v>
      </c>
      <c r="I288" s="169">
        <f t="shared" si="49"/>
        <v>0</v>
      </c>
      <c r="J288" s="170">
        <f t="shared" si="50"/>
        <v>0</v>
      </c>
      <c r="K288" s="168">
        <v>30</v>
      </c>
      <c r="L288" s="169">
        <f t="shared" si="51"/>
        <v>100</v>
      </c>
      <c r="M288" s="170">
        <f t="shared" si="52"/>
        <v>10</v>
      </c>
      <c r="N288" s="168">
        <v>35</v>
      </c>
      <c r="O288" s="169">
        <f t="shared" si="53"/>
        <v>25</v>
      </c>
      <c r="P288" s="170">
        <f t="shared" si="54"/>
        <v>5</v>
      </c>
      <c r="Q288" s="168">
        <v>35</v>
      </c>
      <c r="R288" s="169">
        <f t="shared" si="55"/>
        <v>25</v>
      </c>
      <c r="S288" s="170">
        <f t="shared" si="56"/>
        <v>5</v>
      </c>
      <c r="T288" s="171">
        <v>20</v>
      </c>
      <c r="U288" s="169">
        <f t="shared" si="57"/>
        <v>400</v>
      </c>
      <c r="V288" s="170">
        <f t="shared" si="58"/>
        <v>20</v>
      </c>
      <c r="W288" s="2"/>
    </row>
    <row r="289" spans="1:29" ht="15" customHeight="1">
      <c r="A289" s="49">
        <v>132</v>
      </c>
      <c r="B289" s="50" t="s">
        <v>19</v>
      </c>
      <c r="C289" s="50" t="s">
        <v>408</v>
      </c>
      <c r="D289" s="49">
        <v>0</v>
      </c>
      <c r="E289" s="49">
        <v>0</v>
      </c>
      <c r="F289" s="50">
        <f t="shared" si="59"/>
        <v>0</v>
      </c>
      <c r="G289" s="47" t="s">
        <v>880</v>
      </c>
      <c r="H289" s="168">
        <v>20</v>
      </c>
      <c r="I289" s="169">
        <f t="shared" si="49"/>
        <v>400</v>
      </c>
      <c r="J289" s="170">
        <f t="shared" si="50"/>
        <v>20</v>
      </c>
      <c r="K289" s="168">
        <v>20</v>
      </c>
      <c r="L289" s="169">
        <f t="shared" si="51"/>
        <v>400</v>
      </c>
      <c r="M289" s="170">
        <f t="shared" si="52"/>
        <v>20</v>
      </c>
      <c r="N289" s="168">
        <v>10</v>
      </c>
      <c r="O289" s="169">
        <f t="shared" si="53"/>
        <v>100</v>
      </c>
      <c r="P289" s="170">
        <f t="shared" si="54"/>
        <v>10</v>
      </c>
      <c r="Q289" s="168">
        <v>10</v>
      </c>
      <c r="R289" s="169">
        <f t="shared" si="55"/>
        <v>100</v>
      </c>
      <c r="S289" s="170">
        <f t="shared" si="56"/>
        <v>10</v>
      </c>
      <c r="T289" s="171">
        <v>20</v>
      </c>
      <c r="U289" s="169">
        <f t="shared" si="57"/>
        <v>400</v>
      </c>
      <c r="V289" s="170">
        <f t="shared" si="58"/>
        <v>20</v>
      </c>
      <c r="W289" s="2"/>
    </row>
    <row r="290" spans="1:29" ht="15" customHeight="1">
      <c r="A290" s="51">
        <v>133</v>
      </c>
      <c r="B290" s="50" t="s">
        <v>19</v>
      </c>
      <c r="C290" s="50" t="s">
        <v>411</v>
      </c>
      <c r="D290" s="49">
        <v>20</v>
      </c>
      <c r="E290" s="49">
        <v>10</v>
      </c>
      <c r="F290" s="50">
        <f t="shared" si="59"/>
        <v>15</v>
      </c>
      <c r="G290" s="47" t="s">
        <v>881</v>
      </c>
      <c r="H290" s="168">
        <v>30</v>
      </c>
      <c r="I290" s="169">
        <f t="shared" si="49"/>
        <v>225</v>
      </c>
      <c r="J290" s="170">
        <f t="shared" si="50"/>
        <v>15</v>
      </c>
      <c r="K290" s="168">
        <v>30</v>
      </c>
      <c r="L290" s="169">
        <f t="shared" si="51"/>
        <v>225</v>
      </c>
      <c r="M290" s="170">
        <f t="shared" si="52"/>
        <v>15</v>
      </c>
      <c r="N290" s="168">
        <v>30</v>
      </c>
      <c r="O290" s="169">
        <f t="shared" si="53"/>
        <v>225</v>
      </c>
      <c r="P290" s="170">
        <f t="shared" si="54"/>
        <v>15</v>
      </c>
      <c r="Q290" s="168">
        <v>25</v>
      </c>
      <c r="R290" s="169">
        <f t="shared" si="55"/>
        <v>100</v>
      </c>
      <c r="S290" s="170">
        <f t="shared" si="56"/>
        <v>10</v>
      </c>
      <c r="T290" s="171">
        <v>20</v>
      </c>
      <c r="U290" s="169">
        <f t="shared" si="57"/>
        <v>25</v>
      </c>
      <c r="V290" s="170">
        <f t="shared" si="58"/>
        <v>5</v>
      </c>
      <c r="W290" s="2"/>
    </row>
    <row r="291" spans="1:29" ht="15" customHeight="1">
      <c r="A291" s="49">
        <v>134</v>
      </c>
      <c r="B291" s="50" t="s">
        <v>19</v>
      </c>
      <c r="C291" s="50" t="s">
        <v>414</v>
      </c>
      <c r="D291" s="49">
        <v>10</v>
      </c>
      <c r="E291" s="49">
        <v>10</v>
      </c>
      <c r="F291" s="49">
        <v>10</v>
      </c>
      <c r="G291" s="47" t="s">
        <v>882</v>
      </c>
      <c r="H291" s="168">
        <v>20</v>
      </c>
      <c r="I291" s="169">
        <f t="shared" si="49"/>
        <v>100</v>
      </c>
      <c r="J291" s="170">
        <f t="shared" si="50"/>
        <v>10</v>
      </c>
      <c r="K291" s="168">
        <v>30</v>
      </c>
      <c r="L291" s="169">
        <f t="shared" si="51"/>
        <v>400</v>
      </c>
      <c r="M291" s="170">
        <f t="shared" si="52"/>
        <v>20</v>
      </c>
      <c r="N291" s="168">
        <v>10</v>
      </c>
      <c r="O291" s="169">
        <f t="shared" si="53"/>
        <v>0</v>
      </c>
      <c r="P291" s="170">
        <f t="shared" si="54"/>
        <v>0</v>
      </c>
      <c r="Q291" s="168">
        <v>25</v>
      </c>
      <c r="R291" s="169">
        <f t="shared" si="55"/>
        <v>225</v>
      </c>
      <c r="S291" s="170">
        <f t="shared" si="56"/>
        <v>15</v>
      </c>
      <c r="T291" s="171">
        <v>20</v>
      </c>
      <c r="U291" s="169">
        <f t="shared" si="57"/>
        <v>100</v>
      </c>
      <c r="V291" s="170">
        <f t="shared" si="58"/>
        <v>10</v>
      </c>
      <c r="W291" s="2"/>
    </row>
    <row r="292" spans="1:29">
      <c r="A292" s="47"/>
      <c r="B292" s="47"/>
      <c r="C292" s="47"/>
      <c r="D292" s="47"/>
      <c r="E292" s="47"/>
      <c r="F292" s="47"/>
      <c r="G292" s="47"/>
      <c r="H292" s="46"/>
      <c r="I292" s="47"/>
      <c r="J292" s="48"/>
      <c r="K292" s="46"/>
      <c r="L292" s="47"/>
      <c r="M292" s="48"/>
      <c r="N292" s="46"/>
      <c r="O292" s="47"/>
      <c r="P292" s="48"/>
      <c r="Q292" s="46"/>
      <c r="R292" s="47"/>
      <c r="S292" s="48"/>
      <c r="T292" s="2"/>
      <c r="U292" s="169"/>
      <c r="V292" s="34"/>
      <c r="W292" s="2"/>
    </row>
    <row r="293" spans="1:29">
      <c r="A293" s="136"/>
      <c r="B293" s="136"/>
      <c r="C293" s="136"/>
      <c r="D293" s="136"/>
      <c r="E293" s="136"/>
      <c r="F293" s="136"/>
      <c r="G293" s="136"/>
      <c r="H293" s="137"/>
      <c r="I293" s="136"/>
      <c r="J293" s="138"/>
      <c r="K293" s="137"/>
      <c r="L293" s="136"/>
      <c r="M293" s="138"/>
      <c r="N293" s="137"/>
      <c r="O293" s="136"/>
      <c r="P293" s="138"/>
      <c r="Q293" s="137"/>
      <c r="R293" s="136"/>
      <c r="S293" s="138"/>
      <c r="T293" s="140"/>
      <c r="U293" s="140"/>
      <c r="V293" s="141"/>
      <c r="W293" s="140"/>
    </row>
    <row r="294" spans="1:29">
      <c r="A294" s="1" t="s">
        <v>620</v>
      </c>
      <c r="B294" s="1"/>
      <c r="C294" s="47"/>
      <c r="D294" s="40" t="s">
        <v>622</v>
      </c>
      <c r="E294" s="47"/>
      <c r="F294" s="47"/>
      <c r="G294" s="47"/>
      <c r="H294" s="46"/>
      <c r="I294" s="47"/>
      <c r="J294" s="48"/>
      <c r="K294" s="46"/>
      <c r="L294" s="47"/>
      <c r="M294" s="48"/>
      <c r="N294" s="46"/>
      <c r="O294" s="47"/>
      <c r="P294" s="48"/>
      <c r="Q294" s="46"/>
      <c r="R294" s="47"/>
      <c r="S294" s="48"/>
      <c r="T294" s="2"/>
      <c r="U294" s="2"/>
      <c r="V294" s="34"/>
      <c r="W294" s="2"/>
    </row>
    <row r="295" spans="1:29">
      <c r="A295" s="2"/>
      <c r="B295" s="47"/>
      <c r="C295" s="2"/>
      <c r="D295" s="2" t="s">
        <v>883</v>
      </c>
      <c r="E295" s="47"/>
      <c r="F295" s="47"/>
      <c r="G295" s="47" t="s">
        <v>455</v>
      </c>
      <c r="H295" s="46"/>
      <c r="I295" s="47"/>
      <c r="J295" s="48"/>
      <c r="K295" s="46"/>
      <c r="L295" s="47"/>
      <c r="M295" s="48"/>
      <c r="N295" s="46"/>
      <c r="O295" s="47"/>
      <c r="P295" s="48"/>
      <c r="Q295" s="46"/>
      <c r="R295" s="47"/>
      <c r="S295" s="48"/>
      <c r="T295" s="2"/>
      <c r="U295" s="2"/>
      <c r="V295" s="34"/>
      <c r="W295" s="2"/>
    </row>
    <row r="296" spans="1:29">
      <c r="A296" s="142" t="s">
        <v>456</v>
      </c>
      <c r="B296" s="142" t="s">
        <v>457</v>
      </c>
      <c r="C296" s="142" t="s">
        <v>458</v>
      </c>
      <c r="D296" s="143" t="s">
        <v>15</v>
      </c>
      <c r="E296" s="143" t="s">
        <v>16</v>
      </c>
      <c r="F296" s="143" t="s">
        <v>17</v>
      </c>
      <c r="G296" s="144"/>
      <c r="H296" s="145"/>
      <c r="I296" s="144"/>
      <c r="J296" s="146"/>
      <c r="K296" s="145"/>
      <c r="L296" s="144"/>
      <c r="M296" s="146"/>
      <c r="N296" s="145"/>
      <c r="O296" s="144"/>
      <c r="P296" s="146"/>
      <c r="Q296" s="145"/>
      <c r="R296" s="144"/>
      <c r="S296" s="146"/>
      <c r="T296" s="148"/>
      <c r="U296" s="148"/>
      <c r="V296" s="149"/>
      <c r="W296" s="148"/>
      <c r="X296" s="150"/>
      <c r="Y296" s="150"/>
      <c r="Z296" s="150"/>
      <c r="AA296" s="150"/>
      <c r="AB296" s="150"/>
      <c r="AC296" s="150"/>
    </row>
    <row r="297" spans="1:29" ht="15" customHeight="1">
      <c r="A297" s="43">
        <v>1</v>
      </c>
      <c r="B297" s="43" t="s">
        <v>19</v>
      </c>
      <c r="C297" s="43" t="s">
        <v>20</v>
      </c>
      <c r="D297" s="43">
        <v>0</v>
      </c>
      <c r="E297" s="43">
        <v>0</v>
      </c>
      <c r="F297" s="44">
        <f t="shared" ref="F297:F335" si="60">SUM(D297:E297)/2</f>
        <v>0</v>
      </c>
      <c r="G297" s="47" t="s">
        <v>455</v>
      </c>
      <c r="H297" s="46" t="str">
        <f t="shared" ref="H297:H430" si="61">SUBSTITUTE(SUBSTITUTE($D$295,"&lt;ENUNCIADO_QUESTAO&gt;",B297),"&lt;RESPOSTA_ALUNO&gt;",C297)</f>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Esse recurso deve auxiliar a pessoa que o está usando, enquanto este pode focar em outras coisas além de planejar rota.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297" s="47"/>
      <c r="J297" s="48"/>
      <c r="K297" s="46"/>
      <c r="L297" s="47"/>
      <c r="M297" s="48"/>
      <c r="N297" s="46"/>
      <c r="O297" s="47"/>
      <c r="P297" s="48"/>
      <c r="Q297" s="46"/>
      <c r="R297" s="47"/>
      <c r="S297" s="48"/>
      <c r="T297" s="2"/>
      <c r="U297" s="2"/>
      <c r="V297" s="34"/>
      <c r="W297" s="2"/>
    </row>
    <row r="298" spans="1:29" ht="15" customHeight="1">
      <c r="A298" s="49">
        <v>2</v>
      </c>
      <c r="B298" s="49" t="s">
        <v>19</v>
      </c>
      <c r="C298" s="49" t="s">
        <v>23</v>
      </c>
      <c r="D298" s="49">
        <v>20</v>
      </c>
      <c r="E298" s="49">
        <v>0</v>
      </c>
      <c r="F298" s="50">
        <f t="shared" si="60"/>
        <v>10</v>
      </c>
      <c r="G298" s="47" t="s">
        <v>455</v>
      </c>
      <c r="H29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é uma ferramenta utilizada para facilitar o dia a dia, nós repassamos a origem e o destino e os algoritmo calcula a rota mais fácil, para que não tenhamos que ficar pensando um problemas como semáforos, buracos, trânsito.. e com o algoritmo fazendo esse trabalho por nós, não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298" s="47"/>
      <c r="J298" s="48"/>
      <c r="K298" s="46"/>
      <c r="L298" s="47"/>
      <c r="M298" s="48"/>
      <c r="N298" s="46"/>
      <c r="O298" s="47"/>
      <c r="P298" s="48"/>
      <c r="Q298" s="46"/>
      <c r="R298" s="47"/>
      <c r="S298" s="48"/>
      <c r="T298" s="2"/>
      <c r="U298" s="2"/>
      <c r="V298" s="34"/>
      <c r="W298" s="2"/>
    </row>
    <row r="299" spans="1:29" ht="15" customHeight="1">
      <c r="A299" s="49">
        <v>3</v>
      </c>
      <c r="B299" s="49" t="s">
        <v>19</v>
      </c>
      <c r="C299" s="49" t="s">
        <v>26</v>
      </c>
      <c r="D299" s="49">
        <v>20</v>
      </c>
      <c r="E299" s="49">
        <v>15</v>
      </c>
      <c r="F299" s="50">
        <f t="shared" si="60"/>
        <v>17.5</v>
      </c>
      <c r="G299" s="47" t="s">
        <v>455</v>
      </c>
      <c r="H29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calculadores inteligentes de rotas, pois consideram o que é mais facil para o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299" s="152"/>
      <c r="J299" s="152"/>
      <c r="K299" s="153"/>
      <c r="L299" s="152"/>
      <c r="M299" s="152"/>
      <c r="N299" s="153"/>
      <c r="O299" s="152"/>
      <c r="P299" s="152"/>
      <c r="Q299" s="154"/>
      <c r="V299" s="80"/>
    </row>
    <row r="300" spans="1:29" ht="15" customHeight="1">
      <c r="A300" s="51">
        <v>4</v>
      </c>
      <c r="B300" s="49" t="s">
        <v>19</v>
      </c>
      <c r="C300" s="50" t="s">
        <v>29</v>
      </c>
      <c r="D300" s="49">
        <v>40</v>
      </c>
      <c r="E300" s="49">
        <v>30</v>
      </c>
      <c r="F300" s="50">
        <f t="shared" si="60"/>
        <v>35</v>
      </c>
      <c r="G300" s="47" t="s">
        <v>455</v>
      </c>
      <c r="H30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já está aqui por um bom tempo e serve para ajudar o ser humano (mas não escolher por ele)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0" s="152"/>
      <c r="J300" s="152"/>
      <c r="K300" s="153"/>
      <c r="L300" s="152"/>
      <c r="M300" s="152"/>
      <c r="N300" s="153"/>
      <c r="O300" s="152"/>
      <c r="P300" s="152"/>
      <c r="Q300" s="154"/>
      <c r="V300" s="80"/>
    </row>
    <row r="301" spans="1:29" ht="15" customHeight="1">
      <c r="A301" s="49">
        <v>5</v>
      </c>
      <c r="B301" s="49" t="s">
        <v>19</v>
      </c>
      <c r="C301" s="49" t="s">
        <v>32</v>
      </c>
      <c r="D301" s="49">
        <v>5</v>
      </c>
      <c r="E301" s="49">
        <v>10</v>
      </c>
      <c r="F301" s="50">
        <f t="shared" si="60"/>
        <v>7.5</v>
      </c>
      <c r="G301" s="152"/>
      <c r="H30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Utilizar técnicas que nos ajudam, pode ser um ponto positivo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1" s="152"/>
      <c r="J301" s="152"/>
      <c r="K301" s="153"/>
      <c r="L301" s="152"/>
      <c r="M301" s="152"/>
      <c r="N301" s="153"/>
      <c r="O301" s="152"/>
      <c r="P301" s="152"/>
      <c r="Q301" s="154"/>
      <c r="V301" s="80"/>
    </row>
    <row r="302" spans="1:29" ht="15" customHeight="1">
      <c r="A302" s="49">
        <v>6</v>
      </c>
      <c r="B302" s="50" t="s">
        <v>19</v>
      </c>
      <c r="C302" s="50" t="s">
        <v>35</v>
      </c>
      <c r="D302" s="49">
        <v>5</v>
      </c>
      <c r="E302" s="49">
        <v>10</v>
      </c>
      <c r="F302" s="50">
        <f t="shared" si="60"/>
        <v>7.5</v>
      </c>
      <c r="G302" s="152"/>
      <c r="H30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os algorítimos contribuem de forma positiva para as rotas de transito.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2" s="152"/>
      <c r="J302" s="152"/>
      <c r="K302" s="153"/>
      <c r="L302" s="152"/>
      <c r="M302" s="152"/>
      <c r="N302" s="153"/>
      <c r="O302" s="152"/>
      <c r="P302" s="152"/>
      <c r="Q302" s="154"/>
      <c r="V302" s="80"/>
    </row>
    <row r="303" spans="1:29" ht="15" customHeight="1">
      <c r="A303" s="43">
        <v>7</v>
      </c>
      <c r="B303" s="49" t="s">
        <v>19</v>
      </c>
      <c r="C303" s="49" t="s">
        <v>37</v>
      </c>
      <c r="D303" s="49">
        <v>15</v>
      </c>
      <c r="E303" s="49">
        <v>15</v>
      </c>
      <c r="F303" s="50">
        <f t="shared" si="60"/>
        <v>15</v>
      </c>
      <c r="G303" s="152"/>
      <c r="H30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é uma ferramenta que, por meio do auxilio com a escolha do melhor trajeto, facilita nossa vida e nos poupa tempo, ao contrário de outros algoritmos que atrasam nossas vidas e não contribuem para uma produção efetiva.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3" s="152"/>
      <c r="J303" s="152"/>
      <c r="K303" s="153"/>
      <c r="L303" s="152"/>
      <c r="M303" s="152"/>
      <c r="N303" s="153"/>
      <c r="O303" s="152"/>
      <c r="P303" s="152"/>
      <c r="Q303" s="154"/>
      <c r="V303" s="80"/>
    </row>
    <row r="304" spans="1:29" ht="15" customHeight="1">
      <c r="A304" s="49">
        <v>8</v>
      </c>
      <c r="B304" s="49" t="s">
        <v>19</v>
      </c>
      <c r="C304" s="50" t="s">
        <v>40</v>
      </c>
      <c r="D304" s="49">
        <v>25</v>
      </c>
      <c r="E304" s="49">
        <v>10</v>
      </c>
      <c r="F304" s="50">
        <f t="shared" si="60"/>
        <v>17.5</v>
      </c>
      <c r="G304" s="152"/>
      <c r="H30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Autora usa o gps como exemplo para dizer que a tecnologia é uma ferramenta extremamente importante que se usada de maneira correta pode nós auxiliar em vários aspectos. Mas é preciso saber o que se busca na internet e saber selecionar os conteúdos é de extrema importância.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4" s="152"/>
      <c r="J304" s="152"/>
      <c r="K304" s="153"/>
      <c r="L304" s="152"/>
      <c r="M304" s="152"/>
      <c r="N304" s="153"/>
      <c r="O304" s="152"/>
      <c r="P304" s="152"/>
      <c r="Q304" s="154"/>
      <c r="V304" s="80"/>
    </row>
    <row r="305" spans="1:22" ht="15" customHeight="1">
      <c r="A305" s="49">
        <v>9</v>
      </c>
      <c r="B305" s="49" t="s">
        <v>19</v>
      </c>
      <c r="C305" s="49" t="s">
        <v>43</v>
      </c>
      <c r="D305" s="49">
        <v>25</v>
      </c>
      <c r="E305" s="49">
        <v>25</v>
      </c>
      <c r="F305" s="50">
        <f t="shared" si="60"/>
        <v>25</v>
      </c>
      <c r="G305" s="152"/>
      <c r="H30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optimiza o tempo, poupa esforço, e tem resultados satisfatórios.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5" s="152"/>
      <c r="J305" s="152"/>
      <c r="K305" s="153"/>
      <c r="L305" s="152"/>
      <c r="M305" s="152"/>
      <c r="N305" s="153"/>
      <c r="O305" s="152"/>
      <c r="P305" s="152"/>
      <c r="Q305" s="154"/>
      <c r="V305" s="80"/>
    </row>
    <row r="306" spans="1:22" ht="15" customHeight="1">
      <c r="A306" s="51">
        <v>10</v>
      </c>
      <c r="B306" s="49" t="s">
        <v>19</v>
      </c>
      <c r="C306" s="49" t="s">
        <v>46</v>
      </c>
      <c r="D306" s="49">
        <v>40</v>
      </c>
      <c r="E306" s="49">
        <v>40</v>
      </c>
      <c r="F306" s="50">
        <f t="shared" si="60"/>
        <v>40</v>
      </c>
      <c r="G306" s="152"/>
      <c r="H30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auxilia o homem nas escolhas das decisões práticas do cotidiano enquanto ele se ocupa de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6" s="152"/>
      <c r="J306" s="152"/>
      <c r="K306" s="153"/>
      <c r="L306" s="152"/>
      <c r="M306" s="152"/>
      <c r="N306" s="153"/>
      <c r="O306" s="152"/>
      <c r="P306" s="152"/>
      <c r="Q306" s="154"/>
      <c r="V306" s="80"/>
    </row>
    <row r="307" spans="1:22" ht="15" customHeight="1">
      <c r="A307" s="49">
        <v>11</v>
      </c>
      <c r="B307" s="50" t="s">
        <v>19</v>
      </c>
      <c r="C307" s="49" t="s">
        <v>49</v>
      </c>
      <c r="D307" s="49">
        <v>0</v>
      </c>
      <c r="E307" s="49">
        <v>0</v>
      </c>
      <c r="F307" s="50">
        <f t="shared" si="60"/>
        <v>0</v>
      </c>
      <c r="G307" s="152"/>
      <c r="H30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é um meio rápido e simplificado de solucionar problemas, poupando o tempo do usuario- que tem outras coisas com que se preocupar.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7" s="152"/>
      <c r="J307" s="152"/>
      <c r="K307" s="153"/>
      <c r="L307" s="152"/>
      <c r="M307" s="152"/>
      <c r="N307" s="153"/>
      <c r="O307" s="152"/>
      <c r="P307" s="152"/>
      <c r="Q307" s="154"/>
      <c r="V307" s="80"/>
    </row>
    <row r="308" spans="1:22" ht="15" customHeight="1">
      <c r="A308" s="49">
        <v>12</v>
      </c>
      <c r="B308" s="49" t="s">
        <v>19</v>
      </c>
      <c r="C308" s="49" t="s">
        <v>52</v>
      </c>
      <c r="D308" s="49">
        <v>40</v>
      </c>
      <c r="E308" s="49">
        <v>40</v>
      </c>
      <c r="F308" s="50">
        <f t="shared" si="60"/>
        <v>40</v>
      </c>
      <c r="G308" s="152"/>
      <c r="H30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já está na humanidade há muito tempo e ela pode servir como auxilio para tomada de decisões, guiando o usuário para soluções inteligentes.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8" s="152"/>
      <c r="J308" s="152"/>
      <c r="K308" s="153"/>
      <c r="L308" s="152"/>
      <c r="M308" s="152"/>
      <c r="N308" s="153"/>
      <c r="O308" s="152"/>
      <c r="P308" s="152"/>
      <c r="Q308" s="154"/>
      <c r="V308" s="80"/>
    </row>
    <row r="309" spans="1:22" ht="15" customHeight="1">
      <c r="A309" s="43">
        <v>13</v>
      </c>
      <c r="B309" s="50" t="s">
        <v>19</v>
      </c>
      <c r="C309" s="50" t="s">
        <v>55</v>
      </c>
      <c r="D309" s="49">
        <v>0</v>
      </c>
      <c r="E309" s="49">
        <v>10</v>
      </c>
      <c r="F309" s="50">
        <f t="shared" si="60"/>
        <v>5</v>
      </c>
      <c r="G309" s="152"/>
      <c r="H30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Os GPS, são aplicativos que ajudam seus usuários, calculando rotas de acordo com a preferência do mesmo.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09" s="152"/>
      <c r="J309" s="152"/>
      <c r="K309" s="153"/>
      <c r="L309" s="152"/>
      <c r="M309" s="152"/>
      <c r="N309" s="153"/>
      <c r="O309" s="152"/>
      <c r="P309" s="152"/>
      <c r="Q309" s="154"/>
      <c r="V309" s="80"/>
    </row>
    <row r="310" spans="1:22" ht="15" customHeight="1">
      <c r="A310" s="49">
        <v>14</v>
      </c>
      <c r="B310" s="155" t="s">
        <v>19</v>
      </c>
      <c r="C310" s="155" t="s">
        <v>58</v>
      </c>
      <c r="D310" s="156">
        <v>35</v>
      </c>
      <c r="E310" s="156">
        <v>30</v>
      </c>
      <c r="F310" s="155">
        <f t="shared" si="60"/>
        <v>32.5</v>
      </c>
      <c r="G310" s="152"/>
      <c r="H31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calcula a rota mais rápida ou uma melhor e assim você pode-se preocupar com outros problemas que não sejam exatamente o caminho.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0" s="152"/>
      <c r="J310" s="152"/>
      <c r="K310" s="153"/>
      <c r="L310" s="152"/>
      <c r="M310" s="152"/>
      <c r="N310" s="153"/>
      <c r="O310" s="152"/>
      <c r="P310" s="152"/>
      <c r="Q310" s="154"/>
      <c r="V310" s="80"/>
    </row>
    <row r="311" spans="1:22" ht="15" customHeight="1">
      <c r="A311" s="49">
        <v>15</v>
      </c>
      <c r="B311" s="50" t="s">
        <v>19</v>
      </c>
      <c r="C311" s="49" t="s">
        <v>61</v>
      </c>
      <c r="D311" s="49">
        <v>27</v>
      </c>
      <c r="E311" s="49">
        <v>25</v>
      </c>
      <c r="F311" s="50">
        <f t="shared" si="60"/>
        <v>26</v>
      </c>
      <c r="G311" s="152"/>
      <c r="H31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ideia de que eles podem agilizar os processos humanos diarios enquanto nós podemso focar em problemas mais importantes diários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1" s="152"/>
      <c r="J311" s="152"/>
      <c r="K311" s="153"/>
      <c r="L311" s="152"/>
      <c r="M311" s="152"/>
      <c r="N311" s="153"/>
      <c r="O311" s="152"/>
      <c r="P311" s="152"/>
      <c r="Q311" s="154"/>
      <c r="V311" s="80"/>
    </row>
    <row r="312" spans="1:22" ht="15" customHeight="1">
      <c r="A312" s="51">
        <v>16</v>
      </c>
      <c r="B312" s="50" t="s">
        <v>19</v>
      </c>
      <c r="C312" s="50" t="s">
        <v>64</v>
      </c>
      <c r="D312" s="49">
        <v>38</v>
      </c>
      <c r="E312" s="49">
        <v>35</v>
      </c>
      <c r="F312" s="50">
        <f t="shared" si="60"/>
        <v>36.5</v>
      </c>
      <c r="G312" s="152"/>
      <c r="H31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articifial se porta, mais especificamente, como uma alternativa ao usuário e, não, como algo definitivo e impassível de interferências, ou que diminui a autonomia do sujeito: seria realmente uma ferramenta, com o propósito de auxiliar e permitir um aproveitamento maior do tempo empregado em certa atividade.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2" s="152"/>
      <c r="J312" s="152"/>
      <c r="K312" s="153"/>
      <c r="L312" s="152"/>
      <c r="M312" s="152"/>
      <c r="N312" s="153"/>
      <c r="O312" s="152"/>
      <c r="P312" s="152"/>
      <c r="Q312" s="154"/>
      <c r="V312" s="80"/>
    </row>
    <row r="313" spans="1:22" ht="15" customHeight="1">
      <c r="A313" s="49">
        <v>17</v>
      </c>
      <c r="B313" s="50" t="s">
        <v>19</v>
      </c>
      <c r="C313" s="50" t="s">
        <v>67</v>
      </c>
      <c r="D313" s="49">
        <v>20</v>
      </c>
      <c r="E313" s="49">
        <v>20</v>
      </c>
      <c r="F313" s="50">
        <f t="shared" si="60"/>
        <v>20</v>
      </c>
      <c r="G313" s="152"/>
      <c r="H31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oferece a resolução rápida de um “problema” que o ser humano poderia “perder” tempo tendo que resolver (por isso a continuação: “resolver OUTROS problemas”). Diferentemente dos outros algoritmos que a autora cita mais adiante no texto, o GPS sim seria um aplicativo inteligente, não apenas por otimizar tempo mas também por oferecer ao consumidor outras rotas considerando TAMBÉM as suas preferências, mas não somente elas (além de que o GPS seria uma rede integrada, considerando também o feedback e as experiências/preferências de outros usuários).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3" s="152"/>
      <c r="J313" s="152"/>
      <c r="K313" s="153"/>
      <c r="L313" s="152"/>
      <c r="M313" s="152"/>
      <c r="N313" s="153"/>
      <c r="O313" s="152"/>
      <c r="P313" s="152"/>
      <c r="Q313" s="154"/>
      <c r="V313" s="80"/>
    </row>
    <row r="314" spans="1:22" ht="15" customHeight="1">
      <c r="A314" s="49">
        <v>18</v>
      </c>
      <c r="B314" s="50" t="s">
        <v>19</v>
      </c>
      <c r="C314" s="49" t="s">
        <v>70</v>
      </c>
      <c r="D314" s="49">
        <v>10</v>
      </c>
      <c r="E314" s="49">
        <v>15</v>
      </c>
      <c r="F314" s="50">
        <f t="shared" si="60"/>
        <v>12.5</v>
      </c>
      <c r="G314" s="152"/>
      <c r="H31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autora utiliza o exemplo da ferramenta GPS para confirmar a ideia de que são opções viáveis e que podem beneficiar e auxiliar 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4" s="152"/>
      <c r="J314" s="152"/>
      <c r="K314" s="153"/>
      <c r="L314" s="152"/>
      <c r="M314" s="152"/>
      <c r="N314" s="153"/>
      <c r="O314" s="152"/>
      <c r="P314" s="152"/>
      <c r="Q314" s="154"/>
      <c r="V314" s="80"/>
    </row>
    <row r="315" spans="1:22" ht="15" customHeight="1">
      <c r="A315" s="43">
        <v>19</v>
      </c>
      <c r="B315" s="50" t="s">
        <v>19</v>
      </c>
      <c r="C315" s="50" t="s">
        <v>73</v>
      </c>
      <c r="D315" s="49">
        <v>20</v>
      </c>
      <c r="E315" s="49">
        <v>0</v>
      </c>
      <c r="F315" s="50">
        <f t="shared" si="60"/>
        <v>10</v>
      </c>
      <c r="G315" s="152"/>
      <c r="H31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como calculadoras inteligente de rotas , considerando o ponto de partida  e destino , facilitando para o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5" s="152"/>
      <c r="J315" s="152"/>
      <c r="K315" s="153"/>
      <c r="L315" s="152"/>
      <c r="M315" s="152"/>
      <c r="N315" s="153"/>
      <c r="O315" s="152"/>
      <c r="P315" s="152"/>
      <c r="Q315" s="154"/>
      <c r="V315" s="80"/>
    </row>
    <row r="316" spans="1:22" ht="15" customHeight="1">
      <c r="A316" s="49">
        <v>20</v>
      </c>
      <c r="B316" s="50" t="s">
        <v>19</v>
      </c>
      <c r="C316" s="50" t="s">
        <v>76</v>
      </c>
      <c r="D316" s="49">
        <v>30</v>
      </c>
      <c r="E316" s="49">
        <v>25</v>
      </c>
      <c r="F316" s="50">
        <f t="shared" si="60"/>
        <v>27.5</v>
      </c>
      <c r="G316" s="152"/>
      <c r="H31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Que não acha ruim o uso de ferramentas como o GPS no dia a dia, muito pelo contrário. Se existe, que seja utilizado, ainda mais pela facilidade e utilidade que uma calculadora de rota customizavel pode ter. Isso tudo reforça e defende a ideia de que a tecnologia é uma extensão da nossa inteligencia que pode e deve nos ajudar a manter um caminho evolutivo constante. "de portas abertas ao futuro".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6" s="152"/>
      <c r="J316" s="152"/>
      <c r="K316" s="153"/>
      <c r="L316" s="152"/>
      <c r="M316" s="152"/>
      <c r="N316" s="153"/>
      <c r="O316" s="152"/>
      <c r="P316" s="152"/>
      <c r="Q316" s="154"/>
      <c r="V316" s="80"/>
    </row>
    <row r="317" spans="1:22" ht="15" customHeight="1">
      <c r="A317" s="49">
        <v>21</v>
      </c>
      <c r="B317" s="50" t="s">
        <v>19</v>
      </c>
      <c r="C317" s="50" t="s">
        <v>79</v>
      </c>
      <c r="D317" s="49">
        <v>20</v>
      </c>
      <c r="E317" s="49">
        <v>10</v>
      </c>
      <c r="F317" s="50">
        <f t="shared" si="60"/>
        <v>15</v>
      </c>
      <c r="G317" s="152"/>
      <c r="H31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Este está ali como forma de auxílio ao ser humano, não para substitui-lo.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7" s="152"/>
      <c r="J317" s="152"/>
      <c r="K317" s="153"/>
      <c r="L317" s="152"/>
      <c r="M317" s="152"/>
      <c r="N317" s="153"/>
      <c r="O317" s="152"/>
      <c r="P317" s="152"/>
      <c r="Q317" s="154"/>
      <c r="V317" s="80"/>
    </row>
    <row r="318" spans="1:22" ht="15" customHeight="1">
      <c r="A318" s="51">
        <v>22</v>
      </c>
      <c r="B318" s="49" t="s">
        <v>19</v>
      </c>
      <c r="C318" s="50" t="s">
        <v>82</v>
      </c>
      <c r="D318" s="49">
        <v>20</v>
      </c>
      <c r="E318" s="49">
        <v>20</v>
      </c>
      <c r="F318" s="50">
        <f t="shared" si="60"/>
        <v>20</v>
      </c>
      <c r="G318" s="152"/>
      <c r="H31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Defende a ideia de que é muito útil para optimização do tempo, pois as pessoas podem usar o tempo que gastariam escolhendo rotas, pensando em outros problemas do cotidiano.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8" s="152"/>
      <c r="J318" s="152"/>
      <c r="K318" s="153"/>
      <c r="L318" s="152"/>
      <c r="M318" s="152"/>
      <c r="N318" s="153"/>
      <c r="O318" s="152"/>
      <c r="P318" s="152"/>
      <c r="Q318" s="154"/>
      <c r="V318" s="80"/>
    </row>
    <row r="319" spans="1:22" ht="15" customHeight="1">
      <c r="A319" s="49">
        <v>23</v>
      </c>
      <c r="B319" s="50" t="s">
        <v>19</v>
      </c>
      <c r="C319" s="50" t="s">
        <v>85</v>
      </c>
      <c r="D319" s="49">
        <v>40</v>
      </c>
      <c r="E319" s="49">
        <v>35</v>
      </c>
      <c r="F319" s="50">
        <f t="shared" si="60"/>
        <v>37.5</v>
      </c>
      <c r="G319" s="152"/>
      <c r="H31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Ela defende que a inteligência é capaz de facilitar a vida das pessoas, pois como o GPS calcula rotas com mais facilidade e agilidade, a inteligência artificial pode nos ajudar a minimizar o tempo em ações do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19" s="152"/>
      <c r="J319" s="152"/>
      <c r="K319" s="153"/>
      <c r="L319" s="152"/>
      <c r="M319" s="152"/>
      <c r="N319" s="153"/>
      <c r="O319" s="152"/>
      <c r="P319" s="152"/>
      <c r="Q319" s="154"/>
      <c r="V319" s="80"/>
    </row>
    <row r="320" spans="1:22" ht="15" customHeight="1">
      <c r="A320" s="49">
        <v>24</v>
      </c>
      <c r="B320" s="50" t="s">
        <v>19</v>
      </c>
      <c r="C320" s="50" t="s">
        <v>88</v>
      </c>
      <c r="D320" s="49">
        <v>15</v>
      </c>
      <c r="E320" s="49">
        <v>20</v>
      </c>
      <c r="F320" s="50">
        <f t="shared" si="60"/>
        <v>17.5</v>
      </c>
      <c r="G320" s="152"/>
      <c r="H32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 que a tecnologia pode sim nos ajudar, GPS funcionam como calculadoras, que mostram a melhor rota a mais rápida, assim você pode focar em outros problemas, que não achar o melhor caminho.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0" s="152"/>
      <c r="J320" s="152"/>
      <c r="K320" s="153"/>
      <c r="L320" s="152"/>
      <c r="M320" s="152"/>
      <c r="N320" s="153"/>
      <c r="O320" s="152"/>
      <c r="P320" s="152"/>
      <c r="Q320" s="154"/>
      <c r="V320" s="80"/>
    </row>
    <row r="321" spans="1:22" ht="15" customHeight="1">
      <c r="A321" s="43">
        <v>25</v>
      </c>
      <c r="B321" s="50" t="s">
        <v>19</v>
      </c>
      <c r="C321" s="49" t="s">
        <v>91</v>
      </c>
      <c r="D321" s="49">
        <v>40</v>
      </c>
      <c r="E321" s="49">
        <v>40</v>
      </c>
      <c r="F321" s="50">
        <f t="shared" si="60"/>
        <v>40</v>
      </c>
      <c r="G321" s="152"/>
      <c r="H32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inteligencia artificial pode ser usada para ajudar os seres humanos na tomada de decisão de forma mais simples.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1" s="152"/>
      <c r="J321" s="152"/>
      <c r="K321" s="153"/>
      <c r="L321" s="152"/>
      <c r="M321" s="152"/>
      <c r="N321" s="153"/>
      <c r="O321" s="152"/>
      <c r="P321" s="152"/>
      <c r="Q321" s="154"/>
      <c r="V321" s="80"/>
    </row>
    <row r="322" spans="1:22" ht="15" customHeight="1">
      <c r="A322" s="49">
        <v>26</v>
      </c>
      <c r="B322" s="50" t="s">
        <v>19</v>
      </c>
      <c r="C322" s="49" t="s">
        <v>94</v>
      </c>
      <c r="D322" s="49">
        <v>40</v>
      </c>
      <c r="E322" s="49">
        <v>40</v>
      </c>
      <c r="F322" s="50">
        <f t="shared" si="60"/>
        <v>40</v>
      </c>
      <c r="G322" s="152"/>
      <c r="H32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Nesse caso a inteligência artificial auxilia o usário e otimiza seu tempo, fazendo com que ele tenha respostas das suas necessidades de rota enquanto utiliza seu pensamento para resolucionar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2" s="152"/>
      <c r="J322" s="152"/>
      <c r="K322" s="153"/>
      <c r="L322" s="152"/>
      <c r="M322" s="152"/>
      <c r="N322" s="153"/>
      <c r="O322" s="152"/>
      <c r="P322" s="152"/>
      <c r="Q322" s="154"/>
      <c r="V322" s="80"/>
    </row>
    <row r="323" spans="1:22" ht="15" customHeight="1">
      <c r="A323" s="49">
        <v>27</v>
      </c>
      <c r="B323" s="155" t="s">
        <v>19</v>
      </c>
      <c r="C323" s="155" t="s">
        <v>97</v>
      </c>
      <c r="D323" s="156">
        <v>30</v>
      </c>
      <c r="E323" s="156">
        <v>20</v>
      </c>
      <c r="F323" s="155">
        <f t="shared" si="60"/>
        <v>25</v>
      </c>
      <c r="G323" s="152"/>
      <c r="H32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Navegadores como o GPS já fazem parte do nosso dia a dia e são exemplo de inteligência artificial, visto que conseguem, por exemplo, recalcular rotas e torná-las diferentes, inclusive podendo ser recalculadas caso não sigamos o seu comando.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3" s="152"/>
      <c r="J323" s="152"/>
      <c r="K323" s="153"/>
      <c r="L323" s="152"/>
      <c r="M323" s="152"/>
      <c r="N323" s="153"/>
      <c r="O323" s="152"/>
      <c r="P323" s="152"/>
      <c r="Q323" s="154"/>
      <c r="V323" s="80"/>
    </row>
    <row r="324" spans="1:22" ht="15" customHeight="1">
      <c r="A324" s="51">
        <v>28</v>
      </c>
      <c r="B324" s="49" t="s">
        <v>19</v>
      </c>
      <c r="C324" s="50" t="s">
        <v>100</v>
      </c>
      <c r="D324" s="49">
        <v>20</v>
      </c>
      <c r="E324" s="49">
        <v>35</v>
      </c>
      <c r="F324" s="50">
        <f t="shared" si="60"/>
        <v>27.5</v>
      </c>
      <c r="G324" s="152"/>
      <c r="H32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 que ela não acha ruim a IA, desde que utilizada de uma maneira em que ajude o usuario a ter mais um leque de possibilidades em suas mãos e que não o limite.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4" s="152"/>
      <c r="J324" s="152"/>
      <c r="K324" s="153"/>
      <c r="L324" s="152"/>
      <c r="M324" s="152"/>
      <c r="N324" s="153"/>
      <c r="O324" s="152"/>
      <c r="P324" s="152"/>
      <c r="Q324" s="154"/>
      <c r="V324" s="80"/>
    </row>
    <row r="325" spans="1:22" ht="15" customHeight="1">
      <c r="A325" s="49">
        <v>29</v>
      </c>
      <c r="B325" s="50" t="s">
        <v>19</v>
      </c>
      <c r="C325" s="49" t="s">
        <v>103</v>
      </c>
      <c r="D325" s="49">
        <v>20</v>
      </c>
      <c r="E325" s="49">
        <v>25</v>
      </c>
      <c r="F325" s="50">
        <f t="shared" si="60"/>
        <v>22.5</v>
      </c>
      <c r="G325" s="152"/>
      <c r="H32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Existem tecnologias úteis que se tornaram imprescindíveis, embora nem todas sejam, ainda mais relacionadas às redes sociais.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5" s="152"/>
      <c r="J325" s="152"/>
      <c r="K325" s="153"/>
      <c r="L325" s="152"/>
      <c r="M325" s="152"/>
      <c r="N325" s="153"/>
      <c r="O325" s="152"/>
      <c r="P325" s="152"/>
      <c r="Q325" s="154"/>
      <c r="V325" s="80"/>
    </row>
    <row r="326" spans="1:22" ht="15" customHeight="1">
      <c r="A326" s="49">
        <v>30</v>
      </c>
      <c r="B326" s="50" t="s">
        <v>19</v>
      </c>
      <c r="C326" s="49" t="s">
        <v>106</v>
      </c>
      <c r="D326" s="49">
        <v>35</v>
      </c>
      <c r="E326" s="49">
        <v>30</v>
      </c>
      <c r="F326" s="50">
        <f t="shared" si="60"/>
        <v>32.5</v>
      </c>
      <c r="G326" s="152"/>
      <c r="H32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Podemos usar a inteligência artificial para otimizar as tarefas, como utilizar o GPS para calcular a rota mais rápida ou a sem semáforo.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6" s="152"/>
      <c r="J326" s="152"/>
      <c r="K326" s="153"/>
      <c r="L326" s="152"/>
      <c r="M326" s="152"/>
      <c r="N326" s="153"/>
      <c r="O326" s="152"/>
      <c r="P326" s="152"/>
      <c r="Q326" s="154"/>
      <c r="V326" s="80"/>
    </row>
    <row r="327" spans="1:22" ht="15" customHeight="1">
      <c r="A327" s="43">
        <v>31</v>
      </c>
      <c r="B327" s="50" t="s">
        <v>19</v>
      </c>
      <c r="C327" s="49" t="s">
        <v>109</v>
      </c>
      <c r="D327" s="49">
        <v>30</v>
      </c>
      <c r="E327" s="49">
        <v>35</v>
      </c>
      <c r="F327" s="50">
        <f t="shared" si="60"/>
        <v>32.5</v>
      </c>
      <c r="G327" s="152"/>
      <c r="H32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As ferramentas tecnológicas permeam as diversas esferas do nosso cotidiano, nos auxiliando nas atividades do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7" s="152"/>
      <c r="J327" s="152"/>
      <c r="K327" s="153"/>
      <c r="L327" s="152"/>
      <c r="M327" s="152"/>
      <c r="N327" s="153"/>
      <c r="O327" s="152"/>
      <c r="P327" s="152"/>
      <c r="Q327" s="154"/>
      <c r="V327" s="80"/>
    </row>
    <row r="328" spans="1:22" ht="15" customHeight="1">
      <c r="A328" s="49">
        <v>32</v>
      </c>
      <c r="B328" s="50" t="s">
        <v>19</v>
      </c>
      <c r="C328" s="49" t="s">
        <v>112</v>
      </c>
      <c r="D328" s="49">
        <v>20</v>
      </c>
      <c r="E328" s="49">
        <v>25</v>
      </c>
      <c r="F328" s="50">
        <f t="shared" si="60"/>
        <v>22.5</v>
      </c>
      <c r="G328" s="152"/>
      <c r="H32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Que as ferramentas tecnológicas estão presentes no mundo moderno para facilitar a vida do homem, auxiliar para que as pessoas possam pensar em outros assuntos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8" s="152"/>
      <c r="J328" s="152"/>
      <c r="K328" s="153"/>
      <c r="L328" s="152"/>
      <c r="M328" s="152"/>
      <c r="N328" s="153"/>
      <c r="O328" s="152"/>
      <c r="P328" s="152"/>
      <c r="Q328" s="154"/>
      <c r="V328" s="80"/>
    </row>
    <row r="329" spans="1:22" ht="15" customHeight="1">
      <c r="A329" s="49">
        <v>33</v>
      </c>
      <c r="B329" s="50" t="s">
        <v>19</v>
      </c>
      <c r="C329" s="50" t="s">
        <v>115</v>
      </c>
      <c r="D329" s="49">
        <v>10</v>
      </c>
      <c r="E329" s="49">
        <v>10</v>
      </c>
      <c r="F329" s="50">
        <f t="shared" si="60"/>
        <v>10</v>
      </c>
      <c r="G329" s="152"/>
      <c r="H32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Algoritmos que oferecem soluções melhores e rápidas são úteis para as pessoas, sendo diferentes das burrices artificiais que induzem as pessoas a tomarem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29" s="152"/>
      <c r="J329" s="152"/>
      <c r="K329" s="153"/>
      <c r="L329" s="152"/>
      <c r="M329" s="152"/>
      <c r="N329" s="153"/>
      <c r="O329" s="152"/>
      <c r="P329" s="152"/>
      <c r="Q329" s="154"/>
      <c r="V329" s="80"/>
    </row>
    <row r="330" spans="1:22" ht="15" customHeight="1">
      <c r="A330" s="51">
        <v>34</v>
      </c>
      <c r="B330" s="50" t="s">
        <v>19</v>
      </c>
      <c r="C330" s="49" t="s">
        <v>118</v>
      </c>
      <c r="D330" s="49">
        <v>0</v>
      </c>
      <c r="E330" s="49">
        <v>0</v>
      </c>
      <c r="F330" s="50">
        <f t="shared" si="60"/>
        <v>0</v>
      </c>
      <c r="G330" s="152"/>
      <c r="H33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é uma inteligência artificial que auxilia, mas que também é Passível de configuração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0" s="152"/>
      <c r="J330" s="152"/>
      <c r="K330" s="153"/>
      <c r="L330" s="152"/>
      <c r="M330" s="152"/>
      <c r="N330" s="153"/>
      <c r="O330" s="152"/>
      <c r="P330" s="152"/>
      <c r="Q330" s="154"/>
      <c r="V330" s="80"/>
    </row>
    <row r="331" spans="1:22" ht="15" customHeight="1">
      <c r="A331" s="49">
        <v>35</v>
      </c>
      <c r="B331" s="50" t="s">
        <v>19</v>
      </c>
      <c r="C331" s="50" t="s">
        <v>121</v>
      </c>
      <c r="D331" s="49">
        <v>40</v>
      </c>
      <c r="E331" s="49">
        <v>40</v>
      </c>
      <c r="F331" s="50">
        <f t="shared" si="60"/>
        <v>40</v>
      </c>
      <c r="G331" s="152"/>
      <c r="H33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auxilia de uma maneira positiva em muitos sentidos, escolhendo por exemplo, o caminho mais rápido até o seu destino, possibilitando assim que o ser humano foque em outros problemas já que o do trânsito estaria resolvido pelo GPS.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1" s="152"/>
      <c r="J331" s="152"/>
      <c r="K331" s="153"/>
      <c r="L331" s="152"/>
      <c r="M331" s="152"/>
      <c r="N331" s="153"/>
      <c r="O331" s="152"/>
      <c r="P331" s="152"/>
      <c r="Q331" s="154"/>
      <c r="V331" s="80"/>
    </row>
    <row r="332" spans="1:22" ht="15" customHeight="1">
      <c r="A332" s="49">
        <v>36</v>
      </c>
      <c r="B332" s="50" t="s">
        <v>19</v>
      </c>
      <c r="C332" s="49" t="s">
        <v>124</v>
      </c>
      <c r="D332" s="49">
        <v>40</v>
      </c>
      <c r="E332" s="49">
        <v>40</v>
      </c>
      <c r="F332" s="50">
        <f t="shared" si="60"/>
        <v>40</v>
      </c>
      <c r="G332" s="152"/>
      <c r="H33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tecnologias/inteligências são boas e não restringe as escolhas dos humanos.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2" s="152"/>
      <c r="J332" s="152"/>
      <c r="K332" s="153"/>
      <c r="L332" s="152"/>
      <c r="M332" s="152"/>
      <c r="N332" s="153"/>
      <c r="O332" s="152"/>
      <c r="P332" s="152"/>
      <c r="Q332" s="154"/>
      <c r="V332" s="80"/>
    </row>
    <row r="333" spans="1:22" ht="15" customHeight="1">
      <c r="A333" s="43">
        <v>37</v>
      </c>
      <c r="B333" s="155" t="s">
        <v>19</v>
      </c>
      <c r="C333" s="155" t="s">
        <v>127</v>
      </c>
      <c r="D333" s="156">
        <v>20</v>
      </c>
      <c r="E333" s="156">
        <v>25</v>
      </c>
      <c r="F333" s="155">
        <f t="shared" si="60"/>
        <v>22.5</v>
      </c>
      <c r="G333" s="152"/>
      <c r="H33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inteligencia artificial, vem pra auxiliar o ser humano, dando lhe, mais tempo para realização de outras tarefas.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3" s="152"/>
      <c r="J333" s="152"/>
      <c r="K333" s="153"/>
      <c r="L333" s="152"/>
      <c r="M333" s="152"/>
      <c r="N333" s="153"/>
      <c r="O333" s="152"/>
      <c r="P333" s="152"/>
      <c r="Q333" s="154"/>
      <c r="V333" s="80"/>
    </row>
    <row r="334" spans="1:22" ht="15" customHeight="1">
      <c r="A334" s="49">
        <v>38</v>
      </c>
      <c r="B334" s="49" t="s">
        <v>19</v>
      </c>
      <c r="C334" s="50" t="s">
        <v>129</v>
      </c>
      <c r="D334" s="49">
        <v>40</v>
      </c>
      <c r="E334" s="49">
        <v>30</v>
      </c>
      <c r="F334" s="50">
        <f t="shared" si="60"/>
        <v>35</v>
      </c>
      <c r="G334" s="152"/>
      <c r="H33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existem inteligências artificiais que otimizam o tempo no dia-a-dia.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4" s="152"/>
      <c r="J334" s="152"/>
      <c r="K334" s="153"/>
      <c r="L334" s="152"/>
      <c r="M334" s="152"/>
      <c r="N334" s="153"/>
      <c r="O334" s="152"/>
      <c r="P334" s="152"/>
      <c r="Q334" s="154"/>
      <c r="V334" s="80"/>
    </row>
    <row r="335" spans="1:22" ht="15" customHeight="1">
      <c r="A335" s="49">
        <v>39</v>
      </c>
      <c r="B335" s="49" t="s">
        <v>19</v>
      </c>
      <c r="C335" s="49" t="s">
        <v>132</v>
      </c>
      <c r="D335" s="49">
        <v>10</v>
      </c>
      <c r="E335" s="49">
        <v>10</v>
      </c>
      <c r="F335" s="50">
        <f t="shared" si="60"/>
        <v>10</v>
      </c>
      <c r="G335" s="152"/>
      <c r="H33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os mesmos sao legítimos calculadores inteligentes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5" s="152"/>
      <c r="J335" s="152"/>
      <c r="K335" s="153"/>
      <c r="L335" s="152"/>
      <c r="M335" s="152"/>
      <c r="N335" s="153"/>
      <c r="O335" s="152"/>
      <c r="P335" s="152"/>
      <c r="Q335" s="154"/>
      <c r="V335" s="80"/>
    </row>
    <row r="336" spans="1:22" ht="15" customHeight="1">
      <c r="A336" s="51">
        <v>40</v>
      </c>
      <c r="B336" s="49" t="s">
        <v>19</v>
      </c>
      <c r="C336" s="49" t="s">
        <v>135</v>
      </c>
      <c r="D336" s="49">
        <v>0</v>
      </c>
      <c r="E336" s="49">
        <v>0</v>
      </c>
      <c r="F336" s="49">
        <v>0</v>
      </c>
      <c r="G336" s="152"/>
      <c r="H33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Eles analisam o ponto de saída e de chegada, considerando a preferência do usuário e rotas alternativas.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6" s="152"/>
      <c r="J336" s="152"/>
      <c r="K336" s="153"/>
      <c r="L336" s="152"/>
      <c r="M336" s="152"/>
      <c r="N336" s="153"/>
      <c r="O336" s="152"/>
      <c r="P336" s="152"/>
      <c r="Q336" s="154"/>
      <c r="V336" s="80"/>
    </row>
    <row r="337" spans="1:22" ht="15" customHeight="1">
      <c r="A337" s="49">
        <v>41</v>
      </c>
      <c r="B337" s="50" t="s">
        <v>19</v>
      </c>
      <c r="C337" s="50" t="s">
        <v>138</v>
      </c>
      <c r="D337" s="49">
        <v>0</v>
      </c>
      <c r="E337" s="49">
        <v>0</v>
      </c>
      <c r="F337" s="50">
        <f t="shared" ref="F337:F429" si="62">SUM(D337:E337)/2</f>
        <v>0</v>
      </c>
      <c r="G337" s="152"/>
      <c r="H33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Porque eles calculam a rota de partida e destino dos usuários, e otimizam o trajeto do motorista. Dessa maneira, eles podem focar em outros problemas dentro do seu deslocamento.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7" s="152"/>
      <c r="J337" s="152"/>
      <c r="K337" s="153"/>
      <c r="L337" s="152"/>
      <c r="M337" s="152"/>
      <c r="N337" s="153"/>
      <c r="O337" s="152"/>
      <c r="P337" s="152"/>
      <c r="Q337" s="154"/>
      <c r="V337" s="80"/>
    </row>
    <row r="338" spans="1:22" ht="15" customHeight="1">
      <c r="A338" s="49">
        <v>42</v>
      </c>
      <c r="B338" s="50" t="s">
        <v>19</v>
      </c>
      <c r="C338" s="50" t="s">
        <v>141</v>
      </c>
      <c r="D338" s="49">
        <v>15</v>
      </c>
      <c r="E338" s="49">
        <v>15</v>
      </c>
      <c r="F338" s="50">
        <f t="shared" si="62"/>
        <v>15</v>
      </c>
      <c r="G338" s="152"/>
      <c r="H33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automatização de algumas ferramentas pode facilitar o dia a dia de todos, a autora usou de exemplo o GPS que facilita nossa locomoção pelo mundo, montando rotas e facilitando nosso deslocamento como um guia.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8" s="152"/>
      <c r="J338" s="152"/>
      <c r="K338" s="153"/>
      <c r="L338" s="152"/>
      <c r="M338" s="152"/>
      <c r="N338" s="153"/>
      <c r="O338" s="152"/>
      <c r="P338" s="152"/>
      <c r="Q338" s="154"/>
      <c r="V338" s="80"/>
    </row>
    <row r="339" spans="1:22" ht="15" customHeight="1">
      <c r="A339" s="43">
        <v>43</v>
      </c>
      <c r="B339" s="50" t="s">
        <v>19</v>
      </c>
      <c r="C339" s="50" t="s">
        <v>144</v>
      </c>
      <c r="D339" s="49">
        <v>40</v>
      </c>
      <c r="E339" s="49">
        <v>40</v>
      </c>
      <c r="F339" s="50">
        <f t="shared" si="62"/>
        <v>40</v>
      </c>
      <c r="G339" s="152"/>
      <c r="H33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inteligencia artificial pode ser utilizada para facilitar a análise das opções possíveis e ajudar a tomarmos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39" s="152"/>
      <c r="J339" s="152"/>
      <c r="K339" s="153"/>
      <c r="L339" s="152"/>
      <c r="M339" s="152"/>
      <c r="N339" s="153"/>
      <c r="O339" s="152"/>
      <c r="P339" s="152"/>
      <c r="Q339" s="154"/>
      <c r="V339" s="80"/>
    </row>
    <row r="340" spans="1:22" ht="15" customHeight="1">
      <c r="A340" s="49">
        <v>44</v>
      </c>
      <c r="B340" s="50" t="s">
        <v>19</v>
      </c>
      <c r="C340" s="50" t="s">
        <v>147</v>
      </c>
      <c r="D340" s="49">
        <v>30</v>
      </c>
      <c r="E340" s="49">
        <v>20</v>
      </c>
      <c r="F340" s="50">
        <f t="shared" si="62"/>
        <v>25</v>
      </c>
      <c r="G340" s="152"/>
      <c r="H34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é um exemplo de aplicativo que surgiu com o avanço da tecnologia, e que pode ser eficaz em uma perspectiva de precisar de ajuda para calcular a rota de determinado trajeto. Tratando-se então, de um recurso tecnológico positivo para a sociedade humana.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0" s="152"/>
      <c r="J340" s="152"/>
      <c r="K340" s="153"/>
      <c r="L340" s="152"/>
      <c r="M340" s="152"/>
      <c r="N340" s="153"/>
      <c r="O340" s="152"/>
      <c r="P340" s="152"/>
      <c r="Q340" s="154"/>
      <c r="V340" s="80"/>
    </row>
    <row r="341" spans="1:22" ht="15" customHeight="1">
      <c r="A341" s="49">
        <v>45</v>
      </c>
      <c r="B341" s="50" t="s">
        <v>19</v>
      </c>
      <c r="C341" s="49" t="s">
        <v>150</v>
      </c>
      <c r="D341" s="49">
        <v>25</v>
      </c>
      <c r="E341" s="49">
        <v>20</v>
      </c>
      <c r="F341" s="50">
        <f t="shared" si="62"/>
        <v>22.5</v>
      </c>
      <c r="G341" s="152"/>
      <c r="H34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existem inteligências artificiais capezes de serem úteis para os seres humanos.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1" s="152"/>
      <c r="J341" s="152"/>
      <c r="K341" s="153"/>
      <c r="L341" s="152"/>
      <c r="M341" s="152"/>
      <c r="N341" s="153"/>
      <c r="O341" s="152"/>
      <c r="P341" s="152"/>
      <c r="Q341" s="154"/>
      <c r="V341" s="80"/>
    </row>
    <row r="342" spans="1:22" ht="15" customHeight="1">
      <c r="A342" s="51">
        <v>46</v>
      </c>
      <c r="B342" s="49" t="s">
        <v>19</v>
      </c>
      <c r="C342" s="50" t="s">
        <v>153</v>
      </c>
      <c r="D342" s="49">
        <v>15</v>
      </c>
      <c r="E342" s="49">
        <v>30</v>
      </c>
      <c r="F342" s="50">
        <f t="shared" si="62"/>
        <v>22.5</v>
      </c>
      <c r="G342" s="152"/>
      <c r="H34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otimiza o tempo das pessoas, fazendo com que elas se preocupem com outras coisas enquanto o GPS resolve problemas como tráfego, acidentes, semâforos e etc.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2" s="152"/>
      <c r="J342" s="152"/>
      <c r="K342" s="153"/>
      <c r="L342" s="152"/>
      <c r="M342" s="152"/>
      <c r="N342" s="153"/>
      <c r="O342" s="152"/>
      <c r="P342" s="152"/>
      <c r="Q342" s="154"/>
      <c r="V342" s="80"/>
    </row>
    <row r="343" spans="1:22" ht="15" customHeight="1">
      <c r="A343" s="49">
        <v>47</v>
      </c>
      <c r="B343" s="50" t="s">
        <v>19</v>
      </c>
      <c r="C343" s="49" t="s">
        <v>156</v>
      </c>
      <c r="D343" s="49">
        <v>30</v>
      </c>
      <c r="E343" s="49">
        <v>30</v>
      </c>
      <c r="F343" s="50">
        <f t="shared" si="62"/>
        <v>30</v>
      </c>
      <c r="G343" s="152"/>
      <c r="H34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NO TEXTO, A AUTORA USA O GPS COMO UM EXEMPLO PARA DEFENDER A IDEIA DE QUE ALGORITMOS QUE NOS AJUDEM SÃO ÚTEIS, QUE POSSAM FACILITAR SITUAÇÕES PARA NÓS, AJUDANDO A FOCAR EM OUTRAS PREOCUPAÇÕES OU ÁREAS DE MAIOR ATENÇÃO.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3" s="152"/>
      <c r="J343" s="152"/>
      <c r="K343" s="153"/>
      <c r="L343" s="152"/>
      <c r="M343" s="152"/>
      <c r="N343" s="153"/>
      <c r="O343" s="152"/>
      <c r="P343" s="152"/>
      <c r="Q343" s="154"/>
      <c r="V343" s="80"/>
    </row>
    <row r="344" spans="1:22" ht="15" customHeight="1">
      <c r="A344" s="49">
        <v>48</v>
      </c>
      <c r="B344" s="50" t="s">
        <v>19</v>
      </c>
      <c r="C344" s="49" t="s">
        <v>159</v>
      </c>
      <c r="D344" s="49">
        <v>35</v>
      </c>
      <c r="E344" s="49">
        <v>35</v>
      </c>
      <c r="F344" s="50">
        <f t="shared" si="62"/>
        <v>35</v>
      </c>
      <c r="G344" s="152"/>
      <c r="H34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inteligências artificiais estão disponíveis a nosso favor, ao calcular a rota a IA, economiza o tempo do motorista que pode ser voltado a outras preocupações, como suas malas, a revisão do carro e outros, que apenas o ser humano pode fazer.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4" s="152"/>
      <c r="J344" s="152"/>
      <c r="K344" s="153"/>
      <c r="L344" s="152"/>
      <c r="M344" s="152"/>
      <c r="N344" s="153"/>
      <c r="O344" s="152"/>
      <c r="P344" s="152"/>
      <c r="Q344" s="154"/>
      <c r="V344" s="80"/>
    </row>
    <row r="345" spans="1:22" ht="15" customHeight="1">
      <c r="A345" s="43">
        <v>49</v>
      </c>
      <c r="B345" s="50" t="s">
        <v>19</v>
      </c>
      <c r="C345" s="49" t="s">
        <v>162</v>
      </c>
      <c r="D345" s="49">
        <v>10</v>
      </c>
      <c r="E345" s="49">
        <v>10</v>
      </c>
      <c r="F345" s="50">
        <f t="shared" si="62"/>
        <v>10</v>
      </c>
      <c r="G345" s="152"/>
      <c r="H34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Eles são capazes de explorar possivilades e maximizá-las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5" s="152"/>
      <c r="J345" s="152"/>
      <c r="K345" s="153"/>
      <c r="L345" s="152"/>
      <c r="M345" s="152"/>
      <c r="N345" s="153"/>
      <c r="O345" s="152"/>
      <c r="P345" s="152"/>
      <c r="Q345" s="154"/>
      <c r="V345" s="80"/>
    </row>
    <row r="346" spans="1:22" ht="15" customHeight="1">
      <c r="A346" s="49">
        <v>50</v>
      </c>
      <c r="B346" s="50" t="s">
        <v>19</v>
      </c>
      <c r="C346" s="50" t="s">
        <v>165</v>
      </c>
      <c r="D346" s="49">
        <v>10</v>
      </c>
      <c r="E346" s="49">
        <v>15</v>
      </c>
      <c r="F346" s="50">
        <f t="shared" si="62"/>
        <v>12.5</v>
      </c>
      <c r="G346" s="152"/>
      <c r="H34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Que utilizando o gps como um meio de localização, ele vai facilitar a vida da pessoa, podendo fazer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6" s="152"/>
      <c r="J346" s="152"/>
      <c r="K346" s="153"/>
      <c r="L346" s="152"/>
      <c r="M346" s="152"/>
      <c r="N346" s="153"/>
      <c r="O346" s="152"/>
      <c r="P346" s="152"/>
      <c r="Q346" s="154"/>
      <c r="V346" s="80"/>
    </row>
    <row r="347" spans="1:22" ht="15" customHeight="1">
      <c r="A347" s="49">
        <v>51</v>
      </c>
      <c r="B347" s="50" t="s">
        <v>19</v>
      </c>
      <c r="C347" s="50" t="s">
        <v>168</v>
      </c>
      <c r="D347" s="49">
        <v>30</v>
      </c>
      <c r="E347" s="49">
        <v>35</v>
      </c>
      <c r="F347" s="50">
        <f t="shared" si="62"/>
        <v>32.5</v>
      </c>
      <c r="G347" s="152"/>
      <c r="H34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em sua totalidade, se usada de forma proveitosa, serve para maximizar as possibilidades que o leitor ou usuário tem em relação ao seu objetivo, funciona como meio de reduzir o tempo empregado em uma tarefa ao mesmo tempo em que maximiza seu resultado.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7" s="152"/>
      <c r="J347" s="152"/>
      <c r="K347" s="153"/>
      <c r="L347" s="152"/>
      <c r="M347" s="152"/>
      <c r="N347" s="153"/>
      <c r="O347" s="152"/>
      <c r="P347" s="152"/>
      <c r="Q347" s="154"/>
      <c r="V347" s="80"/>
    </row>
    <row r="348" spans="1:22" ht="15" customHeight="1">
      <c r="A348" s="51">
        <v>52</v>
      </c>
      <c r="B348" s="50" t="s">
        <v>19</v>
      </c>
      <c r="C348" s="49" t="s">
        <v>171</v>
      </c>
      <c r="D348" s="49">
        <v>40</v>
      </c>
      <c r="E348" s="49">
        <v>35</v>
      </c>
      <c r="F348" s="50">
        <f t="shared" si="62"/>
        <v>37.5</v>
      </c>
      <c r="G348" s="152"/>
      <c r="H34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As inteligências artificiais são um mecanismo de auxílio para as pessoas, uma vez que facilita certos racicínios humanos, porém, são uma forma de ferramenta que nos ajude, não substitua. Ao facilitar uma tarefa, a pessoa possui espaço para cuidar e analisar outras questões mais relevantes que não possam ser supridas por uma 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8" s="152"/>
      <c r="J348" s="152"/>
      <c r="K348" s="153"/>
      <c r="L348" s="152"/>
      <c r="M348" s="152"/>
      <c r="N348" s="153"/>
      <c r="O348" s="152"/>
      <c r="P348" s="152"/>
      <c r="Q348" s="154"/>
      <c r="V348" s="80"/>
    </row>
    <row r="349" spans="1:22" ht="15" customHeight="1">
      <c r="A349" s="49">
        <v>53</v>
      </c>
      <c r="B349" s="50" t="s">
        <v>19</v>
      </c>
      <c r="C349" s="49" t="s">
        <v>174</v>
      </c>
      <c r="D349" s="49">
        <v>20</v>
      </c>
      <c r="E349" s="49">
        <v>25</v>
      </c>
      <c r="F349" s="50">
        <f t="shared" si="62"/>
        <v>22.5</v>
      </c>
      <c r="G349" s="152"/>
      <c r="H34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é um RECURSO pra otimizar tempo. O GPS foi um ótimo e claro exemplo disso pois como dito no texto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49" s="152"/>
      <c r="J349" s="152"/>
      <c r="K349" s="153"/>
      <c r="L349" s="152"/>
      <c r="M349" s="152"/>
      <c r="N349" s="153"/>
      <c r="O349" s="152"/>
      <c r="P349" s="152"/>
      <c r="Q349" s="154"/>
      <c r="V349" s="80"/>
    </row>
    <row r="350" spans="1:22" ht="15" customHeight="1">
      <c r="A350" s="49">
        <v>54</v>
      </c>
      <c r="B350" s="50" t="s">
        <v>19</v>
      </c>
      <c r="C350" s="49" t="s">
        <v>177</v>
      </c>
      <c r="D350" s="49">
        <v>27</v>
      </c>
      <c r="E350" s="49">
        <v>28</v>
      </c>
      <c r="F350" s="50">
        <f t="shared" si="62"/>
        <v>27.5</v>
      </c>
      <c r="G350" s="152"/>
      <c r="H35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Que a inteligencia artificial pode, e já existe, como um meio de suporte e de auxílio para nós se usada de forma correta, e não como algo que nos torne leigos ou iguinorantes, como ela citou, em se locomover de automóvel.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0" s="152"/>
      <c r="J350" s="152"/>
      <c r="K350" s="153"/>
      <c r="L350" s="152"/>
      <c r="M350" s="152"/>
      <c r="N350" s="153"/>
      <c r="O350" s="152"/>
      <c r="P350" s="152"/>
      <c r="Q350" s="154"/>
      <c r="V350" s="80"/>
    </row>
    <row r="351" spans="1:22" ht="15" customHeight="1">
      <c r="A351" s="43">
        <v>55</v>
      </c>
      <c r="B351" s="50" t="s">
        <v>19</v>
      </c>
      <c r="C351" s="49" t="s">
        <v>180</v>
      </c>
      <c r="D351" s="49">
        <v>40</v>
      </c>
      <c r="E351" s="49">
        <v>40</v>
      </c>
      <c r="F351" s="50">
        <f t="shared" si="62"/>
        <v>40</v>
      </c>
      <c r="G351" s="152"/>
      <c r="H35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se trata de uma ferramenta de cálculo de rotas, um instrumento de análise de possibilidades de trajétos que oferece opções de escolha para o usuário. Assim, teoricamente, se estabelece a ideia de que inteligência artificial, no conceito proposto pela autora, estaria alinhado ao cálculo de possibilidades e oferecimento de opções para os usuários.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1" s="152"/>
      <c r="J351" s="152"/>
      <c r="K351" s="153"/>
      <c r="L351" s="152"/>
      <c r="M351" s="152"/>
      <c r="N351" s="153"/>
      <c r="O351" s="152"/>
      <c r="P351" s="152"/>
      <c r="Q351" s="154"/>
      <c r="V351" s="80"/>
    </row>
    <row r="352" spans="1:22" ht="15" customHeight="1">
      <c r="A352" s="49">
        <v>56</v>
      </c>
      <c r="B352" s="50" t="s">
        <v>19</v>
      </c>
      <c r="C352" s="50" t="s">
        <v>183</v>
      </c>
      <c r="D352" s="49">
        <v>25</v>
      </c>
      <c r="E352" s="49">
        <v>20</v>
      </c>
      <c r="F352" s="50">
        <f t="shared" si="62"/>
        <v>22.5</v>
      </c>
      <c r="G352" s="152"/>
      <c r="H35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é um exemplos de ferramenta de inteligência artificial que já existe a muito tempo, ferramenta essa que contribui muito para os usuários .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2" s="152"/>
      <c r="J352" s="152"/>
      <c r="K352" s="153"/>
      <c r="L352" s="152"/>
      <c r="M352" s="152"/>
      <c r="N352" s="153"/>
      <c r="O352" s="152"/>
      <c r="P352" s="152"/>
      <c r="Q352" s="154"/>
      <c r="V352" s="80"/>
    </row>
    <row r="353" spans="1:22" ht="15" customHeight="1">
      <c r="A353" s="49">
        <v>57</v>
      </c>
      <c r="B353" s="49" t="s">
        <v>19</v>
      </c>
      <c r="C353" s="49" t="s">
        <v>186</v>
      </c>
      <c r="D353" s="49">
        <v>30</v>
      </c>
      <c r="E353" s="49">
        <v>30</v>
      </c>
      <c r="F353" s="50">
        <f t="shared" si="62"/>
        <v>30</v>
      </c>
      <c r="G353" s="152"/>
      <c r="H35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é útil, uma vez que agiliza a resolução de um problema.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3" s="152"/>
      <c r="J353" s="152"/>
      <c r="K353" s="153"/>
      <c r="L353" s="152"/>
      <c r="M353" s="152"/>
      <c r="N353" s="153"/>
      <c r="O353" s="152"/>
      <c r="P353" s="152"/>
      <c r="Q353" s="154"/>
      <c r="V353" s="80"/>
    </row>
    <row r="354" spans="1:22" ht="15" customHeight="1">
      <c r="A354" s="51">
        <v>58</v>
      </c>
      <c r="B354" s="50" t="s">
        <v>19</v>
      </c>
      <c r="C354" s="50" t="s">
        <v>189</v>
      </c>
      <c r="D354" s="49">
        <v>0</v>
      </c>
      <c r="E354" s="49">
        <v>0</v>
      </c>
      <c r="F354" s="50">
        <f t="shared" si="62"/>
        <v>0</v>
      </c>
      <c r="G354" s="152"/>
      <c r="H35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legítimos calculadores de rota considerando ponto de partida e chegada.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4" s="152"/>
      <c r="J354" s="152"/>
      <c r="K354" s="153"/>
      <c r="L354" s="152"/>
      <c r="M354" s="152"/>
      <c r="N354" s="153"/>
      <c r="O354" s="152"/>
      <c r="P354" s="152"/>
      <c r="Q354" s="154"/>
      <c r="V354" s="80"/>
    </row>
    <row r="355" spans="1:22" ht="15" customHeight="1">
      <c r="A355" s="49">
        <v>59</v>
      </c>
      <c r="B355" s="50" t="s">
        <v>19</v>
      </c>
      <c r="C355" s="50" t="s">
        <v>192</v>
      </c>
      <c r="D355" s="49">
        <v>30</v>
      </c>
      <c r="E355" s="49">
        <v>30</v>
      </c>
      <c r="F355" s="50">
        <f t="shared" si="62"/>
        <v>30</v>
      </c>
      <c r="G355" s="152"/>
      <c r="H35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se utilizada de uma boa maneira otimiza o tempo no dia a dia, o GPS é um bom exemplo dessa tecnologia, pois é eficiente,  facilita a localização de quem o utiliza, entre outros...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5" s="152"/>
      <c r="J355" s="152"/>
      <c r="K355" s="153"/>
      <c r="L355" s="152"/>
      <c r="M355" s="152"/>
      <c r="N355" s="153"/>
      <c r="O355" s="152"/>
      <c r="P355" s="152"/>
      <c r="Q355" s="154"/>
      <c r="V355" s="80"/>
    </row>
    <row r="356" spans="1:22" ht="15" customHeight="1">
      <c r="A356" s="49">
        <v>60</v>
      </c>
      <c r="B356" s="50" t="s">
        <v>19</v>
      </c>
      <c r="C356" s="50" t="s">
        <v>195</v>
      </c>
      <c r="D356" s="49">
        <v>40</v>
      </c>
      <c r="E356" s="49">
        <v>40</v>
      </c>
      <c r="F356" s="50">
        <f t="shared" si="62"/>
        <v>40</v>
      </c>
      <c r="G356" s="152"/>
      <c r="H35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inteligencia artificial ajuda no processo de tomadas de decisões, enquanto usa seus próprios neurônios em resolução de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6" s="152"/>
      <c r="J356" s="152"/>
      <c r="K356" s="153"/>
      <c r="L356" s="152"/>
      <c r="M356" s="152"/>
      <c r="N356" s="153"/>
      <c r="O356" s="152"/>
      <c r="P356" s="152"/>
      <c r="Q356" s="154"/>
      <c r="V356" s="80"/>
    </row>
    <row r="357" spans="1:22" ht="15" customHeight="1">
      <c r="A357" s="43">
        <v>61</v>
      </c>
      <c r="B357" s="50" t="s">
        <v>19</v>
      </c>
      <c r="C357" s="49" t="s">
        <v>198</v>
      </c>
      <c r="D357" s="49">
        <v>10</v>
      </c>
      <c r="E357" s="49">
        <v>10</v>
      </c>
      <c r="F357" s="50">
        <f t="shared" si="62"/>
        <v>10</v>
      </c>
      <c r="G357" s="152"/>
      <c r="H35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algoritmos que nos fornecem ajuda ou automaticamente ofereçam a melhor opção são muito úteis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7" s="152"/>
      <c r="J357" s="152"/>
      <c r="K357" s="153"/>
      <c r="L357" s="152"/>
      <c r="M357" s="152"/>
      <c r="N357" s="153"/>
      <c r="O357" s="152"/>
      <c r="P357" s="152"/>
      <c r="Q357" s="154"/>
      <c r="V357" s="80"/>
    </row>
    <row r="358" spans="1:22" ht="15" customHeight="1">
      <c r="A358" s="49">
        <v>62</v>
      </c>
      <c r="B358" s="50" t="s">
        <v>19</v>
      </c>
      <c r="C358" s="49" t="s">
        <v>201</v>
      </c>
      <c r="D358" s="49">
        <v>10</v>
      </c>
      <c r="E358" s="49">
        <v>0</v>
      </c>
      <c r="F358" s="50">
        <f t="shared" si="62"/>
        <v>5</v>
      </c>
      <c r="G358" s="152"/>
      <c r="H35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Certos algoritmos nos ajudam, no deslocamento, com menos transtornos nas viagens.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8" s="152"/>
      <c r="J358" s="152"/>
      <c r="K358" s="153"/>
      <c r="L358" s="152"/>
      <c r="M358" s="152"/>
      <c r="N358" s="153"/>
      <c r="O358" s="152"/>
      <c r="P358" s="152"/>
      <c r="Q358" s="154"/>
      <c r="V358" s="80"/>
    </row>
    <row r="359" spans="1:22" ht="15" customHeight="1">
      <c r="A359" s="49">
        <v>63</v>
      </c>
      <c r="B359" s="50" t="s">
        <v>19</v>
      </c>
      <c r="C359" s="50" t="s">
        <v>204</v>
      </c>
      <c r="D359" s="49">
        <v>30</v>
      </c>
      <c r="E359" s="49">
        <v>30</v>
      </c>
      <c r="F359" s="50">
        <f t="shared" si="62"/>
        <v>30</v>
      </c>
      <c r="G359" s="152"/>
      <c r="H35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ajuda na maximização e otimização do tempo. Isso nos ajuda a pensar em outras enquanto o algoritmo traça nossa rota de acordo com nossa preferencia.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59" s="152"/>
      <c r="J359" s="152"/>
      <c r="K359" s="153"/>
      <c r="L359" s="152"/>
      <c r="M359" s="152"/>
      <c r="N359" s="153"/>
      <c r="O359" s="152"/>
      <c r="P359" s="152"/>
      <c r="Q359" s="154"/>
      <c r="V359" s="80"/>
    </row>
    <row r="360" spans="1:22" ht="15" customHeight="1">
      <c r="A360" s="51">
        <v>64</v>
      </c>
      <c r="B360" s="49" t="s">
        <v>19</v>
      </c>
      <c r="C360" s="49" t="s">
        <v>207</v>
      </c>
      <c r="D360" s="49">
        <v>25</v>
      </c>
      <c r="E360" s="49">
        <v>20</v>
      </c>
      <c r="F360" s="50">
        <f t="shared" si="62"/>
        <v>22.5</v>
      </c>
      <c r="G360" s="152"/>
      <c r="H36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Ao utilizar o GPS os usuários otimizam seu tempo para resolver outros problemas, já que a inteligência artificial estará minimizando "os neurônios" do indivíduo, ou seja, aquela pessoa não precisará de sua atenção total ao exercer a função na qual essa IA já está desempenhando.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0" s="152"/>
      <c r="J360" s="152"/>
      <c r="K360" s="153"/>
      <c r="L360" s="152"/>
      <c r="M360" s="152"/>
      <c r="N360" s="153"/>
      <c r="O360" s="152"/>
      <c r="P360" s="152"/>
      <c r="Q360" s="154"/>
      <c r="V360" s="80"/>
    </row>
    <row r="361" spans="1:22" ht="15" customHeight="1">
      <c r="A361" s="49">
        <v>65</v>
      </c>
      <c r="B361" s="49" t="s">
        <v>19</v>
      </c>
      <c r="C361" s="49" t="s">
        <v>124</v>
      </c>
      <c r="D361" s="49">
        <v>40</v>
      </c>
      <c r="E361" s="49">
        <v>40</v>
      </c>
      <c r="F361" s="50">
        <f t="shared" si="62"/>
        <v>40</v>
      </c>
      <c r="G361" s="152"/>
      <c r="H36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tecnologias/inteligências são boas e não restringe as escolhas dos humanos.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1" s="152"/>
      <c r="J361" s="152"/>
      <c r="K361" s="153"/>
      <c r="L361" s="152"/>
      <c r="M361" s="152"/>
      <c r="N361" s="153"/>
      <c r="O361" s="152"/>
      <c r="P361" s="152"/>
      <c r="Q361" s="154"/>
      <c r="V361" s="80"/>
    </row>
    <row r="362" spans="1:22" ht="15" customHeight="1">
      <c r="A362" s="49">
        <v>66</v>
      </c>
      <c r="B362" s="49" t="s">
        <v>19</v>
      </c>
      <c r="C362" s="50" t="s">
        <v>212</v>
      </c>
      <c r="D362" s="49">
        <v>10</v>
      </c>
      <c r="E362" s="49">
        <v>25</v>
      </c>
      <c r="F362" s="50">
        <f t="shared" si="62"/>
        <v>17.5</v>
      </c>
      <c r="G362" s="152"/>
      <c r="H36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Inteligências artificiais podem ser muito úteis.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2" s="152"/>
      <c r="J362" s="152"/>
      <c r="K362" s="153"/>
      <c r="L362" s="152"/>
      <c r="M362" s="152"/>
      <c r="N362" s="153"/>
      <c r="O362" s="152"/>
      <c r="P362" s="152"/>
      <c r="Q362" s="154"/>
      <c r="V362" s="80"/>
    </row>
    <row r="363" spans="1:22" ht="15" customHeight="1">
      <c r="A363" s="43">
        <v>67</v>
      </c>
      <c r="B363" s="50" t="s">
        <v>19</v>
      </c>
      <c r="C363" s="50" t="s">
        <v>215</v>
      </c>
      <c r="D363" s="49">
        <v>0</v>
      </c>
      <c r="E363" s="49">
        <v>0</v>
      </c>
      <c r="F363" s="50">
        <f t="shared" si="62"/>
        <v>0</v>
      </c>
      <c r="G363" s="152"/>
      <c r="H36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 é uma excelente calculadora que pode te auxiliar pensando em rotas mais rápidas, sem trânsito, semáforo enquanto você pode resolver outra tarefa.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3" s="152"/>
      <c r="J363" s="152"/>
      <c r="K363" s="153"/>
      <c r="L363" s="152"/>
      <c r="M363" s="152"/>
      <c r="N363" s="153"/>
      <c r="O363" s="152"/>
      <c r="P363" s="152"/>
      <c r="Q363" s="154"/>
      <c r="V363" s="80"/>
    </row>
    <row r="364" spans="1:22" ht="15" customHeight="1">
      <c r="A364" s="49">
        <v>68</v>
      </c>
      <c r="B364" s="50" t="s">
        <v>19</v>
      </c>
      <c r="C364" s="50" t="s">
        <v>218</v>
      </c>
      <c r="D364" s="49">
        <v>10</v>
      </c>
      <c r="E364" s="49">
        <v>10</v>
      </c>
      <c r="F364" s="50">
        <f t="shared" si="62"/>
        <v>10</v>
      </c>
      <c r="G364" s="152"/>
      <c r="H36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 calcula as melhores rotas, com base em nossas preferências pré selecionadas, enquanto colocamos nossos esforços em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4" s="152"/>
      <c r="J364" s="152"/>
      <c r="K364" s="153"/>
      <c r="L364" s="152"/>
      <c r="M364" s="152"/>
      <c r="N364" s="153"/>
      <c r="O364" s="152"/>
      <c r="P364" s="152"/>
      <c r="Q364" s="154"/>
      <c r="V364" s="80"/>
    </row>
    <row r="365" spans="1:22" ht="15" customHeight="1">
      <c r="A365" s="49">
        <v>69</v>
      </c>
      <c r="B365" s="155" t="s">
        <v>19</v>
      </c>
      <c r="C365" s="155" t="s">
        <v>221</v>
      </c>
      <c r="D365" s="156">
        <v>30</v>
      </c>
      <c r="E365" s="156">
        <v>30</v>
      </c>
      <c r="F365" s="155">
        <f t="shared" si="62"/>
        <v>30</v>
      </c>
      <c r="G365" s="152"/>
      <c r="H36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autora usa o GPS para defender a ideia de que a Inteligência Artificial já está em uso há certo tempo e sua utilidade em processos.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5" s="152"/>
      <c r="J365" s="152"/>
      <c r="K365" s="153"/>
      <c r="L365" s="152"/>
      <c r="M365" s="152"/>
      <c r="N365" s="153"/>
      <c r="O365" s="152"/>
      <c r="P365" s="152"/>
      <c r="Q365" s="154"/>
      <c r="V365" s="80"/>
    </row>
    <row r="366" spans="1:22" ht="15" customHeight="1">
      <c r="A366" s="51">
        <v>70</v>
      </c>
      <c r="B366" s="50" t="s">
        <v>19</v>
      </c>
      <c r="C366" s="49" t="s">
        <v>223</v>
      </c>
      <c r="D366" s="49">
        <v>20</v>
      </c>
      <c r="E366" s="49">
        <v>20</v>
      </c>
      <c r="F366" s="50">
        <f t="shared" si="62"/>
        <v>20</v>
      </c>
      <c r="G366" s="152"/>
      <c r="H36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inteligenca artificial pode nos auxiliar em diveros aspectos.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6" s="152"/>
      <c r="J366" s="152"/>
      <c r="K366" s="153"/>
      <c r="L366" s="152"/>
      <c r="M366" s="152"/>
      <c r="N366" s="153"/>
      <c r="O366" s="152"/>
      <c r="P366" s="152"/>
      <c r="Q366" s="154"/>
      <c r="V366" s="80"/>
    </row>
    <row r="367" spans="1:22" ht="15" customHeight="1">
      <c r="A367" s="49">
        <v>71</v>
      </c>
      <c r="B367" s="50" t="s">
        <v>19</v>
      </c>
      <c r="C367" s="50" t="s">
        <v>226</v>
      </c>
      <c r="D367" s="49">
        <v>20</v>
      </c>
      <c r="E367" s="49">
        <v>30</v>
      </c>
      <c r="F367" s="50">
        <f t="shared" si="62"/>
        <v>25</v>
      </c>
      <c r="G367" s="152"/>
      <c r="H36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inteligencia artificial é muito importante para o cotidiano, mas não deve ser vislumbrada pela ideia de contaminação do algoritmo.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7" s="152"/>
      <c r="J367" s="152"/>
      <c r="K367" s="153"/>
      <c r="L367" s="152"/>
      <c r="M367" s="152"/>
      <c r="N367" s="153"/>
      <c r="O367" s="152"/>
      <c r="P367" s="152"/>
      <c r="Q367" s="154"/>
      <c r="V367" s="80"/>
    </row>
    <row r="368" spans="1:22" ht="15" customHeight="1">
      <c r="A368" s="49">
        <v>72</v>
      </c>
      <c r="B368" s="50" t="s">
        <v>19</v>
      </c>
      <c r="C368" s="50" t="s">
        <v>229</v>
      </c>
      <c r="D368" s="49">
        <v>5</v>
      </c>
      <c r="E368" s="49">
        <v>10</v>
      </c>
      <c r="F368" s="50">
        <f t="shared" si="62"/>
        <v>7.5</v>
      </c>
      <c r="G368" s="152"/>
      <c r="H36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existem aplicativos que fazem uso de Inteligência Artificial de maneira proveitosa.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8" s="152"/>
      <c r="J368" s="152"/>
      <c r="K368" s="153"/>
      <c r="L368" s="152"/>
      <c r="M368" s="152"/>
      <c r="N368" s="153"/>
      <c r="O368" s="152"/>
      <c r="P368" s="152"/>
      <c r="Q368" s="154"/>
      <c r="V368" s="80"/>
    </row>
    <row r="369" spans="1:22" ht="15" customHeight="1">
      <c r="A369" s="43">
        <v>73</v>
      </c>
      <c r="B369" s="50" t="s">
        <v>19</v>
      </c>
      <c r="C369" s="50" t="s">
        <v>232</v>
      </c>
      <c r="D369" s="49">
        <v>10</v>
      </c>
      <c r="E369" s="49">
        <v>20</v>
      </c>
      <c r="F369" s="50">
        <f t="shared" si="62"/>
        <v>15</v>
      </c>
      <c r="G369" s="152"/>
      <c r="H36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inteligencia artificial já está entre nós a bastante tempo, nao foi algo que chegou derrepente.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69" s="152"/>
      <c r="J369" s="152"/>
      <c r="K369" s="153"/>
      <c r="L369" s="152"/>
      <c r="M369" s="152"/>
      <c r="N369" s="153"/>
      <c r="O369" s="152"/>
      <c r="P369" s="152"/>
      <c r="Q369" s="154"/>
      <c r="V369" s="80"/>
    </row>
    <row r="370" spans="1:22" ht="15" customHeight="1">
      <c r="A370" s="49">
        <v>74</v>
      </c>
      <c r="B370" s="50" t="s">
        <v>19</v>
      </c>
      <c r="C370" s="50" t="s">
        <v>235</v>
      </c>
      <c r="D370" s="49">
        <v>20</v>
      </c>
      <c r="E370" s="49">
        <v>20</v>
      </c>
      <c r="F370" s="50">
        <f t="shared" si="62"/>
        <v>20</v>
      </c>
      <c r="G370" s="152"/>
      <c r="H37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Defende que a ideia a inteligência nos permite identificar e optar pelos caminhos que mantêm mais portas abertas para o futuro, ou seja, esses algorítimos nos ajudam  e são muito uteis, assim você pode gastar seus neurônios para gastar com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0" s="152"/>
      <c r="J370" s="152"/>
      <c r="K370" s="153"/>
      <c r="L370" s="152"/>
      <c r="M370" s="152"/>
      <c r="N370" s="153"/>
      <c r="O370" s="152"/>
      <c r="P370" s="152"/>
      <c r="Q370" s="154"/>
      <c r="V370" s="80"/>
    </row>
    <row r="371" spans="1:22" ht="15" customHeight="1">
      <c r="A371" s="49">
        <v>75</v>
      </c>
      <c r="B371" s="50" t="s">
        <v>19</v>
      </c>
      <c r="C371" s="50" t="s">
        <v>238</v>
      </c>
      <c r="D371" s="49">
        <v>0</v>
      </c>
      <c r="E371" s="49">
        <v>0</v>
      </c>
      <c r="F371" s="50">
        <f t="shared" si="62"/>
        <v>0</v>
      </c>
      <c r="G371" s="152"/>
      <c r="H37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inteligentes calculadores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1" s="152"/>
      <c r="J371" s="152"/>
      <c r="K371" s="153"/>
      <c r="L371" s="152"/>
      <c r="M371" s="152"/>
      <c r="N371" s="153"/>
      <c r="O371" s="152"/>
      <c r="P371" s="152"/>
      <c r="Q371" s="154"/>
      <c r="V371" s="80"/>
    </row>
    <row r="372" spans="1:22" ht="15" customHeight="1">
      <c r="A372" s="51">
        <v>76</v>
      </c>
      <c r="B372" s="50" t="s">
        <v>19</v>
      </c>
      <c r="C372" s="50" t="s">
        <v>241</v>
      </c>
      <c r="D372" s="49">
        <v>40</v>
      </c>
      <c r="E372" s="49">
        <v>40</v>
      </c>
      <c r="F372" s="50">
        <f t="shared" si="62"/>
        <v>40</v>
      </c>
      <c r="G372" s="152"/>
      <c r="H37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 faz o trabalho humano de traçar rotas, desviar semáforos e o trânsito. Enquanto isso, as pessoas deixam de gastar neurônios com isso podendo pensar em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2" s="152"/>
      <c r="J372" s="152"/>
      <c r="K372" s="153"/>
      <c r="L372" s="152"/>
      <c r="M372" s="152"/>
      <c r="N372" s="153"/>
      <c r="O372" s="152"/>
      <c r="P372" s="152"/>
      <c r="Q372" s="154"/>
      <c r="V372" s="80"/>
    </row>
    <row r="373" spans="1:22" ht="15" customHeight="1">
      <c r="A373" s="49">
        <v>77</v>
      </c>
      <c r="B373" s="50" t="s">
        <v>19</v>
      </c>
      <c r="C373" s="50" t="s">
        <v>244</v>
      </c>
      <c r="D373" s="49">
        <v>40</v>
      </c>
      <c r="E373" s="49">
        <v>40</v>
      </c>
      <c r="F373" s="50">
        <f t="shared" si="62"/>
        <v>40</v>
      </c>
      <c r="G373" s="152"/>
      <c r="H37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pode ser benéfica. Pois o GPS utiliza esta tecnologia para criar algorítmos que irão otimizar a sua rota e melhorar sua experiência de acordo com sua preferência. Seria um exemplo de Inteligência Artificial utilizada a seu favor, para otimizar seu tempo, ao invés de te distrair e diminuir sua capacidade de raciocínio próprio.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3" s="152"/>
      <c r="J373" s="152"/>
      <c r="K373" s="153"/>
      <c r="L373" s="152"/>
      <c r="M373" s="152"/>
      <c r="N373" s="153"/>
      <c r="O373" s="152"/>
      <c r="P373" s="152"/>
      <c r="Q373" s="154"/>
      <c r="V373" s="80"/>
    </row>
    <row r="374" spans="1:22" ht="15" customHeight="1">
      <c r="A374" s="49">
        <v>78</v>
      </c>
      <c r="B374" s="50" t="s">
        <v>19</v>
      </c>
      <c r="C374" s="50" t="s">
        <v>247</v>
      </c>
      <c r="D374" s="49">
        <v>40</v>
      </c>
      <c r="E374" s="49">
        <v>40</v>
      </c>
      <c r="F374" s="50">
        <f t="shared" si="62"/>
        <v>40</v>
      </c>
      <c r="G374" s="152"/>
      <c r="H37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é flexível de forma positiva. Auxilia o ser humano otimizando seu tempo. A autora exemplifica que enquanto o GPS programa a melhor rota, o indivíduo pode usufruir deste tempo para resolver outras questões. Ou seja, a praticidade que a inteligência artificial oferece facilita no cotidiano do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4" s="152"/>
      <c r="J374" s="152"/>
      <c r="K374" s="153"/>
      <c r="L374" s="152"/>
      <c r="M374" s="152"/>
      <c r="N374" s="153"/>
      <c r="O374" s="152"/>
      <c r="P374" s="152"/>
      <c r="Q374" s="154"/>
      <c r="V374" s="80"/>
    </row>
    <row r="375" spans="1:22" ht="15" customHeight="1">
      <c r="A375" s="43">
        <v>79</v>
      </c>
      <c r="B375" s="155" t="s">
        <v>19</v>
      </c>
      <c r="C375" s="155" t="s">
        <v>250</v>
      </c>
      <c r="D375" s="156">
        <v>40</v>
      </c>
      <c r="E375" s="156">
        <v>35</v>
      </c>
      <c r="F375" s="155">
        <f t="shared" si="62"/>
        <v>37.5</v>
      </c>
      <c r="G375" s="152"/>
      <c r="H37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inteligencias são muito úteis para auxiliar no dia a dia, e ajudar o usuário, assim, podendo que ele otimize seu tempo e resolva outros tipos de situação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5" s="152"/>
      <c r="J375" s="152"/>
      <c r="K375" s="153"/>
      <c r="L375" s="152"/>
      <c r="M375" s="152"/>
      <c r="N375" s="153"/>
      <c r="O375" s="152"/>
      <c r="P375" s="152"/>
      <c r="Q375" s="154"/>
      <c r="V375" s="80"/>
    </row>
    <row r="376" spans="1:22" ht="15" customHeight="1">
      <c r="A376" s="49">
        <v>80</v>
      </c>
      <c r="B376" s="50" t="s">
        <v>19</v>
      </c>
      <c r="C376" s="49" t="s">
        <v>252</v>
      </c>
      <c r="D376" s="49">
        <v>0</v>
      </c>
      <c r="E376" s="49">
        <v>5</v>
      </c>
      <c r="F376" s="50">
        <f t="shared" si="62"/>
        <v>2.5</v>
      </c>
      <c r="G376" s="152"/>
      <c r="H37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Que a inteligência é a flexibilidade cognitiva que nos permite identificar e optar por caminhos mais amplos. Que o GPS é uma dessa inteligências, nos auxilia.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6" s="152"/>
      <c r="J376" s="152"/>
      <c r="K376" s="153"/>
      <c r="L376" s="152"/>
      <c r="M376" s="152"/>
      <c r="N376" s="153"/>
      <c r="O376" s="152"/>
      <c r="P376" s="152"/>
      <c r="Q376" s="154"/>
      <c r="V376" s="80"/>
    </row>
    <row r="377" spans="1:22" ht="15" customHeight="1">
      <c r="A377" s="49">
        <v>81</v>
      </c>
      <c r="B377" s="50" t="s">
        <v>19</v>
      </c>
      <c r="C377" s="49" t="s">
        <v>255</v>
      </c>
      <c r="D377" s="49">
        <v>10</v>
      </c>
      <c r="E377" s="49">
        <v>10</v>
      </c>
      <c r="F377" s="50">
        <f t="shared" si="62"/>
        <v>10</v>
      </c>
      <c r="G377" s="152"/>
      <c r="H37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legítimos calculadores inteligentes, e está presente na sociedade como inteligência artificial.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7" s="152"/>
      <c r="J377" s="152"/>
      <c r="K377" s="153"/>
      <c r="L377" s="152"/>
      <c r="M377" s="152"/>
      <c r="N377" s="153"/>
      <c r="O377" s="152"/>
      <c r="P377" s="152"/>
      <c r="Q377" s="154"/>
      <c r="V377" s="80"/>
    </row>
    <row r="378" spans="1:22" ht="15" customHeight="1">
      <c r="A378" s="51">
        <v>82</v>
      </c>
      <c r="B378" s="50" t="s">
        <v>19</v>
      </c>
      <c r="C378" s="49" t="s">
        <v>258</v>
      </c>
      <c r="D378" s="49">
        <v>30</v>
      </c>
      <c r="E378" s="49">
        <v>32</v>
      </c>
      <c r="F378" s="50">
        <f t="shared" si="62"/>
        <v>31</v>
      </c>
      <c r="G378" s="152"/>
      <c r="H37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praticidade de ferramentas que utilizam inteligência artificial é bem-vinda e auxilia que as pessoas possam direcionar seus esforços para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8" s="152"/>
      <c r="J378" s="152"/>
      <c r="K378" s="153"/>
      <c r="L378" s="152"/>
      <c r="M378" s="152"/>
      <c r="N378" s="153"/>
      <c r="O378" s="152"/>
      <c r="P378" s="152"/>
      <c r="Q378" s="154"/>
      <c r="V378" s="80"/>
    </row>
    <row r="379" spans="1:22" ht="15" customHeight="1">
      <c r="A379" s="49">
        <v>83</v>
      </c>
      <c r="B379" s="50" t="s">
        <v>19</v>
      </c>
      <c r="C379" s="50" t="s">
        <v>261</v>
      </c>
      <c r="D379" s="49">
        <v>0</v>
      </c>
      <c r="E379" s="49">
        <v>0</v>
      </c>
      <c r="F379" s="50">
        <f t="shared" si="62"/>
        <v>0</v>
      </c>
      <c r="G379" s="152"/>
      <c r="H37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calculadores inteligentes que ajudam no cálculo de rota e destino.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79" s="152"/>
      <c r="J379" s="152"/>
      <c r="K379" s="153"/>
      <c r="L379" s="152"/>
      <c r="M379" s="152"/>
      <c r="N379" s="153"/>
      <c r="O379" s="152"/>
      <c r="P379" s="152"/>
      <c r="Q379" s="154"/>
      <c r="V379" s="80"/>
    </row>
    <row r="380" spans="1:22" ht="15" customHeight="1">
      <c r="A380" s="49">
        <v>84</v>
      </c>
      <c r="B380" s="50" t="s">
        <v>19</v>
      </c>
      <c r="C380" s="50" t="s">
        <v>264</v>
      </c>
      <c r="D380" s="49">
        <v>30</v>
      </c>
      <c r="E380" s="49">
        <v>35</v>
      </c>
      <c r="F380" s="50">
        <f t="shared" si="62"/>
        <v>32.5</v>
      </c>
      <c r="G380" s="152"/>
      <c r="H38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ferramentas dotadas de inteligência artificial podem ser úteis, contando que auxiliem nos diversos aspectos da nossa vida e as atividades que já realizamos sejam facilitadas. O GPS é um ótimo exemplo de como esses instrumentos podem ser utilizados para tornar nossa rotina mais agradável e voltada para nossos interesses, sem limitar nossas decisões.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0" s="152"/>
      <c r="J380" s="152"/>
      <c r="K380" s="153"/>
      <c r="L380" s="152"/>
      <c r="M380" s="152"/>
      <c r="N380" s="153"/>
      <c r="O380" s="152"/>
      <c r="P380" s="152"/>
      <c r="Q380" s="154"/>
      <c r="V380" s="80"/>
    </row>
    <row r="381" spans="1:22" ht="15" customHeight="1">
      <c r="A381" s="43">
        <v>85</v>
      </c>
      <c r="B381" s="50" t="s">
        <v>19</v>
      </c>
      <c r="C381" s="50" t="s">
        <v>267</v>
      </c>
      <c r="D381" s="49">
        <v>40</v>
      </c>
      <c r="E381" s="49">
        <v>40</v>
      </c>
      <c r="F381" s="50">
        <f t="shared" si="62"/>
        <v>40</v>
      </c>
      <c r="G381" s="152"/>
      <c r="H38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expressão  "inteligência artificial", além de não ser algo "do futuro", tem a função de auxiliar na resolução de problemáticas cotidianas do ser humano, sem, no entanto, substituí-lo.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1" s="152"/>
      <c r="J381" s="152"/>
      <c r="K381" s="153"/>
      <c r="L381" s="152"/>
      <c r="M381" s="152"/>
      <c r="N381" s="153"/>
      <c r="O381" s="152"/>
      <c r="P381" s="152"/>
      <c r="Q381" s="154"/>
      <c r="V381" s="80"/>
    </row>
    <row r="382" spans="1:22" ht="15" customHeight="1">
      <c r="A382" s="49">
        <v>86</v>
      </c>
      <c r="B382" s="49" t="s">
        <v>19</v>
      </c>
      <c r="C382" s="50" t="s">
        <v>270</v>
      </c>
      <c r="D382" s="49">
        <v>0.5</v>
      </c>
      <c r="E382" s="49">
        <v>0</v>
      </c>
      <c r="F382" s="50">
        <f t="shared" si="62"/>
        <v>0.25</v>
      </c>
      <c r="G382" s="152"/>
      <c r="H38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uso da ferramenta recalcula a rota e redirecional para o caminho inicial evitando que o motorista tente fazer por ele mesmo.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2" s="152"/>
      <c r="J382" s="152"/>
      <c r="K382" s="153"/>
      <c r="L382" s="152"/>
      <c r="M382" s="152"/>
      <c r="N382" s="153"/>
      <c r="O382" s="152"/>
      <c r="P382" s="152"/>
      <c r="Q382" s="154"/>
      <c r="V382" s="80"/>
    </row>
    <row r="383" spans="1:22" ht="15" customHeight="1">
      <c r="A383" s="49">
        <v>87</v>
      </c>
      <c r="B383" s="50" t="s">
        <v>19</v>
      </c>
      <c r="C383" s="50" t="s">
        <v>273</v>
      </c>
      <c r="D383" s="49">
        <v>40</v>
      </c>
      <c r="E383" s="49">
        <v>40</v>
      </c>
      <c r="F383" s="50">
        <f t="shared" si="62"/>
        <v>40</v>
      </c>
      <c r="G383" s="152"/>
      <c r="H38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já faz parte do nosso dia a dia há algum tempo e que a partir da ajuda que algoritmos como esse proporcionam temos tempo e neurônios para serem aplicados em outras coisas.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3" s="152"/>
      <c r="J383" s="152"/>
      <c r="K383" s="153"/>
      <c r="L383" s="152"/>
      <c r="M383" s="152"/>
      <c r="N383" s="153"/>
      <c r="O383" s="152"/>
      <c r="P383" s="152"/>
      <c r="Q383" s="154"/>
      <c r="V383" s="80"/>
    </row>
    <row r="384" spans="1:22" ht="15" customHeight="1">
      <c r="A384" s="51">
        <v>88</v>
      </c>
      <c r="B384" s="49" t="s">
        <v>19</v>
      </c>
      <c r="C384" s="50" t="s">
        <v>276</v>
      </c>
      <c r="D384" s="49">
        <v>20</v>
      </c>
      <c r="E384" s="49">
        <v>30</v>
      </c>
      <c r="F384" s="50">
        <f t="shared" si="62"/>
        <v>25</v>
      </c>
      <c r="G384" s="152"/>
      <c r="H38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No texto, a autora usa o GPS como um exemplo para defender a ideia de que as inteligências artificiais existem para auxiliar os seres humanos nos mais diversos tipos detarefas.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4" s="152"/>
      <c r="J384" s="152"/>
      <c r="K384" s="153"/>
      <c r="L384" s="152"/>
      <c r="M384" s="152"/>
      <c r="N384" s="153"/>
      <c r="O384" s="152"/>
      <c r="P384" s="152"/>
      <c r="Q384" s="154"/>
      <c r="V384" s="80"/>
    </row>
    <row r="385" spans="1:22" ht="15" customHeight="1">
      <c r="A385" s="49">
        <v>89</v>
      </c>
      <c r="B385" s="50" t="s">
        <v>19</v>
      </c>
      <c r="C385" s="50" t="s">
        <v>279</v>
      </c>
      <c r="D385" s="49">
        <v>0</v>
      </c>
      <c r="E385" s="49">
        <v>0</v>
      </c>
      <c r="F385" s="50">
        <f t="shared" si="62"/>
        <v>0</v>
      </c>
      <c r="G385" s="152"/>
      <c r="H38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equipamento resolve a questão de deslocamento, enquanto o indivíduo pode direcionar o raciocínio para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5" s="152"/>
      <c r="J385" s="152"/>
      <c r="K385" s="153"/>
      <c r="L385" s="152"/>
      <c r="M385" s="152"/>
      <c r="N385" s="153"/>
      <c r="O385" s="152"/>
      <c r="P385" s="152"/>
      <c r="Q385" s="154"/>
      <c r="V385" s="80"/>
    </row>
    <row r="386" spans="1:22" ht="15" customHeight="1">
      <c r="A386" s="49">
        <v>90</v>
      </c>
      <c r="B386" s="50" t="s">
        <v>19</v>
      </c>
      <c r="C386" s="50" t="s">
        <v>282</v>
      </c>
      <c r="D386" s="49">
        <v>30</v>
      </c>
      <c r="E386" s="49">
        <v>30</v>
      </c>
      <c r="F386" s="50">
        <f t="shared" si="62"/>
        <v>30</v>
      </c>
      <c r="G386" s="152"/>
      <c r="H38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É uma ferramenta que facilita os nossos trajetos, assim possibilita podermos raciocinar em outras coisas ao invés de ficar pensando, com a nossa própria cabeça, na melhor possibilidade que podemos tomar, ela faz isso por nós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6" s="152"/>
      <c r="J386" s="152"/>
      <c r="K386" s="153"/>
      <c r="L386" s="152"/>
      <c r="M386" s="152"/>
      <c r="N386" s="153"/>
      <c r="O386" s="152"/>
      <c r="P386" s="152"/>
      <c r="Q386" s="154"/>
      <c r="V386" s="80"/>
    </row>
    <row r="387" spans="1:22" ht="15" customHeight="1">
      <c r="A387" s="43">
        <v>91</v>
      </c>
      <c r="B387" s="50" t="s">
        <v>19</v>
      </c>
      <c r="C387" s="50" t="s">
        <v>285</v>
      </c>
      <c r="D387" s="49">
        <v>40</v>
      </c>
      <c r="E387" s="49">
        <v>40</v>
      </c>
      <c r="F387" s="50">
        <f t="shared" si="62"/>
        <v>40</v>
      </c>
      <c r="G387" s="152"/>
      <c r="H38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Os algoritmos, ou a inteligência artificial, já são ferramentas utilizadas pela humanidade, que ajudam e permitem que a gente use o tempo para resolver outros problemas, enquanto o GPS calcula as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7" s="152"/>
      <c r="J387" s="152"/>
      <c r="K387" s="153"/>
      <c r="L387" s="152"/>
      <c r="M387" s="152"/>
      <c r="N387" s="153"/>
      <c r="O387" s="152"/>
      <c r="P387" s="152"/>
      <c r="Q387" s="154"/>
      <c r="V387" s="80"/>
    </row>
    <row r="388" spans="1:22" ht="15" customHeight="1">
      <c r="A388" s="49">
        <v>92</v>
      </c>
      <c r="B388" s="50" t="s">
        <v>19</v>
      </c>
      <c r="C388" s="50" t="s">
        <v>288</v>
      </c>
      <c r="D388" s="49">
        <v>30</v>
      </c>
      <c r="E388" s="49">
        <v>30</v>
      </c>
      <c r="F388" s="50">
        <f t="shared" si="62"/>
        <v>30</v>
      </c>
      <c r="G388" s="152"/>
      <c r="H38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já faz parte do cotidiano das pessoas e é eficiente e útil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8" s="152"/>
      <c r="J388" s="152"/>
      <c r="K388" s="153"/>
      <c r="L388" s="152"/>
      <c r="M388" s="152"/>
      <c r="N388" s="153"/>
      <c r="O388" s="152"/>
      <c r="P388" s="152"/>
      <c r="Q388" s="154"/>
      <c r="V388" s="80"/>
    </row>
    <row r="389" spans="1:22" ht="15" customHeight="1">
      <c r="A389" s="49">
        <v>93</v>
      </c>
      <c r="B389" s="50" t="s">
        <v>19</v>
      </c>
      <c r="C389" s="50" t="s">
        <v>291</v>
      </c>
      <c r="D389" s="49">
        <v>10</v>
      </c>
      <c r="E389" s="49">
        <v>0</v>
      </c>
      <c r="F389" s="50">
        <f t="shared" si="62"/>
        <v>5</v>
      </c>
      <c r="G389" s="152"/>
      <c r="H38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autora defende a ideia de que o GPS é um calculador inteligente de rotas, onde nos auxilia no caminho, desde a sua partida ate o destino final, facilitando os  menores percursos e trechos mais acessíveis para seu usuário.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89" s="152"/>
      <c r="J389" s="152"/>
      <c r="K389" s="153"/>
      <c r="L389" s="152"/>
      <c r="M389" s="152"/>
      <c r="N389" s="153"/>
      <c r="O389" s="152"/>
      <c r="P389" s="152"/>
      <c r="Q389" s="154"/>
      <c r="V389" s="80"/>
    </row>
    <row r="390" spans="1:22" ht="15" customHeight="1">
      <c r="A390" s="51">
        <v>94</v>
      </c>
      <c r="B390" s="50" t="s">
        <v>19</v>
      </c>
      <c r="C390" s="50" t="s">
        <v>294</v>
      </c>
      <c r="D390" s="49">
        <v>30</v>
      </c>
      <c r="E390" s="49">
        <v>30</v>
      </c>
      <c r="F390" s="50">
        <f t="shared" si="62"/>
        <v>30</v>
      </c>
      <c r="G390" s="152"/>
      <c r="H39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tecnologia e consequentemente a Inteligência Artificial podem simplificar ou até mesmo, solucionar questões do cotidiano que demandariam muito esforço e tempo.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0" s="152"/>
      <c r="J390" s="152"/>
      <c r="K390" s="153"/>
      <c r="L390" s="152"/>
      <c r="M390" s="152"/>
      <c r="N390" s="153"/>
      <c r="O390" s="152"/>
      <c r="P390" s="152"/>
      <c r="Q390" s="154"/>
      <c r="V390" s="80"/>
    </row>
    <row r="391" spans="1:22" ht="15" customHeight="1">
      <c r="A391" s="49">
        <v>95</v>
      </c>
      <c r="B391" s="50" t="s">
        <v>19</v>
      </c>
      <c r="C391" s="49" t="s">
        <v>297</v>
      </c>
      <c r="D391" s="49">
        <v>12</v>
      </c>
      <c r="E391" s="49">
        <v>10</v>
      </c>
      <c r="F391" s="50">
        <f t="shared" si="62"/>
        <v>11</v>
      </c>
      <c r="G391" s="152"/>
      <c r="H39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 ele auxilia os humanos para leva-los a lugares, tornando mais simples para eles a locomoção.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1" s="152"/>
      <c r="J391" s="152"/>
      <c r="K391" s="153"/>
      <c r="L391" s="152"/>
      <c r="M391" s="152"/>
      <c r="N391" s="153"/>
      <c r="O391" s="152"/>
      <c r="P391" s="152"/>
      <c r="Q391" s="154"/>
      <c r="V391" s="80"/>
    </row>
    <row r="392" spans="1:22" ht="15" customHeight="1">
      <c r="A392" s="49">
        <v>96</v>
      </c>
      <c r="B392" s="50" t="s">
        <v>19</v>
      </c>
      <c r="C392" s="49" t="s">
        <v>300</v>
      </c>
      <c r="D392" s="49">
        <v>20</v>
      </c>
      <c r="E392" s="49">
        <v>20</v>
      </c>
      <c r="F392" s="50">
        <f t="shared" si="62"/>
        <v>20</v>
      </c>
      <c r="G392" s="152"/>
      <c r="H39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autora defende a ideia de que o gps (inteligencia artificial), ajudam as pessoas e não as dificulta.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2" s="152"/>
      <c r="J392" s="152"/>
      <c r="K392" s="153"/>
      <c r="L392" s="152"/>
      <c r="M392" s="152"/>
      <c r="N392" s="153"/>
      <c r="O392" s="152"/>
      <c r="P392" s="152"/>
      <c r="Q392" s="154"/>
      <c r="V392" s="80"/>
    </row>
    <row r="393" spans="1:22" ht="15" customHeight="1">
      <c r="A393" s="43">
        <v>97</v>
      </c>
      <c r="B393" s="50" t="s">
        <v>19</v>
      </c>
      <c r="C393" s="50" t="s">
        <v>303</v>
      </c>
      <c r="D393" s="49">
        <v>10</v>
      </c>
      <c r="E393" s="49">
        <v>10</v>
      </c>
      <c r="F393" s="50">
        <f t="shared" si="62"/>
        <v>10</v>
      </c>
      <c r="G393" s="152"/>
      <c r="H39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Nem tudo o que produzido pela inteligência artificial, é algo negativo, temos o exemplo do GPS que é um programa que auxilia na localização.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3" s="152"/>
      <c r="J393" s="152"/>
      <c r="K393" s="153"/>
      <c r="L393" s="152"/>
      <c r="M393" s="152"/>
      <c r="N393" s="153"/>
      <c r="O393" s="152"/>
      <c r="P393" s="152"/>
      <c r="Q393" s="154"/>
      <c r="V393" s="80"/>
    </row>
    <row r="394" spans="1:22" ht="15" customHeight="1">
      <c r="A394" s="49">
        <v>98</v>
      </c>
      <c r="B394" s="50" t="s">
        <v>19</v>
      </c>
      <c r="C394" s="50" t="s">
        <v>306</v>
      </c>
      <c r="D394" s="49">
        <v>35</v>
      </c>
      <c r="E394" s="49">
        <v>40</v>
      </c>
      <c r="F394" s="50">
        <f t="shared" si="62"/>
        <v>37.5</v>
      </c>
      <c r="G394" s="152"/>
      <c r="H39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As ferramentas de inteligência artificial podem ser muito úteis quando são algoritmos que nos ajudam no processo de identificar as melhores possibilidades.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4" s="152"/>
      <c r="J394" s="152"/>
      <c r="K394" s="153"/>
      <c r="L394" s="152"/>
      <c r="M394" s="152"/>
      <c r="N394" s="153"/>
      <c r="O394" s="152"/>
      <c r="P394" s="152"/>
      <c r="Q394" s="154"/>
      <c r="V394" s="80"/>
    </row>
    <row r="395" spans="1:22" ht="15" customHeight="1">
      <c r="A395" s="49">
        <v>99</v>
      </c>
      <c r="B395" s="50" t="s">
        <v>19</v>
      </c>
      <c r="C395" s="50" t="s">
        <v>309</v>
      </c>
      <c r="D395" s="49">
        <v>30</v>
      </c>
      <c r="E395" s="49">
        <v>30</v>
      </c>
      <c r="F395" s="50">
        <f t="shared" si="62"/>
        <v>30</v>
      </c>
      <c r="G395" s="152"/>
      <c r="H39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foi um exemplo usado para explicar como as tecnologias podem nos ajudar, melhorando a praticidade em coisas que já conhecemos ou coisas que ainda somos leigos, e também para nos dizer o quanto podemos aproveitar, das novas tecnologias no nosso dia a dia, poupando tempo e aperfeiçoando ainda mais nosso conhecimento.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5" s="152"/>
      <c r="J395" s="152"/>
      <c r="K395" s="153"/>
      <c r="L395" s="152"/>
      <c r="M395" s="152"/>
      <c r="N395" s="153"/>
      <c r="O395" s="152"/>
      <c r="P395" s="152"/>
      <c r="Q395" s="154"/>
      <c r="V395" s="80"/>
    </row>
    <row r="396" spans="1:22" ht="15" customHeight="1">
      <c r="A396" s="51">
        <v>100</v>
      </c>
      <c r="B396" s="49" t="s">
        <v>19</v>
      </c>
      <c r="C396" s="50" t="s">
        <v>312</v>
      </c>
      <c r="D396" s="49">
        <v>20</v>
      </c>
      <c r="E396" s="49">
        <v>20</v>
      </c>
      <c r="F396" s="50">
        <f t="shared" si="62"/>
        <v>20</v>
      </c>
      <c r="G396" s="152"/>
      <c r="H39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Enquanto o GPS resolve um problema, encontrar rotas, você tem tempo para pensar em outros assuntos e resolvê-los.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6" s="152"/>
      <c r="J396" s="152"/>
      <c r="K396" s="153"/>
      <c r="L396" s="152"/>
      <c r="M396" s="152"/>
      <c r="N396" s="153"/>
      <c r="O396" s="152"/>
      <c r="P396" s="152"/>
      <c r="Q396" s="154"/>
      <c r="V396" s="80"/>
    </row>
    <row r="397" spans="1:22" ht="15" customHeight="1">
      <c r="A397" s="49">
        <v>101</v>
      </c>
      <c r="B397" s="50" t="s">
        <v>19</v>
      </c>
      <c r="C397" s="50" t="s">
        <v>315</v>
      </c>
      <c r="D397" s="49">
        <v>10</v>
      </c>
      <c r="E397" s="49">
        <v>7</v>
      </c>
      <c r="F397" s="50">
        <f t="shared" si="62"/>
        <v>8.5</v>
      </c>
      <c r="G397" s="152"/>
      <c r="H39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enquanto você se preocupa com outras situações ou "usa seus próprios neurônios para resolver outros problemas", um simples navegador pode resolver outra situação problemática que está acontecendo no mesmo momento, abrangendo outras oportunidades de soluções. Isso pode demonstrar que não precisamos pensar em ou tentar resolver nossos conflitos, apresentando a ideia de que a inteligência artificial pode estar limitando nossos próprios limites.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7" s="152"/>
      <c r="J397" s="152"/>
      <c r="K397" s="153"/>
      <c r="L397" s="152"/>
      <c r="M397" s="152"/>
      <c r="N397" s="153"/>
      <c r="O397" s="152"/>
      <c r="P397" s="152"/>
      <c r="Q397" s="154"/>
      <c r="V397" s="80"/>
    </row>
    <row r="398" spans="1:22" ht="15" customHeight="1">
      <c r="A398" s="49">
        <v>102</v>
      </c>
      <c r="B398" s="50" t="s">
        <v>19</v>
      </c>
      <c r="C398" s="49" t="s">
        <v>318</v>
      </c>
      <c r="D398" s="49">
        <v>20</v>
      </c>
      <c r="E398" s="49">
        <v>20</v>
      </c>
      <c r="F398" s="50">
        <f t="shared" si="62"/>
        <v>20</v>
      </c>
      <c r="G398" s="152"/>
      <c r="H39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os algoritimos são ferramentas que auxiliam no dia a dia e tornam a vida do usuário mais fácil.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8" s="152"/>
      <c r="J398" s="152"/>
      <c r="K398" s="153"/>
      <c r="L398" s="152"/>
      <c r="M398" s="152"/>
      <c r="N398" s="153"/>
      <c r="O398" s="152"/>
      <c r="P398" s="152"/>
      <c r="Q398" s="154"/>
      <c r="V398" s="80"/>
    </row>
    <row r="399" spans="1:22" ht="15" customHeight="1">
      <c r="A399" s="43">
        <v>103</v>
      </c>
      <c r="B399" s="50" t="s">
        <v>19</v>
      </c>
      <c r="C399" s="50" t="s">
        <v>321</v>
      </c>
      <c r="D399" s="49">
        <v>30</v>
      </c>
      <c r="E399" s="49">
        <v>40</v>
      </c>
      <c r="F399" s="50">
        <f t="shared" si="62"/>
        <v>35</v>
      </c>
      <c r="G399" s="152"/>
      <c r="H39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inteligências artificiais podem ajudar no dia a dia, no caso o GPS, pode ajudar formular rotas ajudando a pessoa se deslocar de um lugar para outro mais rápido.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399" s="152"/>
      <c r="J399" s="152"/>
      <c r="K399" s="153"/>
      <c r="L399" s="152"/>
      <c r="M399" s="152"/>
      <c r="N399" s="153"/>
      <c r="O399" s="152"/>
      <c r="P399" s="152"/>
      <c r="Q399" s="154"/>
      <c r="V399" s="80"/>
    </row>
    <row r="400" spans="1:22" ht="15" customHeight="1">
      <c r="A400" s="49">
        <v>104</v>
      </c>
      <c r="B400" s="50" t="s">
        <v>19</v>
      </c>
      <c r="C400" s="50" t="s">
        <v>324</v>
      </c>
      <c r="D400" s="49">
        <v>40</v>
      </c>
      <c r="E400" s="49">
        <v>40</v>
      </c>
      <c r="F400" s="50">
        <f t="shared" si="62"/>
        <v>40</v>
      </c>
      <c r="G400" s="152"/>
      <c r="H40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IAs são presentes na sociedade a décadas, terceirizando tarefas simples para que o usúario possa se concentrar em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0" s="152"/>
      <c r="J400" s="152"/>
      <c r="K400" s="153"/>
      <c r="L400" s="152"/>
      <c r="M400" s="152"/>
      <c r="N400" s="153"/>
      <c r="O400" s="152"/>
      <c r="P400" s="152"/>
      <c r="Q400" s="154"/>
      <c r="V400" s="80"/>
    </row>
    <row r="401" spans="1:22" ht="15" customHeight="1">
      <c r="A401" s="49">
        <v>105</v>
      </c>
      <c r="B401" s="50" t="s">
        <v>19</v>
      </c>
      <c r="C401" s="49" t="s">
        <v>327</v>
      </c>
      <c r="D401" s="49">
        <v>25</v>
      </c>
      <c r="E401" s="49">
        <v>27</v>
      </c>
      <c r="F401" s="50">
        <f t="shared" si="62"/>
        <v>26</v>
      </c>
      <c r="G401" s="152"/>
      <c r="H40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,relacionando-o com a IA, devemos agir como a tecnologia do exemplo: considerar as possibilidades para maximizar o resultado.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1" s="152"/>
      <c r="J401" s="152"/>
      <c r="K401" s="153"/>
      <c r="L401" s="152"/>
      <c r="M401" s="152"/>
      <c r="N401" s="153"/>
      <c r="O401" s="152"/>
      <c r="P401" s="152"/>
      <c r="Q401" s="154"/>
      <c r="V401" s="80"/>
    </row>
    <row r="402" spans="1:22" ht="15" customHeight="1">
      <c r="A402" s="51">
        <v>106</v>
      </c>
      <c r="B402" s="50" t="s">
        <v>19</v>
      </c>
      <c r="C402" s="50" t="s">
        <v>330</v>
      </c>
      <c r="D402" s="49">
        <v>40</v>
      </c>
      <c r="E402" s="49">
        <v>35</v>
      </c>
      <c r="F402" s="50">
        <f t="shared" si="62"/>
        <v>37.5</v>
      </c>
      <c r="G402" s="152"/>
      <c r="H40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Algoritmos,IA devem ser utilizados como ferramenta de auxílio para nós seres humanos a resolver questões complexas, cálculos e outras funções que nosso cerébro não consegue produzir,compreender ou criar uma nova idéia. Porém o uso da IA fora do que ela foi proposta, acarreta na chamada ''burrice artificial'' devido ao uso excessivo para ''quebrar um galho'' ou para finalizar algo que deve ser entregue em uma data que está perto, o resultado é que a pessoa que utiliza o ChatGPT nesse quesito por vezes nem lê o que a ferramenta escreveu.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2" s="152"/>
      <c r="J402" s="152"/>
      <c r="K402" s="153"/>
      <c r="L402" s="152"/>
      <c r="M402" s="152"/>
      <c r="N402" s="153"/>
      <c r="O402" s="152"/>
      <c r="P402" s="152"/>
      <c r="Q402" s="154"/>
      <c r="V402" s="80"/>
    </row>
    <row r="403" spans="1:22" ht="15" customHeight="1">
      <c r="A403" s="49">
        <v>107</v>
      </c>
      <c r="B403" s="50" t="s">
        <v>19</v>
      </c>
      <c r="C403" s="50" t="s">
        <v>333</v>
      </c>
      <c r="D403" s="49">
        <v>10</v>
      </c>
      <c r="E403" s="49">
        <v>25</v>
      </c>
      <c r="F403" s="50">
        <f t="shared" si="62"/>
        <v>17.5</v>
      </c>
      <c r="G403" s="152"/>
      <c r="H40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 que a inteligência artificial abre porta para o ser humano e que deixe os neurônios com um problema a menos para poder focar em outras questões.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3" s="152"/>
      <c r="J403" s="152"/>
      <c r="K403" s="153"/>
      <c r="L403" s="152"/>
      <c r="M403" s="152"/>
      <c r="N403" s="153"/>
      <c r="O403" s="152"/>
      <c r="P403" s="152"/>
      <c r="Q403" s="154"/>
      <c r="V403" s="80"/>
    </row>
    <row r="404" spans="1:22" ht="15" customHeight="1">
      <c r="A404" s="49">
        <v>108</v>
      </c>
      <c r="B404" s="50" t="s">
        <v>19</v>
      </c>
      <c r="C404" s="49" t="s">
        <v>336</v>
      </c>
      <c r="D404" s="49">
        <v>25</v>
      </c>
      <c r="E404" s="49">
        <v>25</v>
      </c>
      <c r="F404" s="50">
        <f t="shared" si="62"/>
        <v>25</v>
      </c>
      <c r="G404" s="152"/>
      <c r="H40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apesar de utilizar uma ferramenta que nos oferta uma resposta pronta, ainda sim, precisamos unir esta resposta aos "nossos próprios neurônios", conforme cita a autora.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4" s="152"/>
      <c r="J404" s="152"/>
      <c r="K404" s="153"/>
      <c r="L404" s="152"/>
      <c r="M404" s="152"/>
      <c r="N404" s="153"/>
      <c r="O404" s="152"/>
      <c r="P404" s="152"/>
      <c r="Q404" s="154"/>
      <c r="V404" s="80"/>
    </row>
    <row r="405" spans="1:22" ht="15" customHeight="1">
      <c r="A405" s="43">
        <v>109</v>
      </c>
      <c r="B405" s="50" t="s">
        <v>19</v>
      </c>
      <c r="C405" s="50" t="s">
        <v>339</v>
      </c>
      <c r="D405" s="49">
        <v>35</v>
      </c>
      <c r="E405" s="49">
        <v>35</v>
      </c>
      <c r="F405" s="50">
        <f t="shared" si="62"/>
        <v>35</v>
      </c>
      <c r="G405" s="152"/>
      <c r="H40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Ferramentas de IA podem ajudar o usuário com tarefas minúsculas e repetitivas para que possa se concentrar em coisas mais importantes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5" s="152"/>
      <c r="J405" s="152"/>
      <c r="K405" s="153"/>
      <c r="L405" s="152"/>
      <c r="M405" s="152"/>
      <c r="N405" s="153"/>
      <c r="O405" s="152"/>
      <c r="P405" s="152"/>
      <c r="Q405" s="154"/>
      <c r="V405" s="80"/>
    </row>
    <row r="406" spans="1:22" ht="15" customHeight="1">
      <c r="A406" s="49">
        <v>110</v>
      </c>
      <c r="B406" s="50" t="s">
        <v>19</v>
      </c>
      <c r="C406" s="50" t="s">
        <v>342</v>
      </c>
      <c r="D406" s="49">
        <v>30</v>
      </c>
      <c r="E406" s="49">
        <v>35</v>
      </c>
      <c r="F406" s="50">
        <f t="shared" si="62"/>
        <v>32.5</v>
      </c>
      <c r="G406" s="152"/>
      <c r="H40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tarefas podem ser otimizadas pela Inteligência Artificial enquanto os neurônios dos seus usuários podem-se engajar em outras atividades.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6" s="152"/>
      <c r="J406" s="152"/>
      <c r="K406" s="153"/>
      <c r="L406" s="152"/>
      <c r="M406" s="152"/>
      <c r="N406" s="153"/>
      <c r="O406" s="152"/>
      <c r="P406" s="152"/>
      <c r="Q406" s="154"/>
      <c r="V406" s="80"/>
    </row>
    <row r="407" spans="1:22" ht="15" customHeight="1">
      <c r="A407" s="49">
        <v>111</v>
      </c>
      <c r="B407" s="50" t="s">
        <v>19</v>
      </c>
      <c r="C407" s="50" t="s">
        <v>345</v>
      </c>
      <c r="D407" s="49">
        <v>10</v>
      </c>
      <c r="E407" s="49">
        <v>5</v>
      </c>
      <c r="F407" s="50">
        <f t="shared" si="62"/>
        <v>7.5</v>
      </c>
      <c r="G407" s="152"/>
      <c r="H40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não é algo que surgiu agora, mas que sempre esteve presente no nosso meio.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7" s="152"/>
      <c r="J407" s="152"/>
      <c r="K407" s="153"/>
      <c r="L407" s="152"/>
      <c r="M407" s="152"/>
      <c r="N407" s="153"/>
      <c r="O407" s="152"/>
      <c r="P407" s="152"/>
      <c r="Q407" s="154"/>
      <c r="V407" s="80"/>
    </row>
    <row r="408" spans="1:22" ht="15" customHeight="1">
      <c r="A408" s="51">
        <v>112</v>
      </c>
      <c r="B408" s="50" t="s">
        <v>19</v>
      </c>
      <c r="C408" s="49" t="s">
        <v>348</v>
      </c>
      <c r="D408" s="49">
        <v>12</v>
      </c>
      <c r="E408" s="49">
        <v>10</v>
      </c>
      <c r="F408" s="50">
        <f t="shared" si="62"/>
        <v>11</v>
      </c>
      <c r="G408" s="152"/>
      <c r="H40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usuário ocupar seus neurônios para outras atividades, enquanto o GPS se preocupa em cálcular a rota, evitar semáforos.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8" s="152"/>
      <c r="J408" s="152"/>
      <c r="K408" s="153"/>
      <c r="L408" s="152"/>
      <c r="M408" s="152"/>
      <c r="N408" s="153"/>
      <c r="O408" s="152"/>
      <c r="P408" s="152"/>
      <c r="Q408" s="154"/>
      <c r="V408" s="80"/>
    </row>
    <row r="409" spans="1:22" ht="15" customHeight="1">
      <c r="A409" s="49">
        <v>113</v>
      </c>
      <c r="B409" s="50" t="s">
        <v>19</v>
      </c>
      <c r="C409" s="49" t="s">
        <v>351</v>
      </c>
      <c r="D409" s="49">
        <v>25</v>
      </c>
      <c r="E409" s="49">
        <v>20</v>
      </c>
      <c r="F409" s="50">
        <f t="shared" si="62"/>
        <v>22.5</v>
      </c>
      <c r="G409" s="152"/>
      <c r="H40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Devemos utilizar tecnologia para auxiliar no desenvolvimento, não para o substituir.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09" s="152"/>
      <c r="J409" s="152"/>
      <c r="K409" s="153"/>
      <c r="L409" s="152"/>
      <c r="M409" s="152"/>
      <c r="N409" s="153"/>
      <c r="O409" s="152"/>
      <c r="P409" s="152"/>
      <c r="Q409" s="154"/>
      <c r="V409" s="80"/>
    </row>
    <row r="410" spans="1:22" ht="15" customHeight="1">
      <c r="A410" s="49">
        <v>114</v>
      </c>
      <c r="B410" s="50" t="s">
        <v>19</v>
      </c>
      <c r="C410" s="50" t="s">
        <v>354</v>
      </c>
      <c r="D410" s="49">
        <v>10</v>
      </c>
      <c r="E410" s="49">
        <v>20</v>
      </c>
      <c r="F410" s="50">
        <f t="shared" si="62"/>
        <v>15</v>
      </c>
      <c r="G410" s="152"/>
      <c r="H41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as pessoas podem utilizar os recursos tecnológicos, como os algoritmos, como forma de facilitação da vida do ser humano.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0" s="152"/>
      <c r="J410" s="152"/>
      <c r="K410" s="153"/>
      <c r="L410" s="152"/>
      <c r="M410" s="152"/>
      <c r="N410" s="153"/>
      <c r="O410" s="152"/>
      <c r="P410" s="152"/>
      <c r="Q410" s="154"/>
      <c r="V410" s="80"/>
    </row>
    <row r="411" spans="1:22" ht="15" customHeight="1">
      <c r="A411" s="43">
        <v>115</v>
      </c>
      <c r="B411" s="50" t="s">
        <v>19</v>
      </c>
      <c r="C411" s="50" t="s">
        <v>357</v>
      </c>
      <c r="D411" s="49">
        <v>30</v>
      </c>
      <c r="E411" s="49">
        <v>35</v>
      </c>
      <c r="F411" s="50">
        <f t="shared" si="62"/>
        <v>32.5</v>
      </c>
      <c r="G411" s="152"/>
      <c r="H41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já é presente no dia a dia, e pode ajudar a resolver coisas simples, que normalmente demandam muito mais tempo quando o ser humano precisa fazer.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1" s="152"/>
      <c r="J411" s="152"/>
      <c r="K411" s="153"/>
      <c r="L411" s="152"/>
      <c r="M411" s="152"/>
      <c r="N411" s="153"/>
      <c r="O411" s="152"/>
      <c r="P411" s="152"/>
      <c r="Q411" s="154"/>
      <c r="V411" s="80"/>
    </row>
    <row r="412" spans="1:22" ht="15" customHeight="1">
      <c r="A412" s="49">
        <v>116</v>
      </c>
      <c r="B412" s="50" t="s">
        <v>19</v>
      </c>
      <c r="C412" s="50" t="s">
        <v>360</v>
      </c>
      <c r="D412" s="49">
        <v>20</v>
      </c>
      <c r="E412" s="49">
        <v>20</v>
      </c>
      <c r="F412" s="50">
        <f t="shared" si="62"/>
        <v>20</v>
      </c>
      <c r="G412" s="152"/>
      <c r="H41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Calculadores inteligentes de rotas (GPS) nos ajudam a fazer mais de uma coisa em um momento só, maximizam nosso tempo para realizarmos mais coisas em menos tempo, atendendo as nossas prioridades e preferências.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2" s="152"/>
      <c r="J412" s="152"/>
      <c r="K412" s="153"/>
      <c r="L412" s="152"/>
      <c r="M412" s="152"/>
      <c r="N412" s="153"/>
      <c r="O412" s="152"/>
      <c r="P412" s="152"/>
      <c r="Q412" s="154"/>
      <c r="V412" s="80"/>
    </row>
    <row r="413" spans="1:22" ht="15" customHeight="1">
      <c r="A413" s="49">
        <v>117</v>
      </c>
      <c r="B413" s="50" t="s">
        <v>19</v>
      </c>
      <c r="C413" s="50" t="s">
        <v>363</v>
      </c>
      <c r="D413" s="49">
        <v>10</v>
      </c>
      <c r="E413" s="49">
        <v>10</v>
      </c>
      <c r="F413" s="50">
        <f t="shared" si="62"/>
        <v>10</v>
      </c>
      <c r="G413" s="152"/>
      <c r="H41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 que certos tipos de tecnologia que estão presentes em nossas vidas podem nos ajudar muito, quando bem utilizadas.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3" s="152"/>
      <c r="J413" s="152"/>
      <c r="K413" s="153"/>
      <c r="L413" s="152"/>
      <c r="M413" s="152"/>
      <c r="N413" s="153"/>
      <c r="O413" s="152"/>
      <c r="P413" s="152"/>
      <c r="Q413" s="154"/>
      <c r="V413" s="80"/>
    </row>
    <row r="414" spans="1:22" ht="15" customHeight="1">
      <c r="A414" s="51">
        <v>118</v>
      </c>
      <c r="B414" s="50" t="s">
        <v>19</v>
      </c>
      <c r="C414" s="50" t="s">
        <v>366</v>
      </c>
      <c r="D414" s="49">
        <v>40</v>
      </c>
      <c r="E414" s="49">
        <v>40</v>
      </c>
      <c r="F414" s="50">
        <f t="shared" si="62"/>
        <v>40</v>
      </c>
      <c r="G414" s="152"/>
      <c r="H41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Assim como o GPS usa seu sitema para calcular as melhores rotas para que o usuário chegue ao seu destido,de forma eficiente. A autora defende o fato de que a Inteligência Artificial também consegue facilitar a vida de seu usuário, utilizando seus algorítimos e dados internos para esse fim.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4" s="152"/>
      <c r="J414" s="152"/>
      <c r="K414" s="153"/>
      <c r="L414" s="152"/>
      <c r="M414" s="152"/>
      <c r="N414" s="153"/>
      <c r="O414" s="152"/>
      <c r="P414" s="152"/>
      <c r="Q414" s="154"/>
      <c r="V414" s="80"/>
    </row>
    <row r="415" spans="1:22" ht="15" customHeight="1">
      <c r="A415" s="49">
        <v>119</v>
      </c>
      <c r="B415" s="49" t="s">
        <v>19</v>
      </c>
      <c r="C415" s="49" t="s">
        <v>369</v>
      </c>
      <c r="D415" s="49">
        <v>20</v>
      </c>
      <c r="E415" s="49">
        <v>20</v>
      </c>
      <c r="F415" s="50">
        <f t="shared" si="62"/>
        <v>20</v>
      </c>
      <c r="G415" s="152"/>
      <c r="H41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O GPS nos ajuda e muito calculando o ponto de partida, de destino, a melhor e mais curta rota, ou seja, ele faz todo o trabalho por nós, otimizando o nosso tempo para que possamos usá-lo em outras prioridades.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5" s="152"/>
      <c r="J415" s="152"/>
      <c r="K415" s="153"/>
      <c r="L415" s="152"/>
      <c r="M415" s="152"/>
      <c r="N415" s="153"/>
      <c r="O415" s="152"/>
      <c r="P415" s="152"/>
      <c r="Q415" s="154"/>
      <c r="V415" s="80"/>
    </row>
    <row r="416" spans="1:22" ht="15" customHeight="1">
      <c r="A416" s="49">
        <v>120</v>
      </c>
      <c r="B416" s="50" t="s">
        <v>19</v>
      </c>
      <c r="C416" s="49" t="s">
        <v>372</v>
      </c>
      <c r="D416" s="49">
        <v>20</v>
      </c>
      <c r="E416" s="49">
        <v>22</v>
      </c>
      <c r="F416" s="50">
        <f t="shared" si="62"/>
        <v>21</v>
      </c>
      <c r="G416" s="152"/>
      <c r="H41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tecnologia do GPS facilita ao usuario uma otimização de tempo e maior satisfação, já que este não mais precisa utilizar de um mapa manual para encontrar seu local de destino.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6" s="152"/>
      <c r="J416" s="152"/>
      <c r="K416" s="153"/>
      <c r="L416" s="152"/>
      <c r="M416" s="152"/>
      <c r="N416" s="153"/>
      <c r="O416" s="152"/>
      <c r="P416" s="152"/>
      <c r="Q416" s="154"/>
      <c r="V416" s="80"/>
    </row>
    <row r="417" spans="1:22" ht="15" customHeight="1">
      <c r="A417" s="43">
        <v>121</v>
      </c>
      <c r="B417" s="50" t="s">
        <v>19</v>
      </c>
      <c r="C417" s="50" t="s">
        <v>375</v>
      </c>
      <c r="D417" s="49">
        <v>20</v>
      </c>
      <c r="E417" s="49">
        <v>20</v>
      </c>
      <c r="F417" s="50">
        <f t="shared" si="62"/>
        <v>20</v>
      </c>
      <c r="G417" s="152"/>
      <c r="H41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legítimos calculadores de rotas e retornam a escolha optimizada enquanto você usa seus próprios neurônios para resolver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7" s="152"/>
      <c r="J417" s="152"/>
      <c r="K417" s="153"/>
      <c r="L417" s="152"/>
      <c r="M417" s="152"/>
      <c r="N417" s="153"/>
      <c r="O417" s="152"/>
      <c r="P417" s="152"/>
      <c r="Q417" s="154"/>
      <c r="V417" s="80"/>
    </row>
    <row r="418" spans="1:22" ht="15" customHeight="1">
      <c r="A418" s="49">
        <v>122</v>
      </c>
      <c r="B418" s="50" t="s">
        <v>19</v>
      </c>
      <c r="C418" s="50" t="s">
        <v>378</v>
      </c>
      <c r="D418" s="49">
        <v>25</v>
      </c>
      <c r="E418" s="49">
        <v>40</v>
      </c>
      <c r="F418" s="50">
        <f t="shared" si="62"/>
        <v>32.5</v>
      </c>
      <c r="G418" s="152"/>
      <c r="H41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tecnologia nos abre o leque de opções, mas nós tomamos a decisão final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8" s="152"/>
      <c r="J418" s="152"/>
      <c r="K418" s="153"/>
      <c r="L418" s="152"/>
      <c r="M418" s="152"/>
      <c r="N418" s="153"/>
      <c r="O418" s="152"/>
      <c r="P418" s="152"/>
      <c r="Q418" s="154"/>
      <c r="V418" s="80"/>
    </row>
    <row r="419" spans="1:22" ht="15" customHeight="1">
      <c r="A419" s="49">
        <v>123</v>
      </c>
      <c r="B419" s="50" t="s">
        <v>19</v>
      </c>
      <c r="C419" s="50" t="s">
        <v>381</v>
      </c>
      <c r="D419" s="49">
        <v>40</v>
      </c>
      <c r="E419" s="49">
        <v>40</v>
      </c>
      <c r="F419" s="50">
        <f t="shared" si="62"/>
        <v>40</v>
      </c>
      <c r="G419" s="152"/>
      <c r="H41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algumas ferramentas de IA são favoráveis ao usuário porque o ajudam a resolver problemas e achar soluções, porque ao invés de limitar sua capacidade cognitiva, ele o auxilia para que sua cabeça se mantenha livre para resolucionar outros problemas.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19" s="152"/>
      <c r="J419" s="152"/>
      <c r="K419" s="153"/>
      <c r="L419" s="152"/>
      <c r="M419" s="152"/>
      <c r="N419" s="153"/>
      <c r="O419" s="152"/>
      <c r="P419" s="152"/>
      <c r="Q419" s="154"/>
      <c r="V419" s="80"/>
    </row>
    <row r="420" spans="1:22" ht="15" customHeight="1">
      <c r="A420" s="51">
        <v>124</v>
      </c>
      <c r="B420" s="50" t="s">
        <v>19</v>
      </c>
      <c r="C420" s="49" t="s">
        <v>384</v>
      </c>
      <c r="D420" s="49">
        <v>40</v>
      </c>
      <c r="E420" s="49">
        <v>40</v>
      </c>
      <c r="F420" s="50">
        <f t="shared" si="62"/>
        <v>40</v>
      </c>
      <c r="G420" s="152"/>
      <c r="H42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pode ser uma excelente aliada nas decisões, facilitando e simplificando processos que tomariam tempo e esforço mental se feito analógicamente, tendo a máquina em função do humano, ao invés de limitar as possibilidades de caminhos - ou seja, o humano em função da máquina.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0" s="152"/>
      <c r="J420" s="152"/>
      <c r="K420" s="153"/>
      <c r="L420" s="152"/>
      <c r="M420" s="152"/>
      <c r="N420" s="153"/>
      <c r="O420" s="152"/>
      <c r="P420" s="152"/>
      <c r="Q420" s="154"/>
      <c r="V420" s="80"/>
    </row>
    <row r="421" spans="1:22" ht="15" customHeight="1">
      <c r="A421" s="49">
        <v>125</v>
      </c>
      <c r="B421" s="50" t="s">
        <v>19</v>
      </c>
      <c r="C421" s="50" t="s">
        <v>387</v>
      </c>
      <c r="D421" s="49">
        <v>10</v>
      </c>
      <c r="E421" s="49">
        <v>0</v>
      </c>
      <c r="F421" s="50">
        <f t="shared" si="62"/>
        <v>5</v>
      </c>
      <c r="G421" s="152"/>
      <c r="H421"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tem muito utilidade e tem nos ajudado muito no dia a dia.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1" s="152"/>
      <c r="J421" s="152"/>
      <c r="K421" s="153"/>
      <c r="L421" s="152"/>
      <c r="M421" s="152"/>
      <c r="N421" s="153"/>
      <c r="O421" s="152"/>
      <c r="P421" s="152"/>
      <c r="Q421" s="154"/>
      <c r="V421" s="80"/>
    </row>
    <row r="422" spans="1:22" ht="15" customHeight="1">
      <c r="A422" s="49">
        <v>126</v>
      </c>
      <c r="B422" s="50" t="s">
        <v>19</v>
      </c>
      <c r="C422" s="50" t="s">
        <v>390</v>
      </c>
      <c r="D422" s="49">
        <v>20</v>
      </c>
      <c r="E422" s="49">
        <v>30</v>
      </c>
      <c r="F422" s="50">
        <f t="shared" si="62"/>
        <v>25</v>
      </c>
      <c r="G422" s="152"/>
      <c r="H422"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deve ser usada para auxiliar as pessoas e não deixar as pessoas burras sem deixar com que elas explorem os horizontes e vão além de seus limites.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2" s="152"/>
      <c r="J422" s="152"/>
      <c r="K422" s="153"/>
      <c r="L422" s="152"/>
      <c r="M422" s="152"/>
      <c r="N422" s="153"/>
      <c r="O422" s="152"/>
      <c r="P422" s="152"/>
      <c r="Q422" s="154"/>
      <c r="V422" s="80"/>
    </row>
    <row r="423" spans="1:22" ht="15" customHeight="1">
      <c r="A423" s="43">
        <v>127</v>
      </c>
      <c r="B423" s="50" t="s">
        <v>19</v>
      </c>
      <c r="C423" s="50" t="s">
        <v>393</v>
      </c>
      <c r="D423" s="49">
        <v>10</v>
      </c>
      <c r="E423" s="49">
        <v>10</v>
      </c>
      <c r="F423" s="50">
        <f t="shared" si="62"/>
        <v>10</v>
      </c>
      <c r="G423" s="152"/>
      <c r="H423"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De que assim como o GPS podemos utilizar nossos neurônios para nos lembrar de rotas ou até mesmo de outras situações que acabam nos fugindo da memoria, assim como o GPS podemos sempre de alguma forma reforçar os pensamentos.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3" s="152"/>
      <c r="J423" s="152"/>
      <c r="K423" s="153"/>
      <c r="L423" s="152"/>
      <c r="M423" s="152"/>
      <c r="N423" s="153"/>
      <c r="O423" s="152"/>
      <c r="P423" s="152"/>
      <c r="Q423" s="154"/>
      <c r="V423" s="80"/>
    </row>
    <row r="424" spans="1:22" ht="15" customHeight="1">
      <c r="A424" s="49">
        <v>128</v>
      </c>
      <c r="B424" s="50" t="s">
        <v>19</v>
      </c>
      <c r="C424" s="50" t="s">
        <v>396</v>
      </c>
      <c r="D424" s="49">
        <v>0</v>
      </c>
      <c r="E424" s="49">
        <v>0</v>
      </c>
      <c r="F424" s="50">
        <f t="shared" si="62"/>
        <v>0</v>
      </c>
      <c r="G424" s="152"/>
      <c r="H424"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Não podemos ficar dependentes somente das tecnologias artificiais esperando respostas prontas sem usar a nossa própia capacidade .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4" s="152"/>
      <c r="J424" s="152"/>
      <c r="K424" s="153"/>
      <c r="L424" s="152"/>
      <c r="M424" s="152"/>
      <c r="N424" s="153"/>
      <c r="O424" s="152"/>
      <c r="P424" s="152"/>
      <c r="Q424" s="154"/>
      <c r="V424" s="80"/>
    </row>
    <row r="425" spans="1:22" ht="15" customHeight="1">
      <c r="A425" s="49">
        <v>129</v>
      </c>
      <c r="B425" s="50" t="s">
        <v>19</v>
      </c>
      <c r="C425" s="49" t="s">
        <v>399</v>
      </c>
      <c r="D425" s="49">
        <v>25</v>
      </c>
      <c r="E425" s="49">
        <v>25</v>
      </c>
      <c r="F425" s="50">
        <f t="shared" si="62"/>
        <v>25</v>
      </c>
      <c r="G425" s="152"/>
      <c r="H425"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Não só a inteligência artificial é algo que pode ser utilizado de forma inteligente e eficaz, que realmente pode facilitar a nossa vida, como também a importância de seu aprimoramento para que esta tecnologia continue a ser utilizada de forma inteligente.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5" s="152"/>
      <c r="J425" s="152"/>
      <c r="K425" s="153"/>
      <c r="L425" s="152"/>
      <c r="M425" s="152"/>
      <c r="N425" s="153"/>
      <c r="O425" s="152"/>
      <c r="P425" s="152"/>
      <c r="Q425" s="154"/>
      <c r="V425" s="80"/>
    </row>
    <row r="426" spans="1:22" ht="15" customHeight="1">
      <c r="A426" s="51">
        <v>130</v>
      </c>
      <c r="B426" s="50" t="s">
        <v>19</v>
      </c>
      <c r="C426" s="49" t="s">
        <v>402</v>
      </c>
      <c r="D426" s="49">
        <v>10</v>
      </c>
      <c r="E426" s="49">
        <v>10</v>
      </c>
      <c r="F426" s="50">
        <f t="shared" si="62"/>
        <v>10</v>
      </c>
      <c r="G426" s="152"/>
      <c r="H426"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Ele age rapidamente na escolha que melhor se adapta ao usuário, tomando menos tempo em trâmsito.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6" s="152"/>
      <c r="J426" s="152"/>
      <c r="K426" s="153"/>
      <c r="L426" s="152"/>
      <c r="M426" s="152"/>
      <c r="N426" s="153"/>
      <c r="O426" s="152"/>
      <c r="P426" s="152"/>
      <c r="Q426" s="154"/>
      <c r="V426" s="80"/>
    </row>
    <row r="427" spans="1:22" ht="15" customHeight="1">
      <c r="A427" s="49">
        <v>131</v>
      </c>
      <c r="B427" s="50" t="s">
        <v>19</v>
      </c>
      <c r="C427" s="50" t="s">
        <v>405</v>
      </c>
      <c r="D427" s="49">
        <v>40</v>
      </c>
      <c r="E427" s="49">
        <v>40</v>
      </c>
      <c r="F427" s="50">
        <f t="shared" si="62"/>
        <v>40</v>
      </c>
      <c r="G427" s="152"/>
      <c r="H427"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inteligência artificial pode auxiliar no processo de tomada de decisão do ser humano, apresentando alternativas que podem ser usadas para facilitar a escolha de alguma coisa. No caso do GPS, seria um exemplo de inteligência artificial bem sucedida pois apresenta rotas alternativas à quem busca informações de localização.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7" s="152"/>
      <c r="J427" s="152"/>
      <c r="K427" s="153"/>
      <c r="L427" s="152"/>
      <c r="M427" s="152"/>
      <c r="N427" s="153"/>
      <c r="O427" s="152"/>
      <c r="P427" s="152"/>
      <c r="Q427" s="154"/>
      <c r="V427" s="80"/>
    </row>
    <row r="428" spans="1:22" ht="15" customHeight="1">
      <c r="A428" s="49">
        <v>132</v>
      </c>
      <c r="B428" s="50" t="s">
        <v>19</v>
      </c>
      <c r="C428" s="50" t="s">
        <v>408</v>
      </c>
      <c r="D428" s="49">
        <v>0</v>
      </c>
      <c r="E428" s="49">
        <v>0</v>
      </c>
      <c r="F428" s="50">
        <f t="shared" si="62"/>
        <v>0</v>
      </c>
      <c r="G428" s="152"/>
      <c r="H428"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São legitimos calculadores inteligente  de rotas.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8" s="152"/>
      <c r="J428" s="152"/>
      <c r="K428" s="153"/>
      <c r="L428" s="152"/>
      <c r="M428" s="152"/>
      <c r="N428" s="153"/>
      <c r="O428" s="152"/>
      <c r="P428" s="152"/>
      <c r="Q428" s="154"/>
      <c r="V428" s="80"/>
    </row>
    <row r="429" spans="1:22" ht="15" customHeight="1">
      <c r="A429" s="43">
        <v>133</v>
      </c>
      <c r="B429" s="50" t="s">
        <v>19</v>
      </c>
      <c r="C429" s="50" t="s">
        <v>411</v>
      </c>
      <c r="D429" s="49">
        <v>20</v>
      </c>
      <c r="E429" s="49">
        <v>10</v>
      </c>
      <c r="F429" s="50">
        <f t="shared" si="62"/>
        <v>15</v>
      </c>
      <c r="G429" s="152"/>
      <c r="H429"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usam algoritimos que trazem flexibilidade cognitiva a quem o usa, pois torna a rota mais fácil, considerando as preferências e necessidades do motorista.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29" s="152"/>
      <c r="J429" s="152"/>
      <c r="K429" s="153"/>
      <c r="L429" s="152"/>
      <c r="M429" s="152"/>
      <c r="N429" s="153"/>
      <c r="O429" s="152"/>
      <c r="P429" s="152"/>
      <c r="Q429" s="154"/>
      <c r="V429" s="80"/>
    </row>
    <row r="430" spans="1:22" ht="15" customHeight="1">
      <c r="A430" s="43">
        <v>134</v>
      </c>
      <c r="B430" s="50" t="s">
        <v>19</v>
      </c>
      <c r="C430" s="50" t="s">
        <v>414</v>
      </c>
      <c r="D430" s="49">
        <v>10</v>
      </c>
      <c r="E430" s="49">
        <v>10</v>
      </c>
      <c r="F430" s="49">
        <v>10</v>
      </c>
      <c r="G430" s="152"/>
      <c r="H430" s="46" t="str">
        <f t="shared" si="61"/>
        <v>Contexto: Você está corrigindo uma atividade de interpretação textual de um curso de ensino superior.
Papel: Assuma o papel de um professor universitário avaliando objetivamente a resposta de um estudante.
O enunciado da questão está entre os marcadores ###:
###
Complete a frase a seguir: NO TEXTO, A AUTORA USA O GPS COMO UM EXEMPLO PARA DEFENDER A IDEIA DE QUE...
###
A resposta do aluno está entre os marcadores ##:
##
A tecnologia aliada a mente humana funciona. 
##
Resposta esperada: ... a IA / os algoritmos podem auxiliar a realizar escolhas (e usar a inteligência/cabeça para outras coisas); ou ... a IA não é uma ferramenta de escolha no lugar do ser humano.
Critérios de avaliação: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       
Pontuações intermediárias (5, 15, 25, 35) podem ser atribuídas quando a resposta estiver entre dois níveis da escala.
Regras adicionais:
- Erros gramaticais não devem influenciar a nota.
- Respostas muito curtas podem ser válidas se expressarem corretamente a ideia central.
- Respostas que não completam o enunciado não devem receber mais que 10 pontos.
Procedimento de avaliação (realize o raciocínio internamente e não o apresente):
1. Compare a resposta do aluno com a resposta esperada.
2. Classifique a resposta segundo os critérios da escala.
3. Ajuste a pontuação se necessário usando valores intermediários.
Saída esperada:
Retorne apenas a nota final entre os valores possíveis: 0, 5, 10, 15, 20, 25, 30, 35 ou 40
Não inclua explicações ou qualquer outro texto.</v>
      </c>
      <c r="I430" s="152"/>
      <c r="J430" s="152"/>
      <c r="K430" s="153"/>
      <c r="L430" s="152"/>
      <c r="M430" s="152"/>
      <c r="N430" s="153"/>
      <c r="O430" s="152"/>
      <c r="P430" s="152"/>
      <c r="Q430" s="154"/>
      <c r="V430" s="80"/>
    </row>
    <row r="431" spans="1:22">
      <c r="H431" s="154"/>
      <c r="K431" s="154"/>
      <c r="N431" s="154"/>
      <c r="Q431" s="154"/>
      <c r="V431" s="80"/>
    </row>
    <row r="432" spans="1:22">
      <c r="H432" s="154"/>
      <c r="K432" s="154"/>
      <c r="N432" s="154"/>
      <c r="Q432" s="154"/>
      <c r="V432" s="80"/>
    </row>
    <row r="433" spans="8:22">
      <c r="H433" s="154"/>
      <c r="K433" s="154"/>
      <c r="N433" s="154"/>
      <c r="Q433" s="154"/>
      <c r="V433" s="80"/>
    </row>
    <row r="434" spans="8:22">
      <c r="H434" s="154"/>
      <c r="K434" s="154"/>
      <c r="N434" s="154"/>
      <c r="Q434" s="154"/>
      <c r="V434" s="80"/>
    </row>
    <row r="435" spans="8:22">
      <c r="H435" s="154"/>
      <c r="K435" s="154"/>
      <c r="N435" s="154"/>
      <c r="Q435" s="154"/>
      <c r="V435" s="80"/>
    </row>
    <row r="436" spans="8:22">
      <c r="H436" s="154"/>
      <c r="K436" s="154"/>
      <c r="N436" s="154"/>
      <c r="Q436" s="154"/>
      <c r="V436" s="80"/>
    </row>
    <row r="437" spans="8:22">
      <c r="H437" s="154"/>
      <c r="K437" s="154"/>
      <c r="N437" s="154"/>
      <c r="Q437" s="154"/>
      <c r="V437" s="80"/>
    </row>
    <row r="438" spans="8:22">
      <c r="H438" s="154"/>
      <c r="K438" s="154"/>
      <c r="N438" s="154"/>
      <c r="Q438" s="154"/>
      <c r="V438" s="80"/>
    </row>
    <row r="439" spans="8:22">
      <c r="H439" s="154"/>
      <c r="K439" s="154"/>
      <c r="N439" s="154"/>
      <c r="Q439" s="154"/>
      <c r="V439" s="80"/>
    </row>
    <row r="440" spans="8:22">
      <c r="H440" s="154"/>
      <c r="K440" s="154"/>
      <c r="N440" s="154"/>
      <c r="Q440" s="154"/>
      <c r="V440" s="80"/>
    </row>
    <row r="441" spans="8:22">
      <c r="H441" s="154"/>
      <c r="K441" s="154"/>
      <c r="N441" s="154"/>
      <c r="Q441" s="154"/>
      <c r="V441" s="80"/>
    </row>
    <row r="442" spans="8:22">
      <c r="H442" s="154"/>
      <c r="K442" s="154"/>
      <c r="N442" s="154"/>
      <c r="Q442" s="154"/>
      <c r="V442" s="80"/>
    </row>
    <row r="443" spans="8:22">
      <c r="H443" s="154"/>
      <c r="K443" s="154"/>
      <c r="N443" s="154"/>
      <c r="Q443" s="154"/>
      <c r="V443" s="80"/>
    </row>
    <row r="444" spans="8:22">
      <c r="H444" s="154"/>
      <c r="K444" s="154"/>
      <c r="N444" s="154"/>
      <c r="Q444" s="154"/>
      <c r="V444" s="80"/>
    </row>
    <row r="445" spans="8:22">
      <c r="H445" s="154"/>
      <c r="K445" s="154"/>
      <c r="N445" s="154"/>
      <c r="Q445" s="154"/>
      <c r="V445" s="80"/>
    </row>
    <row r="446" spans="8:22">
      <c r="H446" s="154"/>
      <c r="K446" s="154"/>
      <c r="N446" s="154"/>
      <c r="Q446" s="154"/>
      <c r="V446" s="80"/>
    </row>
    <row r="447" spans="8:22">
      <c r="H447" s="154"/>
      <c r="K447" s="154"/>
      <c r="N447" s="154"/>
      <c r="Q447" s="154"/>
      <c r="V447" s="80"/>
    </row>
    <row r="448" spans="8:22">
      <c r="H448" s="154"/>
      <c r="K448" s="154"/>
      <c r="N448" s="154"/>
      <c r="Q448" s="154"/>
      <c r="V448" s="80"/>
    </row>
    <row r="449" spans="8:22">
      <c r="H449" s="154"/>
      <c r="K449" s="154"/>
      <c r="N449" s="154"/>
      <c r="Q449" s="154"/>
      <c r="V449" s="80"/>
    </row>
    <row r="450" spans="8:22">
      <c r="H450" s="154"/>
      <c r="K450" s="154"/>
      <c r="N450" s="154"/>
      <c r="Q450" s="154"/>
      <c r="V450" s="80"/>
    </row>
    <row r="451" spans="8:22">
      <c r="H451" s="154"/>
      <c r="K451" s="154"/>
      <c r="N451" s="154"/>
      <c r="Q451" s="154"/>
      <c r="V451" s="80"/>
    </row>
    <row r="452" spans="8:22">
      <c r="H452" s="154"/>
      <c r="K452" s="154"/>
      <c r="N452" s="154"/>
      <c r="Q452" s="154"/>
      <c r="V452" s="80"/>
    </row>
    <row r="453" spans="8:22">
      <c r="H453" s="154"/>
      <c r="K453" s="154"/>
      <c r="N453" s="154"/>
      <c r="Q453" s="154"/>
      <c r="V453" s="80"/>
    </row>
    <row r="454" spans="8:22">
      <c r="H454" s="154"/>
      <c r="K454" s="154"/>
      <c r="N454" s="154"/>
      <c r="Q454" s="154"/>
      <c r="V454" s="80"/>
    </row>
    <row r="455" spans="8:22">
      <c r="H455" s="154"/>
      <c r="K455" s="154"/>
      <c r="N455" s="154"/>
      <c r="Q455" s="154"/>
      <c r="V455" s="80"/>
    </row>
    <row r="456" spans="8:22">
      <c r="H456" s="154"/>
      <c r="K456" s="154"/>
      <c r="N456" s="154"/>
      <c r="Q456" s="154"/>
      <c r="V456" s="80"/>
    </row>
    <row r="457" spans="8:22">
      <c r="H457" s="154"/>
      <c r="K457" s="154"/>
      <c r="N457" s="154"/>
      <c r="Q457" s="154"/>
      <c r="V457" s="80"/>
    </row>
    <row r="458" spans="8:22">
      <c r="H458" s="154"/>
      <c r="K458" s="154"/>
      <c r="N458" s="154"/>
      <c r="Q458" s="154"/>
      <c r="V458" s="80"/>
    </row>
    <row r="459" spans="8:22">
      <c r="H459" s="154"/>
      <c r="K459" s="154"/>
      <c r="N459" s="154"/>
      <c r="Q459" s="154"/>
      <c r="V459" s="80"/>
    </row>
    <row r="460" spans="8:22">
      <c r="H460" s="154"/>
      <c r="K460" s="154"/>
      <c r="N460" s="154"/>
      <c r="Q460" s="154"/>
      <c r="V460" s="80"/>
    </row>
    <row r="461" spans="8:22">
      <c r="H461" s="154"/>
      <c r="K461" s="154"/>
      <c r="N461" s="154"/>
      <c r="Q461" s="154"/>
      <c r="V461" s="80"/>
    </row>
    <row r="462" spans="8:22">
      <c r="H462" s="154"/>
      <c r="K462" s="154"/>
      <c r="N462" s="154"/>
      <c r="Q462" s="154"/>
      <c r="V462" s="80"/>
    </row>
    <row r="463" spans="8:22">
      <c r="H463" s="154"/>
      <c r="K463" s="154"/>
      <c r="N463" s="154"/>
      <c r="Q463" s="154"/>
      <c r="V463" s="80"/>
    </row>
    <row r="464" spans="8:22">
      <c r="H464" s="154"/>
      <c r="K464" s="154"/>
      <c r="N464" s="154"/>
      <c r="Q464" s="154"/>
      <c r="V464" s="80"/>
    </row>
    <row r="465" spans="8:22">
      <c r="H465" s="154"/>
      <c r="K465" s="154"/>
      <c r="N465" s="154"/>
      <c r="Q465" s="154"/>
      <c r="V465" s="80"/>
    </row>
    <row r="466" spans="8:22">
      <c r="H466" s="154"/>
      <c r="K466" s="154"/>
      <c r="N466" s="154"/>
      <c r="Q466" s="154"/>
      <c r="V466" s="80"/>
    </row>
    <row r="467" spans="8:22">
      <c r="H467" s="154"/>
      <c r="K467" s="154"/>
      <c r="N467" s="154"/>
      <c r="Q467" s="154"/>
      <c r="V467" s="80"/>
    </row>
    <row r="468" spans="8:22">
      <c r="H468" s="154"/>
      <c r="K468" s="154"/>
      <c r="N468" s="154"/>
      <c r="Q468" s="154"/>
      <c r="V468" s="80"/>
    </row>
    <row r="469" spans="8:22">
      <c r="H469" s="154"/>
      <c r="K469" s="154"/>
      <c r="N469" s="154"/>
      <c r="Q469" s="154"/>
      <c r="V469" s="80"/>
    </row>
    <row r="470" spans="8:22">
      <c r="H470" s="154"/>
      <c r="K470" s="154"/>
      <c r="N470" s="154"/>
      <c r="Q470" s="154"/>
      <c r="V470" s="80"/>
    </row>
    <row r="471" spans="8:22">
      <c r="H471" s="154"/>
      <c r="K471" s="154"/>
      <c r="N471" s="154"/>
      <c r="Q471" s="154"/>
      <c r="V471" s="80"/>
    </row>
    <row r="472" spans="8:22">
      <c r="H472" s="154"/>
      <c r="K472" s="154"/>
      <c r="N472" s="154"/>
      <c r="Q472" s="154"/>
      <c r="V472" s="80"/>
    </row>
    <row r="473" spans="8:22">
      <c r="H473" s="154"/>
      <c r="K473" s="154"/>
      <c r="N473" s="154"/>
      <c r="Q473" s="154"/>
      <c r="V473" s="80"/>
    </row>
    <row r="474" spans="8:22">
      <c r="H474" s="154"/>
      <c r="K474" s="154"/>
      <c r="N474" s="154"/>
      <c r="Q474" s="154"/>
      <c r="V474" s="80"/>
    </row>
    <row r="475" spans="8:22">
      <c r="H475" s="154"/>
      <c r="K475" s="154"/>
      <c r="N475" s="154"/>
      <c r="Q475" s="154"/>
      <c r="V475" s="80"/>
    </row>
    <row r="476" spans="8:22">
      <c r="H476" s="154"/>
      <c r="K476" s="154"/>
      <c r="N476" s="154"/>
      <c r="Q476" s="154"/>
      <c r="V476" s="80"/>
    </row>
    <row r="477" spans="8:22">
      <c r="H477" s="154"/>
      <c r="K477" s="154"/>
      <c r="N477" s="154"/>
      <c r="Q477" s="154"/>
      <c r="V477" s="80"/>
    </row>
    <row r="478" spans="8:22">
      <c r="H478" s="154"/>
      <c r="K478" s="154"/>
      <c r="N478" s="154"/>
      <c r="Q478" s="154"/>
      <c r="V478" s="80"/>
    </row>
    <row r="479" spans="8:22">
      <c r="H479" s="154"/>
      <c r="K479" s="154"/>
      <c r="N479" s="154"/>
      <c r="Q479" s="154"/>
      <c r="V479" s="80"/>
    </row>
    <row r="480" spans="8:22">
      <c r="H480" s="154"/>
      <c r="K480" s="154"/>
      <c r="N480" s="154"/>
      <c r="Q480" s="154"/>
      <c r="V480" s="80"/>
    </row>
    <row r="481" spans="8:22">
      <c r="H481" s="154"/>
      <c r="K481" s="154"/>
      <c r="N481" s="154"/>
      <c r="Q481" s="154"/>
      <c r="V481" s="80"/>
    </row>
    <row r="482" spans="8:22">
      <c r="H482" s="154"/>
      <c r="K482" s="154"/>
      <c r="N482" s="154"/>
      <c r="Q482" s="154"/>
      <c r="V482" s="80"/>
    </row>
    <row r="483" spans="8:22">
      <c r="H483" s="154"/>
      <c r="K483" s="154"/>
      <c r="N483" s="154"/>
      <c r="Q483" s="154"/>
      <c r="V483" s="80"/>
    </row>
    <row r="484" spans="8:22">
      <c r="H484" s="154"/>
      <c r="K484" s="154"/>
      <c r="N484" s="154"/>
      <c r="Q484" s="154"/>
      <c r="V484" s="80"/>
    </row>
    <row r="485" spans="8:22">
      <c r="H485" s="154"/>
      <c r="K485" s="154"/>
      <c r="N485" s="154"/>
      <c r="Q485" s="154"/>
      <c r="V485" s="80"/>
    </row>
    <row r="486" spans="8:22">
      <c r="H486" s="154"/>
      <c r="K486" s="154"/>
      <c r="N486" s="154"/>
      <c r="Q486" s="154"/>
      <c r="V486" s="80"/>
    </row>
    <row r="487" spans="8:22">
      <c r="H487" s="154"/>
      <c r="K487" s="154"/>
      <c r="N487" s="154"/>
      <c r="Q487" s="154"/>
      <c r="V487" s="80"/>
    </row>
    <row r="488" spans="8:22">
      <c r="H488" s="154"/>
      <c r="K488" s="154"/>
      <c r="N488" s="154"/>
      <c r="Q488" s="154"/>
      <c r="V488" s="80"/>
    </row>
    <row r="489" spans="8:22">
      <c r="H489" s="154"/>
      <c r="K489" s="154"/>
      <c r="N489" s="154"/>
      <c r="Q489" s="154"/>
      <c r="V489" s="80"/>
    </row>
    <row r="490" spans="8:22">
      <c r="H490" s="154"/>
      <c r="K490" s="154"/>
      <c r="N490" s="154"/>
      <c r="Q490" s="154"/>
      <c r="V490" s="80"/>
    </row>
    <row r="491" spans="8:22">
      <c r="H491" s="154"/>
      <c r="K491" s="154"/>
      <c r="N491" s="154"/>
      <c r="Q491" s="154"/>
      <c r="V491" s="80"/>
    </row>
    <row r="492" spans="8:22">
      <c r="H492" s="154"/>
      <c r="K492" s="154"/>
      <c r="N492" s="154"/>
      <c r="Q492" s="154"/>
      <c r="V492" s="80"/>
    </row>
    <row r="493" spans="8:22">
      <c r="H493" s="154"/>
      <c r="K493" s="154"/>
      <c r="N493" s="154"/>
      <c r="Q493" s="154"/>
      <c r="V493" s="80"/>
    </row>
    <row r="494" spans="8:22">
      <c r="H494" s="154"/>
      <c r="K494" s="154"/>
      <c r="N494" s="154"/>
      <c r="Q494" s="154"/>
      <c r="V494" s="80"/>
    </row>
    <row r="495" spans="8:22">
      <c r="H495" s="154"/>
      <c r="K495" s="154"/>
      <c r="N495" s="154"/>
      <c r="Q495" s="154"/>
      <c r="V495" s="80"/>
    </row>
    <row r="496" spans="8:22">
      <c r="H496" s="154"/>
      <c r="K496" s="154"/>
      <c r="N496" s="154"/>
      <c r="Q496" s="154"/>
      <c r="V496" s="80"/>
    </row>
    <row r="497" spans="8:22">
      <c r="H497" s="154"/>
      <c r="K497" s="154"/>
      <c r="N497" s="154"/>
      <c r="Q497" s="154"/>
      <c r="V497" s="80"/>
    </row>
    <row r="498" spans="8:22">
      <c r="H498" s="154"/>
      <c r="K498" s="154"/>
      <c r="N498" s="154"/>
      <c r="Q498" s="154"/>
      <c r="V498" s="80"/>
    </row>
    <row r="499" spans="8:22">
      <c r="H499" s="154"/>
      <c r="K499" s="154"/>
      <c r="N499" s="154"/>
      <c r="Q499" s="154"/>
      <c r="V499" s="80"/>
    </row>
    <row r="500" spans="8:22">
      <c r="H500" s="154"/>
      <c r="K500" s="154"/>
      <c r="N500" s="154"/>
      <c r="Q500" s="154"/>
      <c r="V500" s="80"/>
    </row>
    <row r="501" spans="8:22">
      <c r="H501" s="154"/>
      <c r="K501" s="154"/>
      <c r="N501" s="154"/>
      <c r="Q501" s="154"/>
      <c r="V501" s="80"/>
    </row>
    <row r="502" spans="8:22">
      <c r="H502" s="154"/>
      <c r="K502" s="154"/>
      <c r="N502" s="154"/>
      <c r="Q502" s="154"/>
      <c r="V502" s="80"/>
    </row>
    <row r="503" spans="8:22">
      <c r="H503" s="154"/>
      <c r="K503" s="154"/>
      <c r="N503" s="154"/>
      <c r="Q503" s="154"/>
      <c r="V503" s="80"/>
    </row>
    <row r="504" spans="8:22">
      <c r="H504" s="154"/>
      <c r="K504" s="154"/>
      <c r="N504" s="154"/>
      <c r="Q504" s="154"/>
      <c r="V504" s="80"/>
    </row>
    <row r="505" spans="8:22">
      <c r="H505" s="154"/>
      <c r="K505" s="154"/>
      <c r="N505" s="154"/>
      <c r="Q505" s="154"/>
      <c r="V505" s="80"/>
    </row>
    <row r="506" spans="8:22">
      <c r="H506" s="154"/>
      <c r="K506" s="154"/>
      <c r="N506" s="154"/>
      <c r="Q506" s="154"/>
      <c r="V506" s="80"/>
    </row>
    <row r="507" spans="8:22">
      <c r="H507" s="154"/>
      <c r="K507" s="154"/>
      <c r="N507" s="154"/>
      <c r="Q507" s="154"/>
      <c r="V507" s="80"/>
    </row>
    <row r="508" spans="8:22">
      <c r="H508" s="154"/>
      <c r="K508" s="154"/>
      <c r="N508" s="154"/>
      <c r="Q508" s="154"/>
      <c r="V508" s="80"/>
    </row>
    <row r="509" spans="8:22">
      <c r="H509" s="154"/>
      <c r="K509" s="154"/>
      <c r="N509" s="154"/>
      <c r="Q509" s="154"/>
      <c r="V509" s="80"/>
    </row>
    <row r="510" spans="8:22">
      <c r="H510" s="154"/>
      <c r="K510" s="154"/>
      <c r="N510" s="154"/>
      <c r="Q510" s="154"/>
      <c r="V510" s="80"/>
    </row>
    <row r="511" spans="8:22">
      <c r="H511" s="154"/>
      <c r="K511" s="154"/>
      <c r="N511" s="154"/>
      <c r="Q511" s="154"/>
      <c r="V511" s="80"/>
    </row>
    <row r="512" spans="8:22">
      <c r="H512" s="154"/>
      <c r="K512" s="154"/>
      <c r="N512" s="154"/>
      <c r="Q512" s="154"/>
      <c r="V512" s="80"/>
    </row>
    <row r="513" spans="8:22">
      <c r="H513" s="154"/>
      <c r="K513" s="154"/>
      <c r="N513" s="154"/>
      <c r="Q513" s="154"/>
      <c r="V513" s="80"/>
    </row>
    <row r="514" spans="8:22">
      <c r="H514" s="154"/>
      <c r="K514" s="154"/>
      <c r="N514" s="154"/>
      <c r="Q514" s="154"/>
      <c r="V514" s="80"/>
    </row>
    <row r="515" spans="8:22">
      <c r="H515" s="154"/>
      <c r="K515" s="154"/>
      <c r="N515" s="154"/>
      <c r="Q515" s="154"/>
      <c r="V515" s="80"/>
    </row>
    <row r="516" spans="8:22">
      <c r="H516" s="154"/>
      <c r="K516" s="154"/>
      <c r="N516" s="154"/>
      <c r="Q516" s="154"/>
      <c r="V516" s="80"/>
    </row>
    <row r="517" spans="8:22">
      <c r="H517" s="154"/>
      <c r="K517" s="154"/>
      <c r="N517" s="154"/>
      <c r="Q517" s="154"/>
      <c r="V517" s="80"/>
    </row>
    <row r="518" spans="8:22">
      <c r="H518" s="154"/>
      <c r="K518" s="154"/>
      <c r="N518" s="154"/>
      <c r="Q518" s="154"/>
      <c r="V518" s="80"/>
    </row>
    <row r="519" spans="8:22">
      <c r="H519" s="154"/>
      <c r="K519" s="154"/>
      <c r="N519" s="154"/>
      <c r="Q519" s="154"/>
      <c r="V519" s="80"/>
    </row>
    <row r="520" spans="8:22">
      <c r="H520" s="154"/>
      <c r="K520" s="154"/>
      <c r="N520" s="154"/>
      <c r="Q520" s="154"/>
      <c r="V520" s="80"/>
    </row>
    <row r="521" spans="8:22">
      <c r="H521" s="154"/>
      <c r="K521" s="154"/>
      <c r="N521" s="154"/>
      <c r="Q521" s="154"/>
      <c r="V521" s="80"/>
    </row>
    <row r="522" spans="8:22">
      <c r="H522" s="154"/>
      <c r="K522" s="154"/>
      <c r="N522" s="154"/>
      <c r="Q522" s="154"/>
      <c r="V522" s="80"/>
    </row>
    <row r="523" spans="8:22">
      <c r="H523" s="154"/>
      <c r="K523" s="154"/>
      <c r="N523" s="154"/>
      <c r="Q523" s="154"/>
      <c r="V523" s="80"/>
    </row>
    <row r="524" spans="8:22">
      <c r="H524" s="154"/>
      <c r="K524" s="154"/>
      <c r="N524" s="154"/>
      <c r="Q524" s="154"/>
      <c r="V524" s="80"/>
    </row>
    <row r="525" spans="8:22">
      <c r="H525" s="154"/>
      <c r="K525" s="154"/>
      <c r="N525" s="154"/>
      <c r="Q525" s="154"/>
      <c r="V525" s="80"/>
    </row>
    <row r="526" spans="8:22">
      <c r="H526" s="154"/>
      <c r="K526" s="154"/>
      <c r="N526" s="154"/>
      <c r="Q526" s="154"/>
      <c r="V526" s="80"/>
    </row>
    <row r="527" spans="8:22">
      <c r="H527" s="154"/>
      <c r="K527" s="154"/>
      <c r="N527" s="154"/>
      <c r="Q527" s="154"/>
      <c r="V527" s="80"/>
    </row>
    <row r="528" spans="8:22">
      <c r="H528" s="154"/>
      <c r="K528" s="154"/>
      <c r="N528" s="154"/>
      <c r="Q528" s="154"/>
      <c r="V528" s="80"/>
    </row>
    <row r="529" spans="8:22">
      <c r="H529" s="154"/>
      <c r="K529" s="154"/>
      <c r="N529" s="154"/>
      <c r="Q529" s="154"/>
      <c r="V529" s="80"/>
    </row>
    <row r="530" spans="8:22">
      <c r="H530" s="154"/>
      <c r="K530" s="154"/>
      <c r="N530" s="154"/>
      <c r="Q530" s="154"/>
      <c r="V530" s="80"/>
    </row>
    <row r="531" spans="8:22">
      <c r="H531" s="154"/>
      <c r="K531" s="154"/>
      <c r="N531" s="154"/>
      <c r="Q531" s="154"/>
      <c r="V531" s="80"/>
    </row>
    <row r="532" spans="8:22">
      <c r="H532" s="154"/>
      <c r="K532" s="154"/>
      <c r="N532" s="154"/>
      <c r="Q532" s="154"/>
      <c r="V532" s="80"/>
    </row>
    <row r="533" spans="8:22">
      <c r="H533" s="154"/>
      <c r="K533" s="154"/>
      <c r="N533" s="154"/>
      <c r="Q533" s="154"/>
      <c r="V533" s="80"/>
    </row>
    <row r="534" spans="8:22">
      <c r="H534" s="154"/>
      <c r="K534" s="154"/>
      <c r="N534" s="154"/>
      <c r="Q534" s="154"/>
      <c r="V534" s="80"/>
    </row>
    <row r="535" spans="8:22">
      <c r="H535" s="154"/>
      <c r="K535" s="154"/>
      <c r="N535" s="154"/>
      <c r="Q535" s="154"/>
      <c r="V535" s="80"/>
    </row>
    <row r="536" spans="8:22">
      <c r="H536" s="154"/>
      <c r="K536" s="154"/>
      <c r="N536" s="154"/>
      <c r="Q536" s="154"/>
      <c r="V536" s="80"/>
    </row>
    <row r="537" spans="8:22">
      <c r="H537" s="154"/>
      <c r="K537" s="154"/>
      <c r="N537" s="154"/>
      <c r="Q537" s="154"/>
      <c r="V537" s="80"/>
    </row>
    <row r="538" spans="8:22">
      <c r="H538" s="154"/>
      <c r="K538" s="154"/>
      <c r="N538" s="154"/>
      <c r="Q538" s="154"/>
      <c r="V538" s="80"/>
    </row>
    <row r="539" spans="8:22">
      <c r="H539" s="154"/>
      <c r="K539" s="154"/>
      <c r="N539" s="154"/>
      <c r="Q539" s="154"/>
      <c r="V539" s="80"/>
    </row>
    <row r="540" spans="8:22">
      <c r="H540" s="154"/>
      <c r="K540" s="154"/>
      <c r="N540" s="154"/>
      <c r="Q540" s="154"/>
      <c r="V540" s="80"/>
    </row>
    <row r="541" spans="8:22">
      <c r="H541" s="154"/>
      <c r="K541" s="154"/>
      <c r="N541" s="154"/>
      <c r="Q541" s="154"/>
      <c r="V541" s="80"/>
    </row>
    <row r="542" spans="8:22">
      <c r="H542" s="154"/>
      <c r="K542" s="154"/>
      <c r="N542" s="154"/>
      <c r="Q542" s="154"/>
      <c r="V542" s="80"/>
    </row>
    <row r="543" spans="8:22">
      <c r="H543" s="154"/>
      <c r="K543" s="154"/>
      <c r="N543" s="154"/>
      <c r="Q543" s="154"/>
      <c r="V543" s="80"/>
    </row>
    <row r="544" spans="8:22">
      <c r="H544" s="154"/>
      <c r="K544" s="154"/>
      <c r="N544" s="154"/>
      <c r="Q544" s="154"/>
      <c r="V544" s="80"/>
    </row>
    <row r="545" spans="8:22">
      <c r="H545" s="154"/>
      <c r="K545" s="154"/>
      <c r="N545" s="154"/>
      <c r="Q545" s="154"/>
      <c r="V545" s="80"/>
    </row>
    <row r="546" spans="8:22">
      <c r="H546" s="154"/>
      <c r="K546" s="154"/>
      <c r="N546" s="154"/>
      <c r="Q546" s="154"/>
      <c r="V546" s="80"/>
    </row>
    <row r="547" spans="8:22">
      <c r="H547" s="154"/>
      <c r="K547" s="154"/>
      <c r="N547" s="154"/>
      <c r="Q547" s="154"/>
      <c r="V547" s="80"/>
    </row>
    <row r="548" spans="8:22">
      <c r="H548" s="154"/>
      <c r="K548" s="154"/>
      <c r="N548" s="154"/>
      <c r="Q548" s="154"/>
      <c r="V548" s="80"/>
    </row>
    <row r="549" spans="8:22">
      <c r="H549" s="154"/>
      <c r="K549" s="154"/>
      <c r="N549" s="154"/>
      <c r="Q549" s="154"/>
      <c r="V549" s="80"/>
    </row>
    <row r="550" spans="8:22">
      <c r="H550" s="154"/>
      <c r="K550" s="154"/>
      <c r="N550" s="154"/>
      <c r="Q550" s="154"/>
      <c r="V550" s="80"/>
    </row>
    <row r="551" spans="8:22">
      <c r="H551" s="154"/>
      <c r="K551" s="154"/>
      <c r="N551" s="154"/>
      <c r="Q551" s="154"/>
      <c r="V551" s="80"/>
    </row>
    <row r="552" spans="8:22">
      <c r="H552" s="154"/>
      <c r="K552" s="154"/>
      <c r="N552" s="154"/>
      <c r="Q552" s="154"/>
      <c r="V552" s="80"/>
    </row>
    <row r="553" spans="8:22">
      <c r="H553" s="154"/>
      <c r="K553" s="154"/>
      <c r="N553" s="154"/>
      <c r="Q553" s="154"/>
      <c r="V553" s="80"/>
    </row>
    <row r="554" spans="8:22">
      <c r="H554" s="154"/>
      <c r="K554" s="154"/>
      <c r="N554" s="154"/>
      <c r="Q554" s="154"/>
      <c r="V554" s="80"/>
    </row>
    <row r="555" spans="8:22">
      <c r="H555" s="154"/>
      <c r="K555" s="154"/>
      <c r="N555" s="154"/>
      <c r="Q555" s="154"/>
      <c r="V555" s="80"/>
    </row>
    <row r="556" spans="8:22">
      <c r="H556" s="154"/>
      <c r="K556" s="154"/>
      <c r="N556" s="154"/>
      <c r="Q556" s="154"/>
      <c r="V556" s="80"/>
    </row>
    <row r="557" spans="8:22">
      <c r="H557" s="154"/>
      <c r="K557" s="154"/>
      <c r="N557" s="154"/>
      <c r="Q557" s="154"/>
      <c r="V557" s="80"/>
    </row>
    <row r="558" spans="8:22">
      <c r="H558" s="154"/>
      <c r="K558" s="154"/>
      <c r="N558" s="154"/>
      <c r="Q558" s="154"/>
      <c r="V558" s="80"/>
    </row>
    <row r="559" spans="8:22">
      <c r="H559" s="154"/>
      <c r="K559" s="154"/>
      <c r="N559" s="154"/>
      <c r="Q559" s="154"/>
      <c r="V559" s="80"/>
    </row>
    <row r="560" spans="8:22">
      <c r="H560" s="154"/>
      <c r="K560" s="154"/>
      <c r="N560" s="154"/>
      <c r="Q560" s="154"/>
      <c r="V560" s="80"/>
    </row>
    <row r="561" spans="8:22">
      <c r="H561" s="154"/>
      <c r="K561" s="154"/>
      <c r="N561" s="154"/>
      <c r="Q561" s="154"/>
      <c r="V561" s="80"/>
    </row>
    <row r="562" spans="8:22">
      <c r="H562" s="154"/>
      <c r="K562" s="154"/>
      <c r="N562" s="154"/>
      <c r="Q562" s="154"/>
      <c r="V562" s="80"/>
    </row>
    <row r="563" spans="8:22">
      <c r="H563" s="154"/>
      <c r="K563" s="154"/>
      <c r="N563" s="154"/>
      <c r="Q563" s="154"/>
      <c r="V563" s="80"/>
    </row>
    <row r="564" spans="8:22">
      <c r="H564" s="154"/>
      <c r="K564" s="154"/>
      <c r="N564" s="154"/>
      <c r="Q564" s="154"/>
      <c r="V564" s="80"/>
    </row>
    <row r="565" spans="8:22">
      <c r="H565" s="154"/>
      <c r="K565" s="154"/>
      <c r="N565" s="154"/>
      <c r="Q565" s="154"/>
      <c r="V565" s="80"/>
    </row>
    <row r="566" spans="8:22">
      <c r="H566" s="154"/>
      <c r="K566" s="154"/>
      <c r="N566" s="154"/>
      <c r="Q566" s="154"/>
      <c r="V566" s="80"/>
    </row>
    <row r="567" spans="8:22">
      <c r="H567" s="154"/>
      <c r="K567" s="154"/>
      <c r="N567" s="154"/>
      <c r="Q567" s="154"/>
      <c r="V567" s="80"/>
    </row>
    <row r="568" spans="8:22">
      <c r="H568" s="154"/>
      <c r="K568" s="154"/>
      <c r="N568" s="154"/>
      <c r="Q568" s="154"/>
      <c r="V568" s="80"/>
    </row>
    <row r="569" spans="8:22">
      <c r="H569" s="154"/>
      <c r="K569" s="154"/>
      <c r="N569" s="154"/>
      <c r="Q569" s="154"/>
      <c r="V569" s="80"/>
    </row>
    <row r="570" spans="8:22">
      <c r="H570" s="154"/>
      <c r="K570" s="154"/>
      <c r="N570" s="154"/>
      <c r="Q570" s="154"/>
      <c r="V570" s="80"/>
    </row>
    <row r="571" spans="8:22">
      <c r="H571" s="154"/>
      <c r="K571" s="154"/>
      <c r="N571" s="154"/>
      <c r="Q571" s="154"/>
      <c r="V571" s="80"/>
    </row>
    <row r="572" spans="8:22">
      <c r="H572" s="154"/>
      <c r="K572" s="154"/>
      <c r="N572" s="154"/>
      <c r="Q572" s="154"/>
      <c r="V572" s="80"/>
    </row>
    <row r="573" spans="8:22">
      <c r="H573" s="154"/>
      <c r="K573" s="154"/>
      <c r="N573" s="154"/>
      <c r="Q573" s="154"/>
      <c r="V573" s="80"/>
    </row>
    <row r="574" spans="8:22">
      <c r="H574" s="154"/>
      <c r="K574" s="154"/>
      <c r="N574" s="154"/>
      <c r="Q574" s="154"/>
      <c r="V574" s="80"/>
    </row>
    <row r="575" spans="8:22">
      <c r="H575" s="154"/>
      <c r="K575" s="154"/>
      <c r="N575" s="154"/>
      <c r="Q575" s="154"/>
      <c r="V575" s="80"/>
    </row>
    <row r="576" spans="8:22">
      <c r="H576" s="154"/>
      <c r="K576" s="154"/>
      <c r="N576" s="154"/>
      <c r="Q576" s="154"/>
      <c r="V576" s="80"/>
    </row>
    <row r="577" spans="8:22">
      <c r="H577" s="154"/>
      <c r="K577" s="154"/>
      <c r="N577" s="154"/>
      <c r="Q577" s="154"/>
      <c r="V577" s="80"/>
    </row>
    <row r="578" spans="8:22">
      <c r="H578" s="154"/>
      <c r="K578" s="154"/>
      <c r="N578" s="154"/>
      <c r="Q578" s="154"/>
      <c r="V578" s="80"/>
    </row>
    <row r="579" spans="8:22">
      <c r="H579" s="154"/>
      <c r="K579" s="154"/>
      <c r="N579" s="154"/>
      <c r="Q579" s="154"/>
      <c r="V579" s="80"/>
    </row>
    <row r="580" spans="8:22">
      <c r="H580" s="154"/>
      <c r="K580" s="154"/>
      <c r="N580" s="154"/>
      <c r="Q580" s="154"/>
      <c r="V580" s="80"/>
    </row>
    <row r="581" spans="8:22">
      <c r="H581" s="154"/>
      <c r="K581" s="154"/>
      <c r="N581" s="154"/>
      <c r="Q581" s="154"/>
      <c r="V581" s="80"/>
    </row>
    <row r="582" spans="8:22">
      <c r="H582" s="154"/>
      <c r="K582" s="154"/>
      <c r="N582" s="154"/>
      <c r="Q582" s="154"/>
      <c r="V582" s="80"/>
    </row>
    <row r="583" spans="8:22">
      <c r="H583" s="154"/>
      <c r="K583" s="154"/>
      <c r="N583" s="154"/>
      <c r="Q583" s="154"/>
      <c r="V583" s="80"/>
    </row>
    <row r="584" spans="8:22">
      <c r="H584" s="154"/>
      <c r="K584" s="154"/>
      <c r="N584" s="154"/>
      <c r="Q584" s="154"/>
      <c r="V584" s="80"/>
    </row>
    <row r="585" spans="8:22">
      <c r="H585" s="154"/>
      <c r="K585" s="154"/>
      <c r="N585" s="154"/>
      <c r="Q585" s="154"/>
      <c r="V585" s="80"/>
    </row>
    <row r="586" spans="8:22">
      <c r="H586" s="154"/>
      <c r="K586" s="154"/>
      <c r="N586" s="154"/>
      <c r="Q586" s="154"/>
      <c r="V586" s="80"/>
    </row>
    <row r="587" spans="8:22">
      <c r="H587" s="154"/>
      <c r="K587" s="154"/>
      <c r="N587" s="154"/>
      <c r="Q587" s="154"/>
      <c r="V587" s="80"/>
    </row>
    <row r="588" spans="8:22">
      <c r="H588" s="154"/>
      <c r="K588" s="154"/>
      <c r="N588" s="154"/>
      <c r="Q588" s="154"/>
      <c r="V588" s="80"/>
    </row>
    <row r="589" spans="8:22">
      <c r="H589" s="154"/>
      <c r="K589" s="154"/>
      <c r="N589" s="154"/>
      <c r="Q589" s="154"/>
      <c r="V589" s="80"/>
    </row>
    <row r="590" spans="8:22">
      <c r="H590" s="154"/>
      <c r="K590" s="154"/>
      <c r="N590" s="154"/>
      <c r="Q590" s="154"/>
      <c r="V590" s="80"/>
    </row>
    <row r="591" spans="8:22">
      <c r="H591" s="154"/>
      <c r="K591" s="154"/>
      <c r="N591" s="154"/>
      <c r="Q591" s="154"/>
      <c r="V591" s="80"/>
    </row>
    <row r="592" spans="8:22">
      <c r="H592" s="154"/>
      <c r="K592" s="154"/>
      <c r="N592" s="154"/>
      <c r="Q592" s="154"/>
      <c r="V592" s="80"/>
    </row>
    <row r="593" spans="8:22">
      <c r="H593" s="154"/>
      <c r="K593" s="154"/>
      <c r="N593" s="154"/>
      <c r="Q593" s="154"/>
      <c r="V593" s="80"/>
    </row>
    <row r="594" spans="8:22">
      <c r="H594" s="154"/>
      <c r="K594" s="154"/>
      <c r="N594" s="154"/>
      <c r="Q594" s="154"/>
      <c r="V594" s="80"/>
    </row>
    <row r="595" spans="8:22">
      <c r="H595" s="154"/>
      <c r="K595" s="154"/>
      <c r="N595" s="154"/>
      <c r="Q595" s="154"/>
      <c r="V595" s="80"/>
    </row>
    <row r="596" spans="8:22">
      <c r="H596" s="154"/>
      <c r="K596" s="154"/>
      <c r="N596" s="154"/>
      <c r="Q596" s="154"/>
      <c r="V596" s="80"/>
    </row>
    <row r="597" spans="8:22">
      <c r="H597" s="154"/>
      <c r="K597" s="154"/>
      <c r="N597" s="154"/>
      <c r="Q597" s="154"/>
      <c r="V597" s="80"/>
    </row>
    <row r="598" spans="8:22">
      <c r="H598" s="154"/>
      <c r="K598" s="154"/>
      <c r="N598" s="154"/>
      <c r="Q598" s="154"/>
      <c r="V598" s="80"/>
    </row>
    <row r="599" spans="8:22">
      <c r="H599" s="154"/>
      <c r="K599" s="154"/>
      <c r="N599" s="154"/>
      <c r="Q599" s="154"/>
      <c r="V599" s="80"/>
    </row>
    <row r="600" spans="8:22">
      <c r="H600" s="154"/>
      <c r="K600" s="154"/>
      <c r="N600" s="154"/>
      <c r="Q600" s="154"/>
      <c r="V600" s="80"/>
    </row>
    <row r="601" spans="8:22">
      <c r="H601" s="154"/>
      <c r="K601" s="154"/>
      <c r="N601" s="154"/>
      <c r="Q601" s="154"/>
      <c r="V601" s="80"/>
    </row>
    <row r="602" spans="8:22">
      <c r="H602" s="154"/>
      <c r="K602" s="154"/>
      <c r="N602" s="154"/>
      <c r="Q602" s="154"/>
      <c r="V602" s="80"/>
    </row>
    <row r="603" spans="8:22">
      <c r="H603" s="154"/>
      <c r="K603" s="154"/>
      <c r="N603" s="154"/>
      <c r="Q603" s="154"/>
      <c r="V603" s="80"/>
    </row>
    <row r="604" spans="8:22">
      <c r="H604" s="154"/>
      <c r="K604" s="154"/>
      <c r="N604" s="154"/>
      <c r="Q604" s="154"/>
      <c r="V604" s="80"/>
    </row>
    <row r="605" spans="8:22">
      <c r="H605" s="154"/>
      <c r="K605" s="154"/>
      <c r="N605" s="154"/>
      <c r="Q605" s="154"/>
      <c r="V605" s="80"/>
    </row>
    <row r="606" spans="8:22">
      <c r="H606" s="154"/>
      <c r="K606" s="154"/>
      <c r="N606" s="154"/>
      <c r="Q606" s="154"/>
      <c r="V606" s="80"/>
    </row>
    <row r="607" spans="8:22">
      <c r="H607" s="154"/>
      <c r="K607" s="154"/>
      <c r="N607" s="154"/>
      <c r="Q607" s="154"/>
      <c r="V607" s="80"/>
    </row>
    <row r="608" spans="8:22">
      <c r="H608" s="154"/>
      <c r="K608" s="154"/>
      <c r="N608" s="154"/>
      <c r="Q608" s="154"/>
      <c r="V608" s="80"/>
    </row>
    <row r="609" spans="8:22">
      <c r="H609" s="154"/>
      <c r="K609" s="154"/>
      <c r="N609" s="154"/>
      <c r="Q609" s="154"/>
      <c r="V609" s="80"/>
    </row>
    <row r="610" spans="8:22">
      <c r="H610" s="154"/>
      <c r="K610" s="154"/>
      <c r="N610" s="154"/>
      <c r="Q610" s="154"/>
      <c r="V610" s="80"/>
    </row>
    <row r="611" spans="8:22">
      <c r="H611" s="154"/>
      <c r="K611" s="154"/>
      <c r="N611" s="154"/>
      <c r="Q611" s="154"/>
      <c r="V611" s="80"/>
    </row>
    <row r="612" spans="8:22">
      <c r="H612" s="154"/>
      <c r="K612" s="154"/>
      <c r="N612" s="154"/>
      <c r="Q612" s="154"/>
      <c r="V612" s="80"/>
    </row>
    <row r="613" spans="8:22">
      <c r="H613" s="154"/>
      <c r="K613" s="154"/>
      <c r="N613" s="154"/>
      <c r="Q613" s="154"/>
      <c r="V613" s="80"/>
    </row>
    <row r="614" spans="8:22">
      <c r="H614" s="154"/>
      <c r="K614" s="154"/>
      <c r="N614" s="154"/>
      <c r="Q614" s="154"/>
      <c r="V614" s="80"/>
    </row>
    <row r="615" spans="8:22">
      <c r="H615" s="154"/>
      <c r="K615" s="154"/>
      <c r="N615" s="154"/>
      <c r="Q615" s="154"/>
      <c r="V615" s="80"/>
    </row>
    <row r="616" spans="8:22">
      <c r="H616" s="154"/>
      <c r="K616" s="154"/>
      <c r="N616" s="154"/>
      <c r="Q616" s="154"/>
      <c r="V616" s="80"/>
    </row>
    <row r="617" spans="8:22">
      <c r="H617" s="154"/>
      <c r="K617" s="154"/>
      <c r="N617" s="154"/>
      <c r="Q617" s="154"/>
      <c r="V617" s="80"/>
    </row>
    <row r="618" spans="8:22">
      <c r="H618" s="154"/>
      <c r="K618" s="154"/>
      <c r="N618" s="154"/>
      <c r="Q618" s="154"/>
      <c r="V618" s="80"/>
    </row>
    <row r="619" spans="8:22">
      <c r="H619" s="154"/>
      <c r="K619" s="154"/>
      <c r="N619" s="154"/>
      <c r="Q619" s="154"/>
      <c r="V619" s="80"/>
    </row>
    <row r="620" spans="8:22">
      <c r="H620" s="154"/>
      <c r="K620" s="154"/>
      <c r="N620" s="154"/>
      <c r="Q620" s="154"/>
      <c r="V620" s="80"/>
    </row>
    <row r="621" spans="8:22">
      <c r="H621" s="154"/>
      <c r="K621" s="154"/>
      <c r="N621" s="154"/>
      <c r="Q621" s="154"/>
      <c r="V621" s="80"/>
    </row>
    <row r="622" spans="8:22">
      <c r="H622" s="154"/>
      <c r="K622" s="154"/>
      <c r="N622" s="154"/>
      <c r="Q622" s="154"/>
      <c r="V622" s="80"/>
    </row>
    <row r="623" spans="8:22">
      <c r="H623" s="154"/>
      <c r="K623" s="154"/>
      <c r="N623" s="154"/>
      <c r="Q623" s="154"/>
      <c r="V623" s="80"/>
    </row>
    <row r="624" spans="8:22">
      <c r="H624" s="154"/>
      <c r="K624" s="154"/>
      <c r="N624" s="154"/>
      <c r="Q624" s="154"/>
      <c r="V624" s="80"/>
    </row>
    <row r="625" spans="8:22">
      <c r="H625" s="154"/>
      <c r="K625" s="154"/>
      <c r="N625" s="154"/>
      <c r="Q625" s="154"/>
      <c r="V625" s="80"/>
    </row>
    <row r="626" spans="8:22">
      <c r="H626" s="154"/>
      <c r="K626" s="154"/>
      <c r="N626" s="154"/>
      <c r="Q626" s="154"/>
      <c r="V626" s="80"/>
    </row>
    <row r="627" spans="8:22">
      <c r="H627" s="154"/>
      <c r="K627" s="154"/>
      <c r="N627" s="154"/>
      <c r="Q627" s="154"/>
      <c r="V627" s="80"/>
    </row>
    <row r="628" spans="8:22">
      <c r="H628" s="154"/>
      <c r="K628" s="154"/>
      <c r="N628" s="154"/>
      <c r="Q628" s="154"/>
      <c r="V628" s="80"/>
    </row>
    <row r="629" spans="8:22">
      <c r="H629" s="154"/>
      <c r="K629" s="154"/>
      <c r="N629" s="154"/>
      <c r="Q629" s="154"/>
      <c r="V629" s="80"/>
    </row>
    <row r="630" spans="8:22">
      <c r="H630" s="154"/>
      <c r="K630" s="154"/>
      <c r="N630" s="154"/>
      <c r="Q630" s="154"/>
      <c r="V630" s="80"/>
    </row>
    <row r="631" spans="8:22">
      <c r="H631" s="154"/>
      <c r="K631" s="154"/>
      <c r="N631" s="154"/>
      <c r="Q631" s="154"/>
      <c r="V631" s="80"/>
    </row>
    <row r="632" spans="8:22">
      <c r="H632" s="154"/>
      <c r="K632" s="154"/>
      <c r="N632" s="154"/>
      <c r="Q632" s="154"/>
      <c r="V632" s="80"/>
    </row>
    <row r="633" spans="8:22">
      <c r="H633" s="154"/>
      <c r="K633" s="154"/>
      <c r="N633" s="154"/>
      <c r="Q633" s="154"/>
      <c r="V633" s="80"/>
    </row>
    <row r="634" spans="8:22">
      <c r="H634" s="154"/>
      <c r="K634" s="154"/>
      <c r="N634" s="154"/>
      <c r="Q634" s="154"/>
      <c r="V634" s="80"/>
    </row>
    <row r="635" spans="8:22">
      <c r="H635" s="154"/>
      <c r="K635" s="154"/>
      <c r="N635" s="154"/>
      <c r="Q635" s="154"/>
      <c r="V635" s="80"/>
    </row>
    <row r="636" spans="8:22">
      <c r="H636" s="154"/>
      <c r="K636" s="154"/>
      <c r="N636" s="154"/>
      <c r="Q636" s="154"/>
      <c r="V636" s="80"/>
    </row>
    <row r="637" spans="8:22">
      <c r="H637" s="154"/>
      <c r="K637" s="154"/>
      <c r="N637" s="154"/>
      <c r="Q637" s="154"/>
      <c r="V637" s="80"/>
    </row>
    <row r="638" spans="8:22">
      <c r="H638" s="154"/>
      <c r="K638" s="154"/>
      <c r="N638" s="154"/>
      <c r="Q638" s="154"/>
      <c r="V638" s="80"/>
    </row>
    <row r="639" spans="8:22">
      <c r="H639" s="154"/>
      <c r="K639" s="154"/>
      <c r="N639" s="154"/>
      <c r="Q639" s="154"/>
      <c r="V639" s="80"/>
    </row>
    <row r="640" spans="8:22">
      <c r="H640" s="154"/>
      <c r="K640" s="154"/>
      <c r="N640" s="154"/>
      <c r="Q640" s="154"/>
      <c r="V640" s="80"/>
    </row>
    <row r="641" spans="8:22">
      <c r="H641" s="154"/>
      <c r="K641" s="154"/>
      <c r="N641" s="154"/>
      <c r="Q641" s="154"/>
      <c r="V641" s="80"/>
    </row>
    <row r="642" spans="8:22">
      <c r="H642" s="154"/>
      <c r="K642" s="154"/>
      <c r="N642" s="154"/>
      <c r="Q642" s="154"/>
      <c r="V642" s="80"/>
    </row>
    <row r="643" spans="8:22">
      <c r="H643" s="154"/>
      <c r="K643" s="154"/>
      <c r="N643" s="154"/>
      <c r="Q643" s="154"/>
      <c r="V643" s="80"/>
    </row>
    <row r="644" spans="8:22">
      <c r="H644" s="154"/>
      <c r="K644" s="154"/>
      <c r="N644" s="154"/>
      <c r="Q644" s="154"/>
      <c r="V644" s="80"/>
    </row>
    <row r="645" spans="8:22">
      <c r="H645" s="154"/>
      <c r="K645" s="154"/>
      <c r="N645" s="154"/>
      <c r="Q645" s="154"/>
      <c r="V645" s="80"/>
    </row>
    <row r="646" spans="8:22">
      <c r="H646" s="154"/>
      <c r="K646" s="154"/>
      <c r="N646" s="154"/>
      <c r="Q646" s="154"/>
      <c r="V646" s="80"/>
    </row>
    <row r="647" spans="8:22">
      <c r="H647" s="154"/>
      <c r="K647" s="154"/>
      <c r="N647" s="154"/>
      <c r="Q647" s="154"/>
      <c r="V647" s="80"/>
    </row>
    <row r="648" spans="8:22">
      <c r="H648" s="154"/>
      <c r="K648" s="154"/>
      <c r="N648" s="154"/>
      <c r="Q648" s="154"/>
      <c r="V648" s="80"/>
    </row>
    <row r="649" spans="8:22">
      <c r="H649" s="154"/>
      <c r="K649" s="154"/>
      <c r="N649" s="154"/>
      <c r="Q649" s="154"/>
      <c r="V649" s="80"/>
    </row>
    <row r="650" spans="8:22">
      <c r="H650" s="154"/>
      <c r="K650" s="154"/>
      <c r="N650" s="154"/>
      <c r="Q650" s="154"/>
      <c r="V650" s="80"/>
    </row>
    <row r="651" spans="8:22">
      <c r="H651" s="154"/>
      <c r="K651" s="154"/>
      <c r="N651" s="154"/>
      <c r="Q651" s="154"/>
      <c r="V651" s="80"/>
    </row>
    <row r="652" spans="8:22">
      <c r="H652" s="154"/>
      <c r="K652" s="154"/>
      <c r="N652" s="154"/>
      <c r="Q652" s="154"/>
      <c r="V652" s="80"/>
    </row>
    <row r="653" spans="8:22">
      <c r="H653" s="154"/>
      <c r="K653" s="154"/>
      <c r="N653" s="154"/>
      <c r="Q653" s="154"/>
      <c r="V653" s="80"/>
    </row>
    <row r="654" spans="8:22">
      <c r="H654" s="154"/>
      <c r="K654" s="154"/>
      <c r="N654" s="154"/>
      <c r="Q654" s="154"/>
      <c r="V654" s="80"/>
    </row>
    <row r="655" spans="8:22">
      <c r="H655" s="154"/>
      <c r="K655" s="154"/>
      <c r="N655" s="154"/>
      <c r="Q655" s="154"/>
      <c r="V655" s="80"/>
    </row>
    <row r="656" spans="8:22">
      <c r="H656" s="154"/>
      <c r="K656" s="154"/>
      <c r="N656" s="154"/>
      <c r="Q656" s="154"/>
      <c r="V656" s="80"/>
    </row>
    <row r="657" spans="8:22">
      <c r="H657" s="154"/>
      <c r="K657" s="154"/>
      <c r="N657" s="154"/>
      <c r="Q657" s="154"/>
      <c r="V657" s="80"/>
    </row>
    <row r="658" spans="8:22">
      <c r="H658" s="154"/>
      <c r="K658" s="154"/>
      <c r="N658" s="154"/>
      <c r="Q658" s="154"/>
      <c r="V658" s="80"/>
    </row>
    <row r="659" spans="8:22">
      <c r="H659" s="154"/>
      <c r="K659" s="154"/>
      <c r="N659" s="154"/>
      <c r="Q659" s="154"/>
      <c r="V659" s="80"/>
    </row>
    <row r="660" spans="8:22">
      <c r="H660" s="154"/>
      <c r="K660" s="154"/>
      <c r="N660" s="154"/>
      <c r="Q660" s="154"/>
      <c r="V660" s="80"/>
    </row>
    <row r="661" spans="8:22">
      <c r="H661" s="154"/>
      <c r="K661" s="154"/>
      <c r="N661" s="154"/>
      <c r="Q661" s="154"/>
      <c r="V661" s="80"/>
    </row>
    <row r="662" spans="8:22">
      <c r="H662" s="154"/>
      <c r="K662" s="154"/>
      <c r="N662" s="154"/>
      <c r="Q662" s="154"/>
      <c r="V662" s="80"/>
    </row>
    <row r="663" spans="8:22">
      <c r="H663" s="154"/>
      <c r="K663" s="154"/>
      <c r="N663" s="154"/>
      <c r="Q663" s="154"/>
      <c r="V663" s="80"/>
    </row>
    <row r="664" spans="8:22">
      <c r="H664" s="154"/>
      <c r="K664" s="154"/>
      <c r="N664" s="154"/>
      <c r="Q664" s="154"/>
      <c r="V664" s="80"/>
    </row>
    <row r="665" spans="8:22">
      <c r="H665" s="154"/>
      <c r="K665" s="154"/>
      <c r="N665" s="154"/>
      <c r="Q665" s="154"/>
      <c r="V665" s="80"/>
    </row>
    <row r="666" spans="8:22">
      <c r="H666" s="154"/>
      <c r="K666" s="154"/>
      <c r="N666" s="154"/>
      <c r="Q666" s="154"/>
      <c r="V666" s="80"/>
    </row>
    <row r="667" spans="8:22">
      <c r="H667" s="154"/>
      <c r="K667" s="154"/>
      <c r="N667" s="154"/>
      <c r="Q667" s="154"/>
      <c r="V667" s="80"/>
    </row>
    <row r="668" spans="8:22">
      <c r="H668" s="154"/>
      <c r="K668" s="154"/>
      <c r="N668" s="154"/>
      <c r="Q668" s="154"/>
      <c r="V668" s="80"/>
    </row>
    <row r="669" spans="8:22">
      <c r="H669" s="154"/>
      <c r="K669" s="154"/>
      <c r="N669" s="154"/>
      <c r="Q669" s="154"/>
      <c r="V669" s="80"/>
    </row>
    <row r="670" spans="8:22">
      <c r="H670" s="154"/>
      <c r="K670" s="154"/>
      <c r="N670" s="154"/>
      <c r="Q670" s="154"/>
      <c r="V670" s="80"/>
    </row>
    <row r="671" spans="8:22">
      <c r="H671" s="154"/>
      <c r="K671" s="154"/>
      <c r="N671" s="154"/>
      <c r="Q671" s="154"/>
      <c r="V671" s="80"/>
    </row>
    <row r="672" spans="8:22">
      <c r="H672" s="154"/>
      <c r="K672" s="154"/>
      <c r="N672" s="154"/>
      <c r="Q672" s="154"/>
      <c r="V672" s="80"/>
    </row>
    <row r="673" spans="8:22">
      <c r="H673" s="154"/>
      <c r="K673" s="154"/>
      <c r="N673" s="154"/>
      <c r="Q673" s="154"/>
      <c r="V673" s="80"/>
    </row>
    <row r="674" spans="8:22">
      <c r="H674" s="154"/>
      <c r="K674" s="154"/>
      <c r="N674" s="154"/>
      <c r="Q674" s="154"/>
      <c r="V674" s="80"/>
    </row>
    <row r="675" spans="8:22">
      <c r="H675" s="154"/>
      <c r="K675" s="154"/>
      <c r="N675" s="154"/>
      <c r="Q675" s="154"/>
      <c r="V675" s="80"/>
    </row>
    <row r="676" spans="8:22">
      <c r="H676" s="154"/>
      <c r="K676" s="154"/>
      <c r="N676" s="154"/>
      <c r="Q676" s="154"/>
      <c r="V676" s="80"/>
    </row>
    <row r="677" spans="8:22">
      <c r="H677" s="154"/>
      <c r="K677" s="154"/>
      <c r="N677" s="154"/>
      <c r="Q677" s="154"/>
      <c r="V677" s="80"/>
    </row>
    <row r="678" spans="8:22">
      <c r="H678" s="154"/>
      <c r="K678" s="154"/>
      <c r="N678" s="154"/>
      <c r="Q678" s="154"/>
      <c r="V678" s="80"/>
    </row>
    <row r="679" spans="8:22">
      <c r="H679" s="154"/>
      <c r="K679" s="154"/>
      <c r="N679" s="154"/>
      <c r="Q679" s="154"/>
      <c r="V679" s="80"/>
    </row>
    <row r="680" spans="8:22">
      <c r="H680" s="154"/>
      <c r="K680" s="154"/>
      <c r="N680" s="154"/>
      <c r="Q680" s="154"/>
      <c r="V680" s="80"/>
    </row>
    <row r="681" spans="8:22">
      <c r="H681" s="154"/>
      <c r="K681" s="154"/>
      <c r="N681" s="154"/>
      <c r="Q681" s="154"/>
      <c r="V681" s="80"/>
    </row>
    <row r="682" spans="8:22">
      <c r="H682" s="154"/>
      <c r="K682" s="154"/>
      <c r="N682" s="154"/>
      <c r="Q682" s="154"/>
      <c r="V682" s="80"/>
    </row>
    <row r="683" spans="8:22">
      <c r="H683" s="154"/>
      <c r="K683" s="154"/>
      <c r="N683" s="154"/>
      <c r="Q683" s="154"/>
      <c r="V683" s="80"/>
    </row>
    <row r="684" spans="8:22">
      <c r="H684" s="154"/>
      <c r="K684" s="154"/>
      <c r="N684" s="154"/>
      <c r="Q684" s="154"/>
      <c r="V684" s="80"/>
    </row>
    <row r="685" spans="8:22">
      <c r="H685" s="154"/>
      <c r="K685" s="154"/>
      <c r="N685" s="154"/>
      <c r="Q685" s="154"/>
      <c r="V685" s="80"/>
    </row>
    <row r="686" spans="8:22">
      <c r="H686" s="154"/>
      <c r="K686" s="154"/>
      <c r="N686" s="154"/>
      <c r="Q686" s="154"/>
      <c r="V686" s="80"/>
    </row>
    <row r="687" spans="8:22">
      <c r="H687" s="154"/>
      <c r="K687" s="154"/>
      <c r="N687" s="154"/>
      <c r="Q687" s="154"/>
      <c r="V687" s="80"/>
    </row>
    <row r="688" spans="8:22">
      <c r="H688" s="154"/>
      <c r="K688" s="154"/>
      <c r="N688" s="154"/>
      <c r="Q688" s="154"/>
      <c r="V688" s="80"/>
    </row>
    <row r="689" spans="8:22">
      <c r="H689" s="154"/>
      <c r="K689" s="154"/>
      <c r="N689" s="154"/>
      <c r="Q689" s="154"/>
      <c r="V689" s="80"/>
    </row>
    <row r="690" spans="8:22">
      <c r="H690" s="154"/>
      <c r="K690" s="154"/>
      <c r="N690" s="154"/>
      <c r="Q690" s="154"/>
      <c r="V690" s="80"/>
    </row>
    <row r="691" spans="8:22">
      <c r="H691" s="154"/>
      <c r="K691" s="154"/>
      <c r="N691" s="154"/>
      <c r="Q691" s="154"/>
      <c r="V691" s="80"/>
    </row>
    <row r="692" spans="8:22">
      <c r="H692" s="154"/>
      <c r="K692" s="154"/>
      <c r="N692" s="154"/>
      <c r="Q692" s="154"/>
      <c r="V692" s="80"/>
    </row>
    <row r="693" spans="8:22">
      <c r="H693" s="154"/>
      <c r="K693" s="154"/>
      <c r="N693" s="154"/>
      <c r="Q693" s="154"/>
      <c r="V693" s="80"/>
    </row>
    <row r="694" spans="8:22">
      <c r="H694" s="154"/>
      <c r="K694" s="154"/>
      <c r="N694" s="154"/>
      <c r="Q694" s="154"/>
      <c r="V694" s="80"/>
    </row>
    <row r="695" spans="8:22">
      <c r="H695" s="154"/>
      <c r="K695" s="154"/>
      <c r="N695" s="154"/>
      <c r="Q695" s="154"/>
      <c r="V695" s="80"/>
    </row>
    <row r="696" spans="8:22">
      <c r="H696" s="154"/>
      <c r="K696" s="154"/>
      <c r="N696" s="154"/>
      <c r="Q696" s="154"/>
      <c r="V696" s="80"/>
    </row>
    <row r="697" spans="8:22">
      <c r="H697" s="154"/>
      <c r="K697" s="154"/>
      <c r="N697" s="154"/>
      <c r="Q697" s="154"/>
      <c r="V697" s="80"/>
    </row>
    <row r="698" spans="8:22">
      <c r="H698" s="154"/>
      <c r="K698" s="154"/>
      <c r="N698" s="154"/>
      <c r="Q698" s="154"/>
      <c r="V698" s="80"/>
    </row>
    <row r="699" spans="8:22">
      <c r="H699" s="154"/>
      <c r="K699" s="154"/>
      <c r="N699" s="154"/>
      <c r="Q699" s="154"/>
      <c r="V699" s="80"/>
    </row>
    <row r="700" spans="8:22">
      <c r="H700" s="154"/>
      <c r="K700" s="154"/>
      <c r="N700" s="154"/>
      <c r="Q700" s="154"/>
      <c r="V700" s="80"/>
    </row>
    <row r="701" spans="8:22">
      <c r="H701" s="154"/>
      <c r="K701" s="154"/>
      <c r="N701" s="154"/>
      <c r="Q701" s="154"/>
      <c r="V701" s="80"/>
    </row>
    <row r="702" spans="8:22">
      <c r="H702" s="154"/>
      <c r="K702" s="154"/>
      <c r="N702" s="154"/>
      <c r="Q702" s="154"/>
      <c r="V702" s="80"/>
    </row>
    <row r="703" spans="8:22">
      <c r="H703" s="154"/>
      <c r="K703" s="154"/>
      <c r="N703" s="154"/>
      <c r="Q703" s="154"/>
      <c r="V703" s="80"/>
    </row>
    <row r="704" spans="8:22">
      <c r="H704" s="154"/>
      <c r="K704" s="154"/>
      <c r="N704" s="154"/>
      <c r="Q704" s="154"/>
      <c r="V704" s="80"/>
    </row>
    <row r="705" spans="8:22">
      <c r="H705" s="154"/>
      <c r="K705" s="154"/>
      <c r="N705" s="154"/>
      <c r="Q705" s="154"/>
      <c r="V705" s="80"/>
    </row>
    <row r="706" spans="8:22">
      <c r="H706" s="154"/>
      <c r="K706" s="154"/>
      <c r="N706" s="154"/>
      <c r="Q706" s="154"/>
      <c r="V706" s="80"/>
    </row>
    <row r="707" spans="8:22">
      <c r="H707" s="154"/>
      <c r="K707" s="154"/>
      <c r="N707" s="154"/>
      <c r="Q707" s="154"/>
      <c r="V707" s="80"/>
    </row>
    <row r="708" spans="8:22">
      <c r="H708" s="154"/>
      <c r="K708" s="154"/>
      <c r="N708" s="154"/>
      <c r="Q708" s="154"/>
      <c r="V708" s="80"/>
    </row>
    <row r="709" spans="8:22">
      <c r="H709" s="154"/>
      <c r="K709" s="154"/>
      <c r="N709" s="154"/>
      <c r="Q709" s="154"/>
      <c r="V709" s="80"/>
    </row>
    <row r="710" spans="8:22">
      <c r="H710" s="154"/>
      <c r="K710" s="154"/>
      <c r="N710" s="154"/>
      <c r="Q710" s="154"/>
      <c r="V710" s="80"/>
    </row>
    <row r="711" spans="8:22">
      <c r="H711" s="154"/>
      <c r="K711" s="154"/>
      <c r="N711" s="154"/>
      <c r="Q711" s="154"/>
      <c r="V711" s="80"/>
    </row>
    <row r="712" spans="8:22">
      <c r="H712" s="154"/>
      <c r="K712" s="154"/>
      <c r="N712" s="154"/>
      <c r="Q712" s="154"/>
      <c r="V712" s="80"/>
    </row>
    <row r="713" spans="8:22">
      <c r="H713" s="154"/>
      <c r="K713" s="154"/>
      <c r="N713" s="154"/>
      <c r="Q713" s="154"/>
      <c r="V713" s="80"/>
    </row>
    <row r="714" spans="8:22">
      <c r="H714" s="154"/>
      <c r="K714" s="154"/>
      <c r="N714" s="154"/>
      <c r="Q714" s="154"/>
      <c r="V714" s="80"/>
    </row>
    <row r="715" spans="8:22">
      <c r="H715" s="154"/>
      <c r="K715" s="154"/>
      <c r="N715" s="154"/>
      <c r="Q715" s="154"/>
      <c r="V715" s="80"/>
    </row>
    <row r="716" spans="8:22">
      <c r="H716" s="154"/>
      <c r="K716" s="154"/>
      <c r="N716" s="154"/>
      <c r="Q716" s="154"/>
      <c r="V716" s="80"/>
    </row>
    <row r="717" spans="8:22">
      <c r="H717" s="154"/>
      <c r="K717" s="154"/>
      <c r="N717" s="154"/>
      <c r="Q717" s="154"/>
      <c r="V717" s="80"/>
    </row>
    <row r="718" spans="8:22">
      <c r="H718" s="154"/>
      <c r="K718" s="154"/>
      <c r="N718" s="154"/>
      <c r="Q718" s="154"/>
      <c r="V718" s="80"/>
    </row>
    <row r="719" spans="8:22">
      <c r="H719" s="154"/>
      <c r="K719" s="154"/>
      <c r="N719" s="154"/>
      <c r="Q719" s="154"/>
      <c r="V719" s="80"/>
    </row>
    <row r="720" spans="8:22">
      <c r="H720" s="154"/>
      <c r="K720" s="154"/>
      <c r="N720" s="154"/>
      <c r="Q720" s="154"/>
      <c r="V720" s="80"/>
    </row>
    <row r="721" spans="8:22">
      <c r="H721" s="154"/>
      <c r="K721" s="154"/>
      <c r="N721" s="154"/>
      <c r="Q721" s="154"/>
      <c r="V721" s="80"/>
    </row>
    <row r="722" spans="8:22">
      <c r="H722" s="154"/>
      <c r="K722" s="154"/>
      <c r="N722" s="154"/>
      <c r="Q722" s="154"/>
      <c r="V722" s="80"/>
    </row>
    <row r="723" spans="8:22">
      <c r="H723" s="154"/>
      <c r="K723" s="154"/>
      <c r="N723" s="154"/>
      <c r="Q723" s="154"/>
      <c r="V723" s="80"/>
    </row>
    <row r="724" spans="8:22">
      <c r="H724" s="154"/>
      <c r="K724" s="154"/>
      <c r="N724" s="154"/>
      <c r="Q724" s="154"/>
      <c r="V724" s="80"/>
    </row>
    <row r="725" spans="8:22">
      <c r="H725" s="154"/>
      <c r="K725" s="154"/>
      <c r="N725" s="154"/>
      <c r="Q725" s="154"/>
      <c r="V725" s="80"/>
    </row>
    <row r="726" spans="8:22">
      <c r="H726" s="154"/>
      <c r="K726" s="154"/>
      <c r="N726" s="154"/>
      <c r="Q726" s="154"/>
      <c r="V726" s="80"/>
    </row>
    <row r="727" spans="8:22">
      <c r="H727" s="154"/>
      <c r="K727" s="154"/>
      <c r="N727" s="154"/>
      <c r="Q727" s="154"/>
      <c r="V727" s="80"/>
    </row>
    <row r="728" spans="8:22">
      <c r="H728" s="154"/>
      <c r="K728" s="154"/>
      <c r="N728" s="154"/>
      <c r="Q728" s="154"/>
      <c r="V728" s="80"/>
    </row>
    <row r="729" spans="8:22">
      <c r="H729" s="154"/>
      <c r="K729" s="154"/>
      <c r="N729" s="154"/>
      <c r="Q729" s="154"/>
      <c r="V729" s="80"/>
    </row>
    <row r="730" spans="8:22">
      <c r="H730" s="154"/>
      <c r="K730" s="154"/>
      <c r="N730" s="154"/>
      <c r="Q730" s="154"/>
      <c r="V730" s="80"/>
    </row>
    <row r="731" spans="8:22">
      <c r="H731" s="154"/>
      <c r="K731" s="154"/>
      <c r="N731" s="154"/>
      <c r="Q731" s="154"/>
      <c r="V731" s="80"/>
    </row>
    <row r="732" spans="8:22">
      <c r="H732" s="154"/>
      <c r="K732" s="154"/>
      <c r="N732" s="154"/>
      <c r="Q732" s="154"/>
      <c r="V732" s="80"/>
    </row>
    <row r="733" spans="8:22">
      <c r="H733" s="154"/>
      <c r="K733" s="154"/>
      <c r="N733" s="154"/>
      <c r="Q733" s="154"/>
      <c r="V733" s="80"/>
    </row>
    <row r="734" spans="8:22">
      <c r="H734" s="154"/>
      <c r="K734" s="154"/>
      <c r="N734" s="154"/>
      <c r="Q734" s="154"/>
      <c r="V734" s="80"/>
    </row>
    <row r="735" spans="8:22">
      <c r="H735" s="154"/>
      <c r="K735" s="154"/>
      <c r="N735" s="154"/>
      <c r="Q735" s="154"/>
      <c r="V735" s="80"/>
    </row>
    <row r="736" spans="8:22">
      <c r="H736" s="154"/>
      <c r="K736" s="154"/>
      <c r="N736" s="154"/>
      <c r="Q736" s="154"/>
      <c r="V736" s="80"/>
    </row>
    <row r="737" spans="8:22">
      <c r="H737" s="154"/>
      <c r="K737" s="154"/>
      <c r="N737" s="154"/>
      <c r="Q737" s="154"/>
      <c r="V737" s="80"/>
    </row>
    <row r="738" spans="8:22">
      <c r="H738" s="154"/>
      <c r="K738" s="154"/>
      <c r="N738" s="154"/>
      <c r="Q738" s="154"/>
      <c r="V738" s="80"/>
    </row>
    <row r="739" spans="8:22">
      <c r="H739" s="154"/>
      <c r="K739" s="154"/>
      <c r="N739" s="154"/>
      <c r="Q739" s="154"/>
      <c r="V739" s="80"/>
    </row>
    <row r="740" spans="8:22">
      <c r="H740" s="154"/>
      <c r="K740" s="154"/>
      <c r="N740" s="154"/>
      <c r="Q740" s="154"/>
      <c r="V740" s="80"/>
    </row>
    <row r="741" spans="8:22">
      <c r="H741" s="154"/>
      <c r="K741" s="154"/>
      <c r="N741" s="154"/>
      <c r="Q741" s="154"/>
      <c r="V741" s="80"/>
    </row>
    <row r="742" spans="8:22">
      <c r="H742" s="154"/>
      <c r="K742" s="154"/>
      <c r="N742" s="154"/>
      <c r="Q742" s="154"/>
      <c r="V742" s="80"/>
    </row>
    <row r="743" spans="8:22">
      <c r="H743" s="154"/>
      <c r="K743" s="154"/>
      <c r="N743" s="154"/>
      <c r="Q743" s="154"/>
      <c r="V743" s="80"/>
    </row>
    <row r="744" spans="8:22">
      <c r="H744" s="154"/>
      <c r="K744" s="154"/>
      <c r="N744" s="154"/>
      <c r="Q744" s="154"/>
      <c r="V744" s="80"/>
    </row>
    <row r="745" spans="8:22">
      <c r="H745" s="154"/>
      <c r="K745" s="154"/>
      <c r="N745" s="154"/>
      <c r="Q745" s="154"/>
      <c r="V745" s="80"/>
    </row>
    <row r="746" spans="8:22">
      <c r="H746" s="154"/>
      <c r="K746" s="154"/>
      <c r="N746" s="154"/>
      <c r="Q746" s="154"/>
      <c r="V746" s="80"/>
    </row>
    <row r="747" spans="8:22">
      <c r="H747" s="154"/>
      <c r="K747" s="154"/>
      <c r="N747" s="154"/>
      <c r="Q747" s="154"/>
      <c r="V747" s="80"/>
    </row>
    <row r="748" spans="8:22">
      <c r="H748" s="154"/>
      <c r="K748" s="154"/>
      <c r="N748" s="154"/>
      <c r="Q748" s="154"/>
      <c r="V748" s="80"/>
    </row>
    <row r="749" spans="8:22">
      <c r="H749" s="154"/>
      <c r="K749" s="154"/>
      <c r="N749" s="154"/>
      <c r="Q749" s="154"/>
      <c r="V749" s="80"/>
    </row>
    <row r="750" spans="8:22">
      <c r="H750" s="154"/>
      <c r="K750" s="154"/>
      <c r="N750" s="154"/>
      <c r="Q750" s="154"/>
      <c r="V750" s="80"/>
    </row>
    <row r="751" spans="8:22">
      <c r="H751" s="154"/>
      <c r="K751" s="154"/>
      <c r="N751" s="154"/>
      <c r="Q751" s="154"/>
      <c r="V751" s="80"/>
    </row>
    <row r="752" spans="8:22">
      <c r="H752" s="154"/>
      <c r="K752" s="154"/>
      <c r="N752" s="154"/>
      <c r="Q752" s="154"/>
      <c r="V752" s="80"/>
    </row>
    <row r="753" spans="8:22">
      <c r="H753" s="154"/>
      <c r="K753" s="154"/>
      <c r="N753" s="154"/>
      <c r="Q753" s="154"/>
      <c r="V753" s="80"/>
    </row>
    <row r="754" spans="8:22">
      <c r="H754" s="154"/>
      <c r="K754" s="154"/>
      <c r="N754" s="154"/>
      <c r="Q754" s="154"/>
      <c r="V754" s="80"/>
    </row>
    <row r="755" spans="8:22">
      <c r="H755" s="154"/>
      <c r="K755" s="154"/>
      <c r="N755" s="154"/>
      <c r="Q755" s="154"/>
      <c r="V755" s="80"/>
    </row>
    <row r="756" spans="8:22">
      <c r="H756" s="154"/>
      <c r="K756" s="154"/>
      <c r="N756" s="154"/>
      <c r="Q756" s="154"/>
      <c r="V756" s="80"/>
    </row>
    <row r="757" spans="8:22">
      <c r="H757" s="154"/>
      <c r="K757" s="154"/>
      <c r="N757" s="154"/>
      <c r="Q757" s="154"/>
      <c r="V757" s="80"/>
    </row>
    <row r="758" spans="8:22">
      <c r="H758" s="154"/>
      <c r="K758" s="154"/>
      <c r="N758" s="154"/>
      <c r="Q758" s="154"/>
      <c r="V758" s="80"/>
    </row>
    <row r="759" spans="8:22">
      <c r="H759" s="154"/>
      <c r="K759" s="154"/>
      <c r="N759" s="154"/>
      <c r="Q759" s="154"/>
      <c r="V759" s="80"/>
    </row>
    <row r="760" spans="8:22">
      <c r="H760" s="154"/>
      <c r="K760" s="154"/>
      <c r="N760" s="154"/>
      <c r="Q760" s="154"/>
      <c r="V760" s="80"/>
    </row>
    <row r="761" spans="8:22">
      <c r="H761" s="154"/>
      <c r="K761" s="154"/>
      <c r="N761" s="154"/>
      <c r="Q761" s="154"/>
      <c r="V761" s="80"/>
    </row>
    <row r="762" spans="8:22">
      <c r="H762" s="154"/>
      <c r="K762" s="154"/>
      <c r="N762" s="154"/>
      <c r="Q762" s="154"/>
      <c r="V762" s="80"/>
    </row>
    <row r="763" spans="8:22">
      <c r="H763" s="154"/>
      <c r="K763" s="154"/>
      <c r="N763" s="154"/>
      <c r="Q763" s="154"/>
      <c r="V763" s="80"/>
    </row>
    <row r="764" spans="8:22">
      <c r="H764" s="154"/>
      <c r="K764" s="154"/>
      <c r="N764" s="154"/>
      <c r="Q764" s="154"/>
      <c r="V764" s="80"/>
    </row>
    <row r="765" spans="8:22">
      <c r="H765" s="154"/>
      <c r="K765" s="154"/>
      <c r="N765" s="154"/>
      <c r="Q765" s="154"/>
      <c r="V765" s="80"/>
    </row>
    <row r="766" spans="8:22">
      <c r="H766" s="154"/>
      <c r="K766" s="154"/>
      <c r="N766" s="154"/>
      <c r="Q766" s="154"/>
      <c r="V766" s="80"/>
    </row>
    <row r="767" spans="8:22">
      <c r="H767" s="154"/>
      <c r="K767" s="154"/>
      <c r="N767" s="154"/>
      <c r="Q767" s="154"/>
      <c r="V767" s="80"/>
    </row>
    <row r="768" spans="8:22">
      <c r="H768" s="154"/>
      <c r="K768" s="154"/>
      <c r="N768" s="154"/>
      <c r="Q768" s="154"/>
      <c r="V768" s="80"/>
    </row>
    <row r="769" spans="8:22">
      <c r="H769" s="154"/>
      <c r="K769" s="154"/>
      <c r="N769" s="154"/>
      <c r="Q769" s="154"/>
      <c r="V769" s="80"/>
    </row>
    <row r="770" spans="8:22">
      <c r="H770" s="154"/>
      <c r="K770" s="154"/>
      <c r="N770" s="154"/>
      <c r="Q770" s="154"/>
      <c r="V770" s="80"/>
    </row>
    <row r="771" spans="8:22">
      <c r="H771" s="154"/>
      <c r="K771" s="154"/>
      <c r="N771" s="154"/>
      <c r="Q771" s="154"/>
      <c r="V771" s="80"/>
    </row>
    <row r="772" spans="8:22">
      <c r="H772" s="154"/>
      <c r="K772" s="154"/>
      <c r="N772" s="154"/>
      <c r="Q772" s="154"/>
      <c r="V772" s="80"/>
    </row>
    <row r="773" spans="8:22">
      <c r="H773" s="154"/>
      <c r="K773" s="154"/>
      <c r="N773" s="154"/>
      <c r="Q773" s="154"/>
      <c r="V773" s="80"/>
    </row>
    <row r="774" spans="8:22">
      <c r="H774" s="154"/>
      <c r="K774" s="154"/>
      <c r="N774" s="154"/>
      <c r="Q774" s="154"/>
      <c r="V774" s="80"/>
    </row>
    <row r="775" spans="8:22">
      <c r="H775" s="154"/>
      <c r="K775" s="154"/>
      <c r="N775" s="154"/>
      <c r="Q775" s="154"/>
      <c r="V775" s="80"/>
    </row>
    <row r="776" spans="8:22">
      <c r="H776" s="154"/>
      <c r="K776" s="154"/>
      <c r="N776" s="154"/>
      <c r="Q776" s="154"/>
      <c r="V776" s="80"/>
    </row>
    <row r="777" spans="8:22">
      <c r="H777" s="154"/>
      <c r="K777" s="154"/>
      <c r="N777" s="154"/>
      <c r="Q777" s="154"/>
      <c r="V777" s="80"/>
    </row>
    <row r="778" spans="8:22">
      <c r="H778" s="154"/>
      <c r="K778" s="154"/>
      <c r="N778" s="154"/>
      <c r="Q778" s="154"/>
      <c r="V778" s="80"/>
    </row>
    <row r="779" spans="8:22">
      <c r="H779" s="154"/>
      <c r="K779" s="154"/>
      <c r="N779" s="154"/>
      <c r="Q779" s="154"/>
      <c r="V779" s="80"/>
    </row>
    <row r="780" spans="8:22">
      <c r="H780" s="154"/>
      <c r="K780" s="154"/>
      <c r="N780" s="154"/>
      <c r="Q780" s="154"/>
      <c r="V780" s="80"/>
    </row>
    <row r="781" spans="8:22">
      <c r="H781" s="154"/>
      <c r="K781" s="154"/>
      <c r="N781" s="154"/>
      <c r="Q781" s="154"/>
      <c r="V781" s="80"/>
    </row>
    <row r="782" spans="8:22">
      <c r="H782" s="154"/>
      <c r="K782" s="154"/>
      <c r="N782" s="154"/>
      <c r="Q782" s="154"/>
      <c r="V782" s="80"/>
    </row>
    <row r="783" spans="8:22">
      <c r="H783" s="154"/>
      <c r="K783" s="154"/>
      <c r="N783" s="154"/>
      <c r="Q783" s="154"/>
      <c r="V783" s="80"/>
    </row>
    <row r="784" spans="8:22">
      <c r="H784" s="154"/>
      <c r="K784" s="154"/>
      <c r="N784" s="154"/>
      <c r="Q784" s="154"/>
      <c r="V784" s="80"/>
    </row>
    <row r="785" spans="8:22">
      <c r="H785" s="154"/>
      <c r="K785" s="154"/>
      <c r="N785" s="154"/>
      <c r="Q785" s="154"/>
      <c r="V785" s="80"/>
    </row>
    <row r="786" spans="8:22">
      <c r="H786" s="154"/>
      <c r="K786" s="154"/>
      <c r="N786" s="154"/>
      <c r="Q786" s="154"/>
      <c r="V786" s="80"/>
    </row>
    <row r="787" spans="8:22">
      <c r="H787" s="154"/>
      <c r="K787" s="154"/>
      <c r="N787" s="154"/>
      <c r="Q787" s="154"/>
      <c r="V787" s="80"/>
    </row>
    <row r="788" spans="8:22">
      <c r="H788" s="154"/>
      <c r="K788" s="154"/>
      <c r="N788" s="154"/>
      <c r="Q788" s="154"/>
      <c r="V788" s="80"/>
    </row>
    <row r="789" spans="8:22">
      <c r="H789" s="154"/>
      <c r="K789" s="154"/>
      <c r="N789" s="154"/>
      <c r="Q789" s="154"/>
      <c r="V789" s="80"/>
    </row>
    <row r="790" spans="8:22">
      <c r="H790" s="154"/>
      <c r="K790" s="154"/>
      <c r="N790" s="154"/>
      <c r="Q790" s="154"/>
      <c r="V790" s="80"/>
    </row>
    <row r="791" spans="8:22">
      <c r="H791" s="154"/>
      <c r="K791" s="154"/>
      <c r="N791" s="154"/>
      <c r="Q791" s="154"/>
      <c r="V791" s="80"/>
    </row>
    <row r="792" spans="8:22">
      <c r="H792" s="154"/>
      <c r="K792" s="154"/>
      <c r="N792" s="154"/>
      <c r="Q792" s="154"/>
      <c r="V792" s="80"/>
    </row>
    <row r="793" spans="8:22">
      <c r="H793" s="154"/>
      <c r="K793" s="154"/>
      <c r="N793" s="154"/>
      <c r="Q793" s="154"/>
      <c r="V793" s="80"/>
    </row>
    <row r="794" spans="8:22">
      <c r="H794" s="154"/>
      <c r="K794" s="154"/>
      <c r="N794" s="154"/>
      <c r="Q794" s="154"/>
      <c r="V794" s="80"/>
    </row>
    <row r="795" spans="8:22">
      <c r="H795" s="154"/>
      <c r="K795" s="154"/>
      <c r="N795" s="154"/>
      <c r="Q795" s="154"/>
      <c r="V795" s="80"/>
    </row>
    <row r="796" spans="8:22">
      <c r="H796" s="154"/>
      <c r="K796" s="154"/>
      <c r="N796" s="154"/>
      <c r="Q796" s="154"/>
      <c r="V796" s="80"/>
    </row>
    <row r="797" spans="8:22">
      <c r="H797" s="154"/>
      <c r="K797" s="154"/>
      <c r="N797" s="154"/>
      <c r="Q797" s="154"/>
      <c r="V797" s="80"/>
    </row>
    <row r="798" spans="8:22">
      <c r="H798" s="154"/>
      <c r="K798" s="154"/>
      <c r="N798" s="154"/>
      <c r="Q798" s="154"/>
      <c r="V798" s="80"/>
    </row>
    <row r="799" spans="8:22">
      <c r="H799" s="154"/>
      <c r="K799" s="154"/>
      <c r="N799" s="154"/>
      <c r="Q799" s="154"/>
      <c r="V799" s="80"/>
    </row>
    <row r="800" spans="8:22">
      <c r="H800" s="154"/>
      <c r="K800" s="154"/>
      <c r="N800" s="154"/>
      <c r="Q800" s="154"/>
      <c r="V800" s="80"/>
    </row>
    <row r="801" spans="8:22">
      <c r="H801" s="154"/>
      <c r="K801" s="154"/>
      <c r="N801" s="154"/>
      <c r="Q801" s="154"/>
      <c r="V801" s="80"/>
    </row>
    <row r="802" spans="8:22">
      <c r="H802" s="154"/>
      <c r="K802" s="154"/>
      <c r="N802" s="154"/>
      <c r="Q802" s="154"/>
      <c r="V802" s="80"/>
    </row>
    <row r="803" spans="8:22">
      <c r="H803" s="154"/>
      <c r="K803" s="154"/>
      <c r="N803" s="154"/>
      <c r="Q803" s="154"/>
      <c r="V803" s="80"/>
    </row>
    <row r="804" spans="8:22">
      <c r="H804" s="154"/>
      <c r="K804" s="154"/>
      <c r="N804" s="154"/>
      <c r="Q804" s="154"/>
      <c r="V804" s="80"/>
    </row>
    <row r="805" spans="8:22">
      <c r="H805" s="154"/>
      <c r="K805" s="154"/>
      <c r="N805" s="154"/>
      <c r="Q805" s="154"/>
      <c r="V805" s="80"/>
    </row>
    <row r="806" spans="8:22">
      <c r="H806" s="154"/>
      <c r="K806" s="154"/>
      <c r="N806" s="154"/>
      <c r="Q806" s="154"/>
      <c r="V806" s="80"/>
    </row>
    <row r="807" spans="8:22">
      <c r="H807" s="154"/>
      <c r="K807" s="154"/>
      <c r="N807" s="154"/>
      <c r="Q807" s="154"/>
      <c r="V807" s="80"/>
    </row>
    <row r="808" spans="8:22">
      <c r="H808" s="154"/>
      <c r="K808" s="154"/>
      <c r="N808" s="154"/>
      <c r="Q808" s="154"/>
      <c r="V808" s="80"/>
    </row>
    <row r="809" spans="8:22">
      <c r="H809" s="154"/>
      <c r="K809" s="154"/>
      <c r="N809" s="154"/>
      <c r="Q809" s="154"/>
      <c r="V809" s="80"/>
    </row>
    <row r="810" spans="8:22">
      <c r="H810" s="154"/>
      <c r="K810" s="154"/>
      <c r="N810" s="154"/>
      <c r="Q810" s="154"/>
      <c r="V810" s="80"/>
    </row>
    <row r="811" spans="8:22">
      <c r="H811" s="154"/>
      <c r="K811" s="154"/>
      <c r="N811" s="154"/>
      <c r="Q811" s="154"/>
      <c r="V811" s="80"/>
    </row>
    <row r="812" spans="8:22">
      <c r="H812" s="154"/>
      <c r="K812" s="154"/>
      <c r="N812" s="154"/>
      <c r="Q812" s="154"/>
      <c r="V812" s="80"/>
    </row>
    <row r="813" spans="8:22">
      <c r="H813" s="154"/>
      <c r="K813" s="154"/>
      <c r="N813" s="154"/>
      <c r="Q813" s="154"/>
      <c r="V813" s="80"/>
    </row>
    <row r="814" spans="8:22">
      <c r="H814" s="154"/>
      <c r="K814" s="154"/>
      <c r="N814" s="154"/>
      <c r="Q814" s="154"/>
      <c r="V814" s="80"/>
    </row>
    <row r="815" spans="8:22">
      <c r="H815" s="154"/>
      <c r="K815" s="154"/>
      <c r="N815" s="154"/>
      <c r="Q815" s="154"/>
      <c r="V815" s="80"/>
    </row>
    <row r="816" spans="8:22">
      <c r="H816" s="154"/>
      <c r="K816" s="154"/>
      <c r="N816" s="154"/>
      <c r="Q816" s="154"/>
      <c r="V816" s="80"/>
    </row>
    <row r="817" spans="8:22">
      <c r="H817" s="154"/>
      <c r="K817" s="154"/>
      <c r="N817" s="154"/>
      <c r="Q817" s="154"/>
      <c r="V817" s="80"/>
    </row>
    <row r="818" spans="8:22">
      <c r="H818" s="154"/>
      <c r="K818" s="154"/>
      <c r="N818" s="154"/>
      <c r="Q818" s="154"/>
      <c r="V818" s="80"/>
    </row>
    <row r="819" spans="8:22">
      <c r="H819" s="154"/>
      <c r="K819" s="154"/>
      <c r="N819" s="154"/>
      <c r="Q819" s="154"/>
      <c r="V819" s="80"/>
    </row>
    <row r="820" spans="8:22">
      <c r="H820" s="154"/>
      <c r="K820" s="154"/>
      <c r="N820" s="154"/>
      <c r="Q820" s="154"/>
      <c r="V820" s="80"/>
    </row>
    <row r="821" spans="8:22">
      <c r="H821" s="154"/>
      <c r="K821" s="154"/>
      <c r="N821" s="154"/>
      <c r="Q821" s="154"/>
      <c r="V821" s="80"/>
    </row>
    <row r="822" spans="8:22">
      <c r="H822" s="154"/>
      <c r="K822" s="154"/>
      <c r="N822" s="154"/>
      <c r="Q822" s="154"/>
      <c r="V822" s="80"/>
    </row>
    <row r="823" spans="8:22">
      <c r="H823" s="154"/>
      <c r="K823" s="154"/>
      <c r="N823" s="154"/>
      <c r="Q823" s="154"/>
      <c r="V823" s="80"/>
    </row>
    <row r="824" spans="8:22">
      <c r="H824" s="154"/>
      <c r="K824" s="154"/>
      <c r="N824" s="154"/>
      <c r="Q824" s="154"/>
      <c r="V824" s="80"/>
    </row>
    <row r="825" spans="8:22">
      <c r="H825" s="154"/>
      <c r="K825" s="154"/>
      <c r="N825" s="154"/>
      <c r="Q825" s="154"/>
      <c r="V825" s="80"/>
    </row>
    <row r="826" spans="8:22">
      <c r="H826" s="154"/>
      <c r="K826" s="154"/>
      <c r="N826" s="154"/>
      <c r="Q826" s="154"/>
      <c r="V826" s="80"/>
    </row>
    <row r="827" spans="8:22">
      <c r="H827" s="154"/>
      <c r="K827" s="154"/>
      <c r="N827" s="154"/>
      <c r="Q827" s="154"/>
      <c r="V827" s="80"/>
    </row>
    <row r="828" spans="8:22">
      <c r="H828" s="154"/>
      <c r="K828" s="154"/>
      <c r="N828" s="154"/>
      <c r="Q828" s="154"/>
      <c r="V828" s="80"/>
    </row>
    <row r="829" spans="8:22">
      <c r="H829" s="154"/>
      <c r="K829" s="154"/>
      <c r="N829" s="154"/>
      <c r="Q829" s="154"/>
      <c r="V829" s="80"/>
    </row>
    <row r="830" spans="8:22">
      <c r="H830" s="154"/>
      <c r="K830" s="154"/>
      <c r="N830" s="154"/>
      <c r="Q830" s="154"/>
      <c r="V830" s="80"/>
    </row>
    <row r="831" spans="8:22">
      <c r="H831" s="154"/>
      <c r="K831" s="154"/>
      <c r="N831" s="154"/>
      <c r="Q831" s="154"/>
      <c r="V831" s="80"/>
    </row>
    <row r="832" spans="8:22">
      <c r="H832" s="154"/>
      <c r="K832" s="154"/>
      <c r="N832" s="154"/>
      <c r="Q832" s="154"/>
      <c r="V832" s="80"/>
    </row>
    <row r="833" spans="8:22">
      <c r="H833" s="154"/>
      <c r="K833" s="154"/>
      <c r="N833" s="154"/>
      <c r="Q833" s="154"/>
      <c r="V833" s="80"/>
    </row>
    <row r="834" spans="8:22">
      <c r="H834" s="154"/>
      <c r="K834" s="154"/>
      <c r="N834" s="154"/>
      <c r="Q834" s="154"/>
      <c r="V834" s="80"/>
    </row>
    <row r="835" spans="8:22">
      <c r="H835" s="154"/>
      <c r="K835" s="154"/>
      <c r="N835" s="154"/>
      <c r="Q835" s="154"/>
      <c r="V835" s="80"/>
    </row>
    <row r="836" spans="8:22">
      <c r="H836" s="154"/>
      <c r="K836" s="154"/>
      <c r="N836" s="154"/>
      <c r="Q836" s="154"/>
      <c r="V836" s="80"/>
    </row>
    <row r="837" spans="8:22">
      <c r="H837" s="154"/>
      <c r="K837" s="154"/>
      <c r="N837" s="154"/>
      <c r="Q837" s="154"/>
      <c r="V837" s="80"/>
    </row>
    <row r="838" spans="8:22">
      <c r="H838" s="154"/>
      <c r="K838" s="154"/>
      <c r="N838" s="154"/>
      <c r="Q838" s="154"/>
      <c r="V838" s="80"/>
    </row>
    <row r="839" spans="8:22">
      <c r="H839" s="154"/>
      <c r="K839" s="154"/>
      <c r="N839" s="154"/>
      <c r="Q839" s="154"/>
      <c r="V839" s="80"/>
    </row>
    <row r="840" spans="8:22">
      <c r="H840" s="154"/>
      <c r="K840" s="154"/>
      <c r="N840" s="154"/>
      <c r="Q840" s="154"/>
      <c r="V840" s="80"/>
    </row>
    <row r="841" spans="8:22">
      <c r="H841" s="154"/>
      <c r="K841" s="154"/>
      <c r="N841" s="154"/>
      <c r="Q841" s="154"/>
      <c r="V841" s="80"/>
    </row>
    <row r="842" spans="8:22">
      <c r="H842" s="154"/>
      <c r="K842" s="154"/>
      <c r="N842" s="154"/>
      <c r="Q842" s="154"/>
      <c r="V842" s="80"/>
    </row>
    <row r="843" spans="8:22">
      <c r="H843" s="154"/>
      <c r="K843" s="154"/>
      <c r="N843" s="154"/>
      <c r="Q843" s="154"/>
      <c r="V843" s="80"/>
    </row>
    <row r="844" spans="8:22">
      <c r="H844" s="154"/>
      <c r="K844" s="154"/>
      <c r="N844" s="154"/>
      <c r="Q844" s="154"/>
      <c r="V844" s="80"/>
    </row>
    <row r="845" spans="8:22">
      <c r="H845" s="154"/>
      <c r="K845" s="154"/>
      <c r="N845" s="154"/>
      <c r="Q845" s="154"/>
      <c r="V845" s="80"/>
    </row>
    <row r="846" spans="8:22">
      <c r="H846" s="154"/>
      <c r="K846" s="154"/>
      <c r="N846" s="154"/>
      <c r="Q846" s="154"/>
      <c r="V846" s="80"/>
    </row>
    <row r="847" spans="8:22">
      <c r="H847" s="154"/>
      <c r="K847" s="154"/>
      <c r="N847" s="154"/>
      <c r="Q847" s="154"/>
      <c r="V847" s="80"/>
    </row>
    <row r="848" spans="8:22">
      <c r="H848" s="154"/>
      <c r="K848" s="154"/>
      <c r="N848" s="154"/>
      <c r="Q848" s="154"/>
      <c r="V848" s="80"/>
    </row>
    <row r="849" spans="8:22">
      <c r="H849" s="154"/>
      <c r="K849" s="154"/>
      <c r="N849" s="154"/>
      <c r="Q849" s="154"/>
      <c r="V849" s="80"/>
    </row>
    <row r="850" spans="8:22">
      <c r="H850" s="154"/>
      <c r="K850" s="154"/>
      <c r="N850" s="154"/>
      <c r="Q850" s="154"/>
      <c r="V850" s="80"/>
    </row>
    <row r="851" spans="8:22">
      <c r="H851" s="154"/>
      <c r="K851" s="154"/>
      <c r="N851" s="154"/>
      <c r="Q851" s="154"/>
      <c r="V851" s="80"/>
    </row>
    <row r="852" spans="8:22">
      <c r="H852" s="154"/>
      <c r="K852" s="154"/>
      <c r="N852" s="154"/>
      <c r="Q852" s="154"/>
      <c r="V852" s="80"/>
    </row>
    <row r="853" spans="8:22">
      <c r="H853" s="154"/>
      <c r="K853" s="154"/>
      <c r="N853" s="154"/>
      <c r="Q853" s="154"/>
      <c r="V853" s="80"/>
    </row>
    <row r="854" spans="8:22">
      <c r="H854" s="154"/>
      <c r="K854" s="154"/>
      <c r="N854" s="154"/>
      <c r="Q854" s="154"/>
      <c r="V854" s="80"/>
    </row>
    <row r="855" spans="8:22">
      <c r="H855" s="154"/>
      <c r="K855" s="154"/>
      <c r="N855" s="154"/>
      <c r="Q855" s="154"/>
      <c r="V855" s="80"/>
    </row>
    <row r="856" spans="8:22">
      <c r="H856" s="154"/>
      <c r="K856" s="154"/>
      <c r="N856" s="154"/>
      <c r="Q856" s="154"/>
      <c r="V856" s="80"/>
    </row>
    <row r="857" spans="8:22">
      <c r="H857" s="154"/>
      <c r="K857" s="154"/>
      <c r="N857" s="154"/>
      <c r="Q857" s="154"/>
      <c r="V857" s="80"/>
    </row>
    <row r="858" spans="8:22">
      <c r="H858" s="154"/>
      <c r="K858" s="154"/>
      <c r="N858" s="154"/>
      <c r="Q858" s="154"/>
      <c r="V858" s="80"/>
    </row>
    <row r="859" spans="8:22">
      <c r="H859" s="154"/>
      <c r="K859" s="154"/>
      <c r="N859" s="154"/>
      <c r="Q859" s="154"/>
      <c r="V859" s="80"/>
    </row>
    <row r="860" spans="8:22">
      <c r="H860" s="154"/>
      <c r="K860" s="154"/>
      <c r="N860" s="154"/>
      <c r="Q860" s="154"/>
      <c r="V860" s="80"/>
    </row>
    <row r="861" spans="8:22">
      <c r="H861" s="154"/>
      <c r="K861" s="154"/>
      <c r="N861" s="154"/>
      <c r="Q861" s="154"/>
      <c r="V861" s="80"/>
    </row>
    <row r="862" spans="8:22">
      <c r="H862" s="154"/>
      <c r="K862" s="154"/>
      <c r="N862" s="154"/>
      <c r="Q862" s="154"/>
      <c r="V862" s="80"/>
    </row>
    <row r="863" spans="8:22">
      <c r="H863" s="154"/>
      <c r="K863" s="154"/>
      <c r="N863" s="154"/>
      <c r="Q863" s="154"/>
      <c r="V863" s="80"/>
    </row>
    <row r="864" spans="8:22">
      <c r="H864" s="154"/>
      <c r="K864" s="154"/>
      <c r="N864" s="154"/>
      <c r="Q864" s="154"/>
      <c r="V864" s="80"/>
    </row>
    <row r="865" spans="8:22">
      <c r="H865" s="154"/>
      <c r="K865" s="154"/>
      <c r="N865" s="154"/>
      <c r="Q865" s="154"/>
      <c r="V865" s="80"/>
    </row>
    <row r="866" spans="8:22">
      <c r="H866" s="154"/>
      <c r="K866" s="154"/>
      <c r="N866" s="154"/>
      <c r="Q866" s="154"/>
      <c r="V866" s="80"/>
    </row>
    <row r="867" spans="8:22">
      <c r="H867" s="154"/>
      <c r="K867" s="154"/>
      <c r="N867" s="154"/>
      <c r="Q867" s="154"/>
      <c r="V867" s="80"/>
    </row>
    <row r="868" spans="8:22">
      <c r="H868" s="154"/>
      <c r="K868" s="154"/>
      <c r="N868" s="154"/>
      <c r="Q868" s="154"/>
      <c r="V868" s="80"/>
    </row>
    <row r="869" spans="8:22">
      <c r="H869" s="154"/>
      <c r="K869" s="154"/>
      <c r="N869" s="154"/>
      <c r="Q869" s="154"/>
      <c r="V869" s="80"/>
    </row>
    <row r="870" spans="8:22">
      <c r="H870" s="154"/>
      <c r="K870" s="154"/>
      <c r="N870" s="154"/>
      <c r="Q870" s="154"/>
      <c r="V870" s="80"/>
    </row>
    <row r="871" spans="8:22">
      <c r="H871" s="154"/>
      <c r="K871" s="154"/>
      <c r="N871" s="154"/>
      <c r="Q871" s="154"/>
      <c r="V871" s="80"/>
    </row>
    <row r="872" spans="8:22">
      <c r="H872" s="154"/>
      <c r="K872" s="154"/>
      <c r="N872" s="154"/>
      <c r="Q872" s="154"/>
      <c r="V872" s="80"/>
    </row>
    <row r="873" spans="8:22">
      <c r="H873" s="154"/>
      <c r="K873" s="154"/>
      <c r="N873" s="154"/>
      <c r="Q873" s="154"/>
      <c r="V873" s="80"/>
    </row>
    <row r="874" spans="8:22">
      <c r="H874" s="154"/>
      <c r="K874" s="154"/>
      <c r="N874" s="154"/>
      <c r="Q874" s="154"/>
      <c r="V874" s="80"/>
    </row>
    <row r="875" spans="8:22">
      <c r="H875" s="154"/>
      <c r="K875" s="154"/>
      <c r="N875" s="154"/>
      <c r="Q875" s="154"/>
      <c r="V875" s="80"/>
    </row>
    <row r="876" spans="8:22">
      <c r="H876" s="154"/>
      <c r="K876" s="154"/>
      <c r="N876" s="154"/>
      <c r="Q876" s="154"/>
      <c r="V876" s="80"/>
    </row>
    <row r="877" spans="8:22">
      <c r="H877" s="154"/>
      <c r="K877" s="154"/>
      <c r="N877" s="154"/>
      <c r="Q877" s="154"/>
      <c r="V877" s="80"/>
    </row>
    <row r="878" spans="8:22">
      <c r="H878" s="154"/>
      <c r="K878" s="154"/>
      <c r="N878" s="154"/>
      <c r="Q878" s="154"/>
      <c r="V878" s="80"/>
    </row>
    <row r="879" spans="8:22">
      <c r="H879" s="154"/>
      <c r="K879" s="154"/>
      <c r="N879" s="154"/>
      <c r="Q879" s="154"/>
      <c r="V879" s="80"/>
    </row>
    <row r="880" spans="8:22">
      <c r="H880" s="154"/>
      <c r="K880" s="154"/>
      <c r="N880" s="154"/>
      <c r="Q880" s="154"/>
      <c r="V880" s="80"/>
    </row>
    <row r="881" spans="8:22">
      <c r="H881" s="154"/>
      <c r="K881" s="154"/>
      <c r="N881" s="154"/>
      <c r="Q881" s="154"/>
      <c r="V881" s="80"/>
    </row>
    <row r="882" spans="8:22">
      <c r="H882" s="154"/>
      <c r="K882" s="154"/>
      <c r="N882" s="154"/>
      <c r="Q882" s="154"/>
      <c r="V882" s="80"/>
    </row>
    <row r="883" spans="8:22">
      <c r="H883" s="154"/>
      <c r="K883" s="154"/>
      <c r="N883" s="154"/>
      <c r="Q883" s="154"/>
      <c r="V883" s="80"/>
    </row>
    <row r="884" spans="8:22">
      <c r="H884" s="154"/>
      <c r="K884" s="154"/>
      <c r="N884" s="154"/>
      <c r="Q884" s="154"/>
      <c r="V884" s="80"/>
    </row>
    <row r="885" spans="8:22">
      <c r="H885" s="154"/>
      <c r="K885" s="154"/>
      <c r="N885" s="154"/>
      <c r="Q885" s="154"/>
      <c r="V885" s="80"/>
    </row>
    <row r="886" spans="8:22">
      <c r="H886" s="154"/>
      <c r="K886" s="154"/>
      <c r="N886" s="154"/>
      <c r="Q886" s="154"/>
      <c r="V886" s="80"/>
    </row>
    <row r="887" spans="8:22">
      <c r="H887" s="154"/>
      <c r="K887" s="154"/>
      <c r="N887" s="154"/>
      <c r="Q887" s="154"/>
      <c r="V887" s="80"/>
    </row>
    <row r="888" spans="8:22">
      <c r="H888" s="154"/>
      <c r="K888" s="154"/>
      <c r="N888" s="154"/>
      <c r="Q888" s="154"/>
      <c r="V888" s="80"/>
    </row>
    <row r="889" spans="8:22">
      <c r="H889" s="154"/>
      <c r="K889" s="154"/>
      <c r="N889" s="154"/>
      <c r="Q889" s="154"/>
      <c r="V889" s="80"/>
    </row>
    <row r="890" spans="8:22">
      <c r="H890" s="154"/>
      <c r="K890" s="154"/>
      <c r="N890" s="154"/>
      <c r="Q890" s="154"/>
      <c r="V890" s="80"/>
    </row>
    <row r="891" spans="8:22">
      <c r="H891" s="154"/>
      <c r="K891" s="154"/>
      <c r="N891" s="154"/>
      <c r="Q891" s="154"/>
      <c r="V891" s="80"/>
    </row>
    <row r="892" spans="8:22">
      <c r="H892" s="154"/>
      <c r="K892" s="154"/>
      <c r="N892" s="154"/>
      <c r="Q892" s="154"/>
      <c r="V892" s="80"/>
    </row>
    <row r="893" spans="8:22">
      <c r="H893" s="154"/>
      <c r="K893" s="154"/>
      <c r="N893" s="154"/>
      <c r="Q893" s="154"/>
      <c r="V893" s="80"/>
    </row>
    <row r="894" spans="8:22">
      <c r="H894" s="154"/>
      <c r="K894" s="154"/>
      <c r="N894" s="154"/>
      <c r="Q894" s="154"/>
      <c r="V894" s="80"/>
    </row>
    <row r="895" spans="8:22">
      <c r="H895" s="154"/>
      <c r="K895" s="154"/>
      <c r="N895" s="154"/>
      <c r="Q895" s="154"/>
      <c r="V895" s="80"/>
    </row>
    <row r="896" spans="8:22">
      <c r="H896" s="154"/>
      <c r="K896" s="154"/>
      <c r="N896" s="154"/>
      <c r="Q896" s="154"/>
      <c r="V896" s="80"/>
    </row>
    <row r="897" spans="8:22">
      <c r="H897" s="154"/>
      <c r="K897" s="154"/>
      <c r="N897" s="154"/>
      <c r="Q897" s="154"/>
      <c r="V897" s="80"/>
    </row>
    <row r="898" spans="8:22">
      <c r="H898" s="154"/>
      <c r="K898" s="154"/>
      <c r="N898" s="154"/>
      <c r="Q898" s="154"/>
      <c r="V898" s="80"/>
    </row>
    <row r="899" spans="8:22">
      <c r="H899" s="154"/>
      <c r="K899" s="154"/>
      <c r="N899" s="154"/>
      <c r="Q899" s="154"/>
      <c r="V899" s="80"/>
    </row>
    <row r="900" spans="8:22">
      <c r="H900" s="154"/>
      <c r="K900" s="154"/>
      <c r="N900" s="154"/>
      <c r="Q900" s="154"/>
      <c r="V900" s="80"/>
    </row>
    <row r="901" spans="8:22">
      <c r="H901" s="154"/>
      <c r="K901" s="154"/>
      <c r="N901" s="154"/>
      <c r="Q901" s="154"/>
      <c r="V901" s="80"/>
    </row>
    <row r="902" spans="8:22">
      <c r="H902" s="154"/>
      <c r="K902" s="154"/>
      <c r="N902" s="154"/>
      <c r="Q902" s="154"/>
      <c r="V902" s="80"/>
    </row>
    <row r="903" spans="8:22">
      <c r="H903" s="154"/>
      <c r="K903" s="154"/>
      <c r="N903" s="154"/>
      <c r="Q903" s="154"/>
      <c r="V903" s="80"/>
    </row>
    <row r="904" spans="8:22">
      <c r="H904" s="154"/>
      <c r="K904" s="154"/>
      <c r="N904" s="154"/>
      <c r="Q904" s="154"/>
      <c r="V904" s="80"/>
    </row>
    <row r="905" spans="8:22">
      <c r="H905" s="154"/>
      <c r="K905" s="154"/>
      <c r="N905" s="154"/>
      <c r="Q905" s="154"/>
      <c r="V905" s="80"/>
    </row>
    <row r="906" spans="8:22">
      <c r="H906" s="154"/>
      <c r="K906" s="154"/>
      <c r="N906" s="154"/>
      <c r="Q906" s="154"/>
      <c r="V906" s="80"/>
    </row>
    <row r="907" spans="8:22">
      <c r="H907" s="154"/>
      <c r="K907" s="154"/>
      <c r="N907" s="154"/>
      <c r="Q907" s="154"/>
      <c r="V907" s="80"/>
    </row>
    <row r="908" spans="8:22">
      <c r="H908" s="154"/>
      <c r="K908" s="154"/>
      <c r="N908" s="154"/>
      <c r="Q908" s="154"/>
      <c r="V908" s="80"/>
    </row>
    <row r="909" spans="8:22">
      <c r="H909" s="154"/>
      <c r="K909" s="154"/>
      <c r="N909" s="154"/>
      <c r="Q909" s="154"/>
      <c r="V909" s="80"/>
    </row>
    <row r="910" spans="8:22">
      <c r="H910" s="154"/>
      <c r="K910" s="154"/>
      <c r="N910" s="154"/>
      <c r="Q910" s="154"/>
      <c r="V910" s="80"/>
    </row>
    <row r="911" spans="8:22">
      <c r="H911" s="154"/>
      <c r="K911" s="154"/>
      <c r="N911" s="154"/>
      <c r="Q911" s="154"/>
      <c r="V911" s="80"/>
    </row>
    <row r="912" spans="8:22">
      <c r="H912" s="154"/>
      <c r="K912" s="154"/>
      <c r="N912" s="154"/>
      <c r="Q912" s="154"/>
      <c r="V912" s="80"/>
    </row>
    <row r="913" spans="8:22">
      <c r="H913" s="154"/>
      <c r="K913" s="154"/>
      <c r="N913" s="154"/>
      <c r="Q913" s="154"/>
      <c r="V913" s="80"/>
    </row>
    <row r="914" spans="8:22">
      <c r="H914" s="154"/>
      <c r="K914" s="154"/>
      <c r="N914" s="154"/>
      <c r="Q914" s="154"/>
      <c r="V914" s="80"/>
    </row>
    <row r="915" spans="8:22">
      <c r="H915" s="154"/>
      <c r="K915" s="154"/>
      <c r="N915" s="154"/>
      <c r="Q915" s="154"/>
      <c r="V915" s="80"/>
    </row>
    <row r="916" spans="8:22">
      <c r="H916" s="154"/>
      <c r="K916" s="154"/>
      <c r="N916" s="154"/>
      <c r="Q916" s="154"/>
      <c r="V916" s="80"/>
    </row>
    <row r="917" spans="8:22">
      <c r="H917" s="154"/>
      <c r="K917" s="154"/>
      <c r="N917" s="154"/>
      <c r="Q917" s="154"/>
      <c r="V917" s="80"/>
    </row>
    <row r="918" spans="8:22">
      <c r="H918" s="154"/>
      <c r="K918" s="154"/>
      <c r="N918" s="154"/>
      <c r="Q918" s="154"/>
      <c r="V918" s="80"/>
    </row>
    <row r="919" spans="8:22">
      <c r="H919" s="154"/>
      <c r="K919" s="154"/>
      <c r="N919" s="154"/>
      <c r="Q919" s="154"/>
      <c r="V919" s="80"/>
    </row>
    <row r="920" spans="8:22">
      <c r="H920" s="154"/>
      <c r="K920" s="154"/>
      <c r="N920" s="154"/>
      <c r="Q920" s="154"/>
      <c r="V920" s="80"/>
    </row>
    <row r="921" spans="8:22">
      <c r="H921" s="154"/>
      <c r="K921" s="154"/>
      <c r="N921" s="154"/>
      <c r="Q921" s="154"/>
      <c r="V921" s="80"/>
    </row>
    <row r="922" spans="8:22">
      <c r="H922" s="154"/>
      <c r="K922" s="154"/>
      <c r="N922" s="154"/>
      <c r="Q922" s="154"/>
      <c r="V922" s="80"/>
    </row>
    <row r="923" spans="8:22">
      <c r="H923" s="154"/>
      <c r="K923" s="154"/>
      <c r="N923" s="154"/>
      <c r="Q923" s="154"/>
      <c r="V923" s="80"/>
    </row>
    <row r="924" spans="8:22">
      <c r="H924" s="154"/>
      <c r="K924" s="154"/>
      <c r="N924" s="154"/>
      <c r="Q924" s="154"/>
      <c r="V924" s="80"/>
    </row>
    <row r="925" spans="8:22">
      <c r="H925" s="154"/>
      <c r="K925" s="154"/>
      <c r="N925" s="154"/>
      <c r="Q925" s="154"/>
      <c r="V925" s="80"/>
    </row>
    <row r="926" spans="8:22">
      <c r="H926" s="154"/>
      <c r="K926" s="154"/>
      <c r="N926" s="154"/>
      <c r="Q926" s="154"/>
      <c r="V926" s="80"/>
    </row>
    <row r="927" spans="8:22">
      <c r="H927" s="154"/>
      <c r="K927" s="154"/>
      <c r="N927" s="154"/>
      <c r="Q927" s="154"/>
      <c r="V927" s="80"/>
    </row>
    <row r="928" spans="8:22">
      <c r="H928" s="154"/>
      <c r="K928" s="154"/>
      <c r="N928" s="154"/>
      <c r="Q928" s="154"/>
      <c r="V928" s="80"/>
    </row>
    <row r="929" spans="8:22">
      <c r="H929" s="154"/>
      <c r="K929" s="154"/>
      <c r="N929" s="154"/>
      <c r="Q929" s="154"/>
      <c r="V929" s="80"/>
    </row>
    <row r="930" spans="8:22">
      <c r="H930" s="154"/>
      <c r="K930" s="154"/>
      <c r="N930" s="154"/>
      <c r="Q930" s="154"/>
      <c r="V930" s="80"/>
    </row>
    <row r="931" spans="8:22">
      <c r="H931" s="154"/>
      <c r="K931" s="154"/>
      <c r="N931" s="154"/>
      <c r="Q931" s="154"/>
      <c r="V931" s="80"/>
    </row>
    <row r="932" spans="8:22">
      <c r="H932" s="154"/>
      <c r="K932" s="154"/>
      <c r="N932" s="154"/>
      <c r="Q932" s="154"/>
      <c r="V932" s="80"/>
    </row>
    <row r="933" spans="8:22">
      <c r="H933" s="154"/>
      <c r="K933" s="154"/>
      <c r="N933" s="154"/>
      <c r="Q933" s="154"/>
      <c r="V933" s="80"/>
    </row>
    <row r="934" spans="8:22">
      <c r="H934" s="154"/>
      <c r="K934" s="154"/>
      <c r="N934" s="154"/>
      <c r="Q934" s="154"/>
      <c r="V934" s="80"/>
    </row>
    <row r="935" spans="8:22">
      <c r="H935" s="154"/>
      <c r="K935" s="154"/>
      <c r="N935" s="154"/>
      <c r="Q935" s="154"/>
      <c r="V935" s="80"/>
    </row>
    <row r="936" spans="8:22">
      <c r="H936" s="154"/>
      <c r="K936" s="154"/>
      <c r="N936" s="154"/>
      <c r="Q936" s="154"/>
      <c r="V936" s="80"/>
    </row>
    <row r="937" spans="8:22">
      <c r="H937" s="154"/>
      <c r="K937" s="154"/>
      <c r="N937" s="154"/>
      <c r="Q937" s="154"/>
      <c r="V937" s="80"/>
    </row>
    <row r="938" spans="8:22">
      <c r="H938" s="154"/>
      <c r="K938" s="154"/>
      <c r="N938" s="154"/>
      <c r="Q938" s="154"/>
      <c r="V938" s="80"/>
    </row>
    <row r="939" spans="8:22">
      <c r="H939" s="154"/>
      <c r="K939" s="154"/>
      <c r="N939" s="154"/>
      <c r="Q939" s="154"/>
      <c r="V939" s="80"/>
    </row>
    <row r="940" spans="8:22">
      <c r="H940" s="154"/>
      <c r="K940" s="154"/>
      <c r="N940" s="154"/>
      <c r="Q940" s="154"/>
      <c r="V940" s="80"/>
    </row>
    <row r="941" spans="8:22">
      <c r="H941" s="154"/>
      <c r="K941" s="154"/>
      <c r="N941" s="154"/>
      <c r="Q941" s="154"/>
      <c r="V941" s="80"/>
    </row>
    <row r="942" spans="8:22">
      <c r="H942" s="154"/>
      <c r="K942" s="154"/>
      <c r="N942" s="154"/>
      <c r="Q942" s="154"/>
      <c r="V942" s="80"/>
    </row>
    <row r="943" spans="8:22">
      <c r="H943" s="154"/>
      <c r="K943" s="154"/>
      <c r="N943" s="154"/>
      <c r="Q943" s="154"/>
      <c r="V943" s="80"/>
    </row>
    <row r="944" spans="8:22">
      <c r="H944" s="154"/>
      <c r="K944" s="154"/>
      <c r="N944" s="154"/>
      <c r="Q944" s="154"/>
      <c r="V944" s="80"/>
    </row>
    <row r="945" spans="8:22">
      <c r="H945" s="154"/>
      <c r="K945" s="154"/>
      <c r="N945" s="154"/>
      <c r="Q945" s="154"/>
      <c r="V945" s="80"/>
    </row>
    <row r="946" spans="8:22">
      <c r="H946" s="154"/>
      <c r="K946" s="154"/>
      <c r="N946" s="154"/>
      <c r="Q946" s="154"/>
      <c r="V946" s="80"/>
    </row>
    <row r="947" spans="8:22">
      <c r="H947" s="154"/>
      <c r="K947" s="154"/>
      <c r="N947" s="154"/>
      <c r="Q947" s="154"/>
      <c r="V947" s="80"/>
    </row>
    <row r="948" spans="8:22">
      <c r="H948" s="154"/>
      <c r="K948" s="154"/>
      <c r="N948" s="154"/>
      <c r="Q948" s="154"/>
      <c r="V948" s="80"/>
    </row>
    <row r="949" spans="8:22">
      <c r="H949" s="154"/>
      <c r="K949" s="154"/>
      <c r="N949" s="154"/>
      <c r="Q949" s="154"/>
      <c r="V949" s="80"/>
    </row>
    <row r="950" spans="8:22">
      <c r="H950" s="154"/>
      <c r="K950" s="154"/>
      <c r="N950" s="154"/>
      <c r="Q950" s="154"/>
      <c r="V950" s="80"/>
    </row>
    <row r="951" spans="8:22">
      <c r="H951" s="154"/>
      <c r="K951" s="154"/>
      <c r="N951" s="154"/>
      <c r="Q951" s="154"/>
      <c r="V951" s="80"/>
    </row>
    <row r="952" spans="8:22">
      <c r="H952" s="154"/>
      <c r="K952" s="154"/>
      <c r="N952" s="154"/>
      <c r="Q952" s="154"/>
      <c r="V952" s="80"/>
    </row>
    <row r="953" spans="8:22">
      <c r="H953" s="154"/>
      <c r="K953" s="154"/>
      <c r="N953" s="154"/>
      <c r="Q953" s="154"/>
      <c r="V953" s="80"/>
    </row>
    <row r="954" spans="8:22">
      <c r="H954" s="154"/>
      <c r="K954" s="154"/>
      <c r="N954" s="154"/>
      <c r="Q954" s="154"/>
      <c r="V954" s="80"/>
    </row>
    <row r="955" spans="8:22">
      <c r="H955" s="154"/>
      <c r="K955" s="154"/>
      <c r="N955" s="154"/>
      <c r="Q955" s="154"/>
      <c r="V955" s="80"/>
    </row>
    <row r="956" spans="8:22">
      <c r="H956" s="154"/>
      <c r="K956" s="154"/>
      <c r="N956" s="154"/>
      <c r="Q956" s="154"/>
      <c r="V956" s="80"/>
    </row>
    <row r="957" spans="8:22">
      <c r="H957" s="154"/>
      <c r="K957" s="154"/>
      <c r="N957" s="154"/>
      <c r="Q957" s="154"/>
      <c r="V957" s="80"/>
    </row>
    <row r="958" spans="8:22">
      <c r="H958" s="154"/>
      <c r="K958" s="154"/>
      <c r="N958" s="154"/>
      <c r="Q958" s="154"/>
      <c r="V958" s="80"/>
    </row>
    <row r="959" spans="8:22">
      <c r="H959" s="154"/>
      <c r="K959" s="154"/>
      <c r="N959" s="154"/>
      <c r="Q959" s="154"/>
      <c r="V959" s="80"/>
    </row>
    <row r="960" spans="8:22">
      <c r="H960" s="154"/>
      <c r="K960" s="154"/>
      <c r="N960" s="154"/>
      <c r="Q960" s="154"/>
      <c r="V960" s="80"/>
    </row>
    <row r="961" spans="8:22">
      <c r="H961" s="154"/>
      <c r="K961" s="154"/>
      <c r="N961" s="154"/>
      <c r="Q961" s="154"/>
      <c r="V961" s="80"/>
    </row>
    <row r="962" spans="8:22">
      <c r="H962" s="154"/>
      <c r="K962" s="154"/>
      <c r="N962" s="154"/>
      <c r="Q962" s="154"/>
      <c r="V962" s="80"/>
    </row>
    <row r="963" spans="8:22">
      <c r="H963" s="154"/>
      <c r="K963" s="154"/>
      <c r="N963" s="154"/>
      <c r="Q963" s="154"/>
      <c r="V963" s="80"/>
    </row>
    <row r="964" spans="8:22">
      <c r="H964" s="154"/>
      <c r="K964" s="154"/>
      <c r="N964" s="154"/>
      <c r="Q964" s="154"/>
      <c r="V964" s="80"/>
    </row>
    <row r="965" spans="8:22">
      <c r="H965" s="154"/>
      <c r="K965" s="154"/>
      <c r="N965" s="154"/>
      <c r="Q965" s="154"/>
      <c r="V965" s="80"/>
    </row>
    <row r="966" spans="8:22">
      <c r="H966" s="154"/>
      <c r="K966" s="154"/>
      <c r="N966" s="154"/>
      <c r="Q966" s="154"/>
      <c r="V966" s="80"/>
    </row>
    <row r="967" spans="8:22">
      <c r="H967" s="154"/>
      <c r="K967" s="154"/>
      <c r="N967" s="154"/>
      <c r="Q967" s="154"/>
      <c r="V967" s="80"/>
    </row>
    <row r="968" spans="8:22">
      <c r="H968" s="154"/>
      <c r="K968" s="154"/>
      <c r="N968" s="154"/>
      <c r="Q968" s="154"/>
      <c r="V968" s="80"/>
    </row>
    <row r="969" spans="8:22">
      <c r="H969" s="154"/>
      <c r="K969" s="154"/>
      <c r="N969" s="154"/>
      <c r="Q969" s="154"/>
      <c r="V969" s="80"/>
    </row>
    <row r="970" spans="8:22">
      <c r="H970" s="154"/>
      <c r="K970" s="154"/>
      <c r="N970" s="154"/>
      <c r="Q970" s="154"/>
      <c r="V970" s="80"/>
    </row>
    <row r="971" spans="8:22">
      <c r="H971" s="154"/>
      <c r="K971" s="154"/>
      <c r="N971" s="154"/>
      <c r="Q971" s="154"/>
      <c r="V971" s="80"/>
    </row>
    <row r="972" spans="8:22">
      <c r="H972" s="154"/>
      <c r="K972" s="154"/>
      <c r="N972" s="154"/>
      <c r="Q972" s="154"/>
      <c r="V972" s="80"/>
    </row>
    <row r="973" spans="8:22">
      <c r="H973" s="154"/>
      <c r="K973" s="154"/>
      <c r="N973" s="154"/>
      <c r="Q973" s="154"/>
      <c r="V973" s="80"/>
    </row>
    <row r="974" spans="8:22">
      <c r="H974" s="154"/>
      <c r="K974" s="154"/>
      <c r="N974" s="154"/>
      <c r="Q974" s="154"/>
      <c r="V974" s="80"/>
    </row>
    <row r="975" spans="8:22">
      <c r="H975" s="154"/>
      <c r="K975" s="154"/>
      <c r="N975" s="154"/>
      <c r="Q975" s="154"/>
      <c r="V975" s="80"/>
    </row>
    <row r="976" spans="8:22">
      <c r="H976" s="154"/>
      <c r="K976" s="154"/>
      <c r="N976" s="154"/>
      <c r="Q976" s="154"/>
      <c r="V976" s="80"/>
    </row>
    <row r="977" spans="8:22">
      <c r="H977" s="154"/>
      <c r="K977" s="154"/>
      <c r="N977" s="154"/>
      <c r="Q977" s="154"/>
      <c r="V977" s="80"/>
    </row>
    <row r="978" spans="8:22">
      <c r="H978" s="154"/>
      <c r="K978" s="154"/>
      <c r="N978" s="154"/>
      <c r="Q978" s="154"/>
      <c r="V978" s="80"/>
    </row>
    <row r="979" spans="8:22">
      <c r="H979" s="154"/>
      <c r="K979" s="154"/>
      <c r="N979" s="154"/>
      <c r="Q979" s="154"/>
      <c r="V979" s="80"/>
    </row>
    <row r="980" spans="8:22">
      <c r="H980" s="154"/>
      <c r="K980" s="154"/>
      <c r="N980" s="154"/>
      <c r="Q980" s="154"/>
      <c r="V980" s="80"/>
    </row>
    <row r="981" spans="8:22">
      <c r="H981" s="154"/>
      <c r="K981" s="154"/>
      <c r="N981" s="154"/>
      <c r="Q981" s="154"/>
      <c r="V981" s="80"/>
    </row>
    <row r="982" spans="8:22">
      <c r="H982" s="154"/>
      <c r="K982" s="154"/>
      <c r="N982" s="154"/>
      <c r="Q982" s="154"/>
      <c r="V982" s="80"/>
    </row>
    <row r="983" spans="8:22">
      <c r="H983" s="154"/>
      <c r="K983" s="154"/>
      <c r="N983" s="154"/>
      <c r="Q983" s="154"/>
      <c r="V983" s="80"/>
    </row>
    <row r="984" spans="8:22">
      <c r="H984" s="154"/>
      <c r="K984" s="154"/>
      <c r="N984" s="154"/>
      <c r="Q984" s="154"/>
      <c r="V984" s="80"/>
    </row>
    <row r="985" spans="8:22">
      <c r="H985" s="154"/>
      <c r="K985" s="154"/>
      <c r="N985" s="154"/>
      <c r="Q985" s="154"/>
      <c r="V985" s="80"/>
    </row>
    <row r="986" spans="8:22">
      <c r="H986" s="154"/>
      <c r="K986" s="154"/>
      <c r="N986" s="154"/>
      <c r="Q986" s="154"/>
      <c r="V986" s="80"/>
    </row>
    <row r="987" spans="8:22">
      <c r="H987" s="154"/>
      <c r="K987" s="154"/>
      <c r="N987" s="154"/>
      <c r="Q987" s="154"/>
      <c r="V987" s="80"/>
    </row>
    <row r="988" spans="8:22">
      <c r="H988" s="154"/>
      <c r="K988" s="154"/>
      <c r="N988" s="154"/>
      <c r="Q988" s="154"/>
      <c r="V988" s="80"/>
    </row>
    <row r="989" spans="8:22">
      <c r="H989" s="154"/>
      <c r="K989" s="154"/>
      <c r="N989" s="154"/>
      <c r="Q989" s="154"/>
      <c r="V989" s="80"/>
    </row>
    <row r="990" spans="8:22">
      <c r="H990" s="154"/>
      <c r="K990" s="154"/>
      <c r="N990" s="154"/>
      <c r="Q990" s="154"/>
      <c r="V990" s="80"/>
    </row>
    <row r="991" spans="8:22">
      <c r="H991" s="154"/>
      <c r="K991" s="154"/>
      <c r="N991" s="154"/>
      <c r="Q991" s="154"/>
      <c r="V991" s="80"/>
    </row>
    <row r="992" spans="8:22">
      <c r="H992" s="154"/>
      <c r="K992" s="154"/>
      <c r="N992" s="154"/>
      <c r="Q992" s="154"/>
      <c r="V992" s="80"/>
    </row>
    <row r="993" spans="8:22">
      <c r="H993" s="154"/>
      <c r="K993" s="154"/>
      <c r="N993" s="154"/>
      <c r="Q993" s="154"/>
      <c r="V993" s="80"/>
    </row>
    <row r="994" spans="8:22">
      <c r="H994" s="154"/>
      <c r="K994" s="154"/>
      <c r="N994" s="154"/>
      <c r="Q994" s="154"/>
      <c r="V994" s="80"/>
    </row>
    <row r="995" spans="8:22">
      <c r="H995" s="154"/>
      <c r="K995" s="154"/>
      <c r="N995" s="154"/>
      <c r="Q995" s="154"/>
      <c r="V995" s="80"/>
    </row>
    <row r="996" spans="8:22">
      <c r="H996" s="154"/>
      <c r="K996" s="154"/>
      <c r="N996" s="154"/>
      <c r="Q996" s="154"/>
      <c r="V996" s="80"/>
    </row>
    <row r="997" spans="8:22">
      <c r="H997" s="154"/>
      <c r="K997" s="154"/>
      <c r="N997" s="154"/>
      <c r="Q997" s="154"/>
      <c r="V997" s="80"/>
    </row>
    <row r="998" spans="8:22">
      <c r="H998" s="154"/>
      <c r="K998" s="154"/>
      <c r="N998" s="154"/>
      <c r="Q998" s="154"/>
      <c r="V998" s="80"/>
    </row>
    <row r="999" spans="8:22">
      <c r="H999" s="154"/>
      <c r="K999" s="154"/>
      <c r="N999" s="154"/>
      <c r="Q999" s="154"/>
      <c r="V999" s="80"/>
    </row>
    <row r="1000" spans="8:22">
      <c r="H1000" s="154"/>
      <c r="K1000" s="154"/>
      <c r="N1000" s="154"/>
      <c r="Q1000" s="154"/>
      <c r="V1000" s="80"/>
    </row>
    <row r="1001" spans="8:22">
      <c r="H1001" s="154"/>
      <c r="K1001" s="154"/>
      <c r="N1001" s="154"/>
      <c r="Q1001" s="154"/>
      <c r="V1001" s="80"/>
    </row>
    <row r="1002" spans="8:22">
      <c r="H1002" s="154"/>
      <c r="K1002" s="154"/>
      <c r="N1002" s="154"/>
      <c r="Q1002" s="154"/>
      <c r="V1002" s="80"/>
    </row>
    <row r="1003" spans="8:22">
      <c r="H1003" s="154"/>
      <c r="K1003" s="154"/>
      <c r="N1003" s="154"/>
      <c r="Q1003" s="154"/>
      <c r="V1003" s="80"/>
    </row>
    <row r="1004" spans="8:22">
      <c r="H1004" s="154"/>
      <c r="K1004" s="154"/>
      <c r="N1004" s="154"/>
      <c r="Q1004" s="154"/>
      <c r="V1004" s="80"/>
    </row>
    <row r="1005" spans="8:22">
      <c r="H1005" s="154"/>
      <c r="K1005" s="154"/>
      <c r="N1005" s="154"/>
      <c r="Q1005" s="154"/>
      <c r="V1005" s="80"/>
    </row>
    <row r="1006" spans="8:22">
      <c r="H1006" s="154"/>
      <c r="K1006" s="154"/>
      <c r="N1006" s="154"/>
      <c r="Q1006" s="154"/>
      <c r="V1006" s="80"/>
    </row>
    <row r="1007" spans="8:22">
      <c r="H1007" s="154"/>
      <c r="K1007" s="154"/>
      <c r="N1007" s="154"/>
      <c r="Q1007" s="154"/>
      <c r="V1007" s="80"/>
    </row>
    <row r="1008" spans="8:22">
      <c r="H1008" s="154"/>
      <c r="K1008" s="154"/>
      <c r="N1008" s="154"/>
      <c r="Q1008" s="154"/>
      <c r="V1008" s="80"/>
    </row>
    <row r="1009" spans="8:22">
      <c r="H1009" s="154"/>
      <c r="K1009" s="154"/>
      <c r="N1009" s="154"/>
      <c r="Q1009" s="154"/>
      <c r="V1009" s="80"/>
    </row>
    <row r="1010" spans="8:22">
      <c r="H1010" s="154"/>
      <c r="K1010" s="154"/>
      <c r="N1010" s="154"/>
      <c r="Q1010" s="154"/>
      <c r="V1010" s="80"/>
    </row>
    <row r="1011" spans="8:22">
      <c r="H1011" s="154"/>
      <c r="K1011" s="154"/>
      <c r="N1011" s="154"/>
      <c r="Q1011" s="154"/>
      <c r="V1011" s="80"/>
    </row>
    <row r="1012" spans="8:22">
      <c r="H1012" s="154"/>
      <c r="K1012" s="154"/>
      <c r="N1012" s="154"/>
      <c r="Q1012" s="154"/>
      <c r="V1012" s="80"/>
    </row>
    <row r="1013" spans="8:22">
      <c r="H1013" s="154"/>
      <c r="K1013" s="154"/>
      <c r="N1013" s="154"/>
      <c r="Q1013" s="154"/>
      <c r="V1013" s="80"/>
    </row>
    <row r="1014" spans="8:22">
      <c r="H1014" s="154"/>
      <c r="K1014" s="154"/>
      <c r="N1014" s="154"/>
      <c r="Q1014" s="154"/>
      <c r="V1014" s="80"/>
    </row>
    <row r="1015" spans="8:22">
      <c r="H1015" s="154"/>
      <c r="K1015" s="154"/>
      <c r="N1015" s="154"/>
      <c r="Q1015" s="154"/>
      <c r="V1015" s="80"/>
    </row>
    <row r="1016" spans="8:22">
      <c r="H1016" s="154"/>
      <c r="K1016" s="154"/>
      <c r="N1016" s="154"/>
      <c r="Q1016" s="154"/>
      <c r="V1016" s="80"/>
    </row>
    <row r="1017" spans="8:22">
      <c r="H1017" s="154"/>
      <c r="K1017" s="154"/>
      <c r="N1017" s="154"/>
      <c r="Q1017" s="154"/>
      <c r="V1017" s="80"/>
    </row>
    <row r="1018" spans="8:22">
      <c r="H1018" s="154"/>
      <c r="K1018" s="154"/>
      <c r="N1018" s="154"/>
      <c r="Q1018" s="154"/>
      <c r="V1018" s="80"/>
    </row>
    <row r="1019" spans="8:22">
      <c r="H1019" s="154"/>
      <c r="K1019" s="154"/>
      <c r="N1019" s="154"/>
      <c r="Q1019" s="154"/>
      <c r="V1019" s="80"/>
    </row>
    <row r="1020" spans="8:22">
      <c r="H1020" s="154"/>
      <c r="K1020" s="154"/>
      <c r="N1020" s="154"/>
      <c r="Q1020" s="154"/>
      <c r="V1020" s="80"/>
    </row>
    <row r="1021" spans="8:22">
      <c r="H1021" s="154"/>
      <c r="K1021" s="154"/>
      <c r="N1021" s="154"/>
      <c r="Q1021" s="154"/>
      <c r="V1021" s="80"/>
    </row>
    <row r="1022" spans="8:22">
      <c r="H1022" s="154"/>
      <c r="K1022" s="154"/>
      <c r="N1022" s="154"/>
      <c r="Q1022" s="154"/>
      <c r="V1022" s="80"/>
    </row>
    <row r="1023" spans="8:22">
      <c r="H1023" s="154"/>
      <c r="K1023" s="154"/>
      <c r="N1023" s="154"/>
      <c r="Q1023" s="154"/>
      <c r="V1023" s="80"/>
    </row>
    <row r="1024" spans="8:22">
      <c r="H1024" s="154"/>
      <c r="K1024" s="154"/>
      <c r="N1024" s="154"/>
      <c r="Q1024" s="154"/>
      <c r="V1024" s="80"/>
    </row>
    <row r="1025" spans="8:22">
      <c r="H1025" s="154"/>
      <c r="K1025" s="154"/>
      <c r="N1025" s="154"/>
      <c r="Q1025" s="154"/>
      <c r="V1025" s="80"/>
    </row>
    <row r="1026" spans="8:22">
      <c r="H1026" s="154"/>
      <c r="K1026" s="154"/>
      <c r="N1026" s="154"/>
      <c r="Q1026" s="154"/>
      <c r="V1026" s="80"/>
    </row>
    <row r="1027" spans="8:22">
      <c r="H1027" s="154"/>
      <c r="K1027" s="154"/>
      <c r="N1027" s="154"/>
      <c r="Q1027" s="154"/>
      <c r="V1027" s="80"/>
    </row>
    <row r="1028" spans="8:22">
      <c r="H1028" s="154"/>
      <c r="K1028" s="154"/>
      <c r="N1028" s="154"/>
      <c r="Q1028" s="154"/>
      <c r="V1028" s="80"/>
    </row>
    <row r="1029" spans="8:22">
      <c r="H1029" s="154"/>
      <c r="K1029" s="154"/>
      <c r="N1029" s="154"/>
      <c r="Q1029" s="154"/>
      <c r="V1029" s="80"/>
    </row>
    <row r="1030" spans="8:22">
      <c r="H1030" s="154"/>
      <c r="K1030" s="154"/>
      <c r="N1030" s="154"/>
      <c r="Q1030" s="154"/>
      <c r="V1030" s="80"/>
    </row>
    <row r="1031" spans="8:22">
      <c r="H1031" s="154"/>
      <c r="K1031" s="154"/>
      <c r="N1031" s="154"/>
      <c r="Q1031" s="154"/>
      <c r="V1031" s="80"/>
    </row>
    <row r="1032" spans="8:22">
      <c r="H1032" s="154"/>
      <c r="K1032" s="154"/>
      <c r="N1032" s="154"/>
      <c r="Q1032" s="154"/>
      <c r="V1032" s="80"/>
    </row>
    <row r="1033" spans="8:22">
      <c r="H1033" s="154"/>
      <c r="K1033" s="154"/>
      <c r="N1033" s="154"/>
      <c r="Q1033" s="154"/>
      <c r="V1033" s="80"/>
    </row>
    <row r="1034" spans="8:22">
      <c r="H1034" s="154"/>
      <c r="K1034" s="154"/>
      <c r="N1034" s="154"/>
      <c r="Q1034" s="154"/>
      <c r="V1034" s="80"/>
    </row>
    <row r="1035" spans="8:22">
      <c r="H1035" s="154"/>
      <c r="K1035" s="154"/>
      <c r="N1035" s="154"/>
      <c r="Q1035" s="154"/>
      <c r="V1035" s="80"/>
    </row>
    <row r="1036" spans="8:22">
      <c r="H1036" s="154"/>
      <c r="K1036" s="154"/>
      <c r="N1036" s="154"/>
      <c r="Q1036" s="154"/>
      <c r="V1036" s="80"/>
    </row>
    <row r="1037" spans="8:22">
      <c r="H1037" s="154"/>
      <c r="K1037" s="154"/>
      <c r="N1037" s="154"/>
      <c r="Q1037" s="154"/>
      <c r="V1037" s="80"/>
    </row>
    <row r="1038" spans="8:22">
      <c r="H1038" s="154"/>
      <c r="K1038" s="154"/>
      <c r="N1038" s="154"/>
      <c r="Q1038" s="154"/>
      <c r="V1038" s="80"/>
    </row>
    <row r="1039" spans="8:22">
      <c r="H1039" s="154"/>
      <c r="K1039" s="154"/>
      <c r="N1039" s="154"/>
      <c r="Q1039" s="154"/>
      <c r="V1039" s="80"/>
    </row>
    <row r="1040" spans="8:22">
      <c r="H1040" s="154"/>
      <c r="K1040" s="154"/>
      <c r="N1040" s="154"/>
      <c r="Q1040" s="154"/>
      <c r="V1040" s="80"/>
    </row>
    <row r="1041" spans="8:22">
      <c r="H1041" s="154"/>
      <c r="K1041" s="154"/>
      <c r="N1041" s="154"/>
      <c r="Q1041" s="154"/>
      <c r="V1041" s="80"/>
    </row>
    <row r="1042" spans="8:22">
      <c r="H1042" s="154"/>
      <c r="K1042" s="154"/>
      <c r="N1042" s="154"/>
      <c r="Q1042" s="154"/>
      <c r="V1042" s="80"/>
    </row>
    <row r="1043" spans="8:22">
      <c r="H1043" s="154"/>
      <c r="K1043" s="154"/>
      <c r="N1043" s="154"/>
      <c r="Q1043" s="154"/>
      <c r="V1043" s="80"/>
    </row>
    <row r="1044" spans="8:22">
      <c r="H1044" s="154"/>
      <c r="K1044" s="154"/>
      <c r="N1044" s="154"/>
      <c r="Q1044" s="154"/>
      <c r="V1044" s="80"/>
    </row>
    <row r="1045" spans="8:22">
      <c r="H1045" s="154"/>
      <c r="K1045" s="154"/>
      <c r="N1045" s="154"/>
      <c r="Q1045" s="154"/>
      <c r="V1045" s="80"/>
    </row>
    <row r="1046" spans="8:22">
      <c r="H1046" s="154"/>
      <c r="K1046" s="154"/>
      <c r="N1046" s="154"/>
      <c r="Q1046" s="154"/>
      <c r="V1046" s="80"/>
    </row>
    <row r="1047" spans="8:22">
      <c r="H1047" s="154"/>
      <c r="K1047" s="154"/>
      <c r="N1047" s="154"/>
      <c r="Q1047" s="154"/>
      <c r="V1047" s="80"/>
    </row>
    <row r="1048" spans="8:22">
      <c r="H1048" s="154"/>
      <c r="K1048" s="154"/>
      <c r="N1048" s="154"/>
      <c r="Q1048" s="154"/>
      <c r="V1048" s="80"/>
    </row>
    <row r="1049" spans="8:22">
      <c r="H1049" s="154"/>
      <c r="K1049" s="154"/>
      <c r="N1049" s="154"/>
      <c r="Q1049" s="154"/>
      <c r="V1049" s="80"/>
    </row>
    <row r="1050" spans="8:22">
      <c r="H1050" s="154"/>
      <c r="K1050" s="154"/>
      <c r="N1050" s="154"/>
      <c r="Q1050" s="154"/>
      <c r="V1050" s="80"/>
    </row>
    <row r="1051" spans="8:22">
      <c r="H1051" s="154"/>
      <c r="K1051" s="154"/>
      <c r="N1051" s="154"/>
      <c r="Q1051" s="154"/>
      <c r="V1051" s="80"/>
    </row>
    <row r="1052" spans="8:22">
      <c r="H1052" s="154"/>
      <c r="K1052" s="154"/>
      <c r="N1052" s="154"/>
      <c r="Q1052" s="154"/>
      <c r="V1052" s="80"/>
    </row>
    <row r="1053" spans="8:22">
      <c r="H1053" s="154"/>
      <c r="K1053" s="154"/>
      <c r="N1053" s="154"/>
      <c r="Q1053" s="154"/>
      <c r="V1053" s="80"/>
    </row>
    <row r="1054" spans="8:22">
      <c r="H1054" s="154"/>
      <c r="K1054" s="154"/>
      <c r="N1054" s="154"/>
      <c r="Q1054" s="154"/>
      <c r="V1054" s="80"/>
    </row>
    <row r="1055" spans="8:22">
      <c r="H1055" s="154"/>
      <c r="K1055" s="154"/>
      <c r="N1055" s="154"/>
      <c r="Q1055" s="154"/>
      <c r="V1055" s="80"/>
    </row>
    <row r="1056" spans="8:22">
      <c r="H1056" s="154"/>
      <c r="K1056" s="154"/>
      <c r="N1056" s="154"/>
      <c r="Q1056" s="154"/>
      <c r="V1056" s="80"/>
    </row>
    <row r="1057" spans="8:22">
      <c r="H1057" s="154"/>
      <c r="K1057" s="154"/>
      <c r="N1057" s="154"/>
      <c r="Q1057" s="154"/>
      <c r="V1057" s="80"/>
    </row>
    <row r="1058" spans="8:22">
      <c r="H1058" s="154"/>
      <c r="K1058" s="154"/>
      <c r="N1058" s="154"/>
      <c r="Q1058" s="154"/>
      <c r="V1058" s="80"/>
    </row>
    <row r="1059" spans="8:22">
      <c r="H1059" s="154"/>
      <c r="K1059" s="154"/>
      <c r="N1059" s="154"/>
      <c r="Q1059" s="154"/>
      <c r="V1059" s="80"/>
    </row>
    <row r="1060" spans="8:22">
      <c r="H1060" s="154"/>
      <c r="K1060" s="154"/>
      <c r="N1060" s="154"/>
      <c r="Q1060" s="154"/>
      <c r="V1060" s="80"/>
    </row>
    <row r="1061" spans="8:22">
      <c r="H1061" s="154"/>
      <c r="K1061" s="154"/>
      <c r="N1061" s="154"/>
      <c r="Q1061" s="154"/>
      <c r="V1061" s="80"/>
    </row>
    <row r="1062" spans="8:22">
      <c r="H1062" s="154"/>
      <c r="K1062" s="154"/>
      <c r="N1062" s="154"/>
      <c r="Q1062" s="154"/>
      <c r="V1062" s="80"/>
    </row>
    <row r="1063" spans="8:22">
      <c r="H1063" s="154"/>
      <c r="K1063" s="154"/>
      <c r="N1063" s="154"/>
      <c r="Q1063" s="154"/>
      <c r="V1063" s="80"/>
    </row>
    <row r="1064" spans="8:22">
      <c r="H1064" s="154"/>
      <c r="K1064" s="154"/>
      <c r="N1064" s="154"/>
      <c r="Q1064" s="154"/>
      <c r="V1064" s="80"/>
    </row>
    <row r="1065" spans="8:22">
      <c r="H1065" s="154"/>
      <c r="K1065" s="154"/>
      <c r="N1065" s="154"/>
      <c r="Q1065" s="154"/>
      <c r="V1065" s="80"/>
    </row>
    <row r="1066" spans="8:22">
      <c r="H1066" s="154"/>
      <c r="K1066" s="154"/>
      <c r="N1066" s="154"/>
      <c r="Q1066" s="154"/>
      <c r="V1066" s="80"/>
    </row>
    <row r="1067" spans="8:22">
      <c r="H1067" s="154"/>
      <c r="K1067" s="154"/>
      <c r="N1067" s="154"/>
      <c r="Q1067" s="154"/>
      <c r="V1067" s="80"/>
    </row>
    <row r="1068" spans="8:22">
      <c r="H1068" s="154"/>
      <c r="K1068" s="154"/>
      <c r="N1068" s="154"/>
      <c r="Q1068" s="154"/>
      <c r="V1068" s="80"/>
    </row>
    <row r="1069" spans="8:22">
      <c r="H1069" s="154"/>
      <c r="K1069" s="154"/>
      <c r="N1069" s="154"/>
      <c r="Q1069" s="154"/>
      <c r="V1069" s="80"/>
    </row>
    <row r="1070" spans="8:22">
      <c r="H1070" s="154"/>
      <c r="K1070" s="154"/>
      <c r="N1070" s="154"/>
      <c r="Q1070" s="154"/>
      <c r="V1070" s="80"/>
    </row>
    <row r="1071" spans="8:22">
      <c r="H1071" s="154"/>
      <c r="K1071" s="154"/>
      <c r="N1071" s="154"/>
      <c r="Q1071" s="154"/>
      <c r="V1071" s="80"/>
    </row>
    <row r="1072" spans="8:22">
      <c r="H1072" s="154"/>
      <c r="K1072" s="154"/>
      <c r="N1072" s="154"/>
      <c r="Q1072" s="154"/>
      <c r="V1072" s="80"/>
    </row>
    <row r="1073" spans="8:22">
      <c r="H1073" s="154"/>
      <c r="K1073" s="154"/>
      <c r="N1073" s="154"/>
      <c r="Q1073" s="154"/>
      <c r="V1073" s="80"/>
    </row>
    <row r="1074" spans="8:22">
      <c r="H1074" s="154"/>
      <c r="K1074" s="154"/>
      <c r="N1074" s="154"/>
      <c r="Q1074" s="154"/>
      <c r="V1074" s="80"/>
    </row>
    <row r="1075" spans="8:22">
      <c r="H1075" s="154"/>
      <c r="K1075" s="154"/>
      <c r="N1075" s="154"/>
      <c r="Q1075" s="154"/>
      <c r="V1075" s="80"/>
    </row>
    <row r="1076" spans="8:22">
      <c r="H1076" s="154"/>
      <c r="K1076" s="154"/>
      <c r="N1076" s="154"/>
      <c r="Q1076" s="154"/>
      <c r="V1076" s="80"/>
    </row>
    <row r="1077" spans="8:22">
      <c r="H1077" s="154"/>
      <c r="K1077" s="154"/>
      <c r="N1077" s="154"/>
      <c r="Q1077" s="154"/>
      <c r="V1077" s="80"/>
    </row>
    <row r="1078" spans="8:22">
      <c r="H1078" s="154"/>
      <c r="K1078" s="154"/>
      <c r="N1078" s="154"/>
      <c r="Q1078" s="154"/>
      <c r="V1078" s="80"/>
    </row>
    <row r="1079" spans="8:22">
      <c r="H1079" s="154"/>
      <c r="K1079" s="154"/>
      <c r="N1079" s="154"/>
      <c r="Q1079" s="154"/>
      <c r="V1079" s="80"/>
    </row>
    <row r="1080" spans="8:22">
      <c r="H1080" s="154"/>
      <c r="K1080" s="154"/>
      <c r="N1080" s="154"/>
      <c r="Q1080" s="154"/>
      <c r="V1080" s="80"/>
    </row>
    <row r="1081" spans="8:22">
      <c r="H1081" s="154"/>
      <c r="K1081" s="154"/>
      <c r="N1081" s="154"/>
      <c r="Q1081" s="154"/>
      <c r="V1081" s="80"/>
    </row>
    <row r="1082" spans="8:22">
      <c r="H1082" s="154"/>
      <c r="K1082" s="154"/>
      <c r="N1082" s="154"/>
      <c r="Q1082" s="154"/>
      <c r="V1082" s="80"/>
    </row>
    <row r="1083" spans="8:22">
      <c r="H1083" s="154"/>
      <c r="K1083" s="154"/>
      <c r="N1083" s="154"/>
      <c r="Q1083" s="154"/>
      <c r="V1083" s="80"/>
    </row>
    <row r="1084" spans="8:22">
      <c r="H1084" s="154"/>
      <c r="K1084" s="154"/>
      <c r="N1084" s="154"/>
      <c r="Q1084" s="154"/>
      <c r="V1084" s="80"/>
    </row>
    <row r="1085" spans="8:22">
      <c r="H1085" s="154"/>
      <c r="K1085" s="154"/>
      <c r="N1085" s="154"/>
      <c r="Q1085" s="154"/>
      <c r="V1085" s="80"/>
    </row>
    <row r="1086" spans="8:22">
      <c r="H1086" s="154"/>
      <c r="K1086" s="154"/>
      <c r="N1086" s="154"/>
      <c r="Q1086" s="154"/>
      <c r="V1086" s="80"/>
    </row>
    <row r="1087" spans="8:22">
      <c r="H1087" s="154"/>
      <c r="K1087" s="154"/>
      <c r="N1087" s="154"/>
      <c r="Q1087" s="154"/>
      <c r="V1087" s="80"/>
    </row>
    <row r="1088" spans="8:22">
      <c r="H1088" s="154"/>
      <c r="K1088" s="154"/>
      <c r="N1088" s="154"/>
      <c r="Q1088" s="154"/>
      <c r="V1088" s="80"/>
    </row>
    <row r="1089" spans="8:22">
      <c r="H1089" s="154"/>
      <c r="K1089" s="154"/>
      <c r="N1089" s="154"/>
      <c r="Q1089" s="154"/>
      <c r="V1089" s="80"/>
    </row>
    <row r="1090" spans="8:22">
      <c r="H1090" s="154"/>
      <c r="K1090" s="154"/>
      <c r="N1090" s="154"/>
      <c r="Q1090" s="154"/>
      <c r="V1090" s="80"/>
    </row>
    <row r="1091" spans="8:22">
      <c r="H1091" s="154"/>
      <c r="K1091" s="154"/>
      <c r="N1091" s="154"/>
      <c r="Q1091" s="154"/>
      <c r="V1091" s="80"/>
    </row>
    <row r="1092" spans="8:22">
      <c r="H1092" s="154"/>
      <c r="K1092" s="154"/>
      <c r="N1092" s="154"/>
      <c r="Q1092" s="154"/>
      <c r="V1092" s="80"/>
    </row>
    <row r="1093" spans="8:22">
      <c r="H1093" s="154"/>
      <c r="K1093" s="154"/>
      <c r="N1093" s="154"/>
      <c r="Q1093" s="154"/>
      <c r="V1093" s="80"/>
    </row>
    <row r="1094" spans="8:22">
      <c r="H1094" s="154"/>
      <c r="K1094" s="154"/>
      <c r="N1094" s="154"/>
      <c r="Q1094" s="154"/>
      <c r="V1094" s="80"/>
    </row>
    <row r="1095" spans="8:22">
      <c r="H1095" s="154"/>
      <c r="K1095" s="154"/>
      <c r="N1095" s="154"/>
      <c r="Q1095" s="154"/>
      <c r="V1095" s="80"/>
    </row>
    <row r="1096" spans="8:22">
      <c r="H1096" s="154"/>
      <c r="K1096" s="154"/>
      <c r="N1096" s="154"/>
      <c r="Q1096" s="154"/>
      <c r="V1096" s="80"/>
    </row>
    <row r="1097" spans="8:22">
      <c r="H1097" s="154"/>
      <c r="K1097" s="154"/>
      <c r="N1097" s="154"/>
      <c r="Q1097" s="154"/>
      <c r="V1097" s="80"/>
    </row>
    <row r="1098" spans="8:22">
      <c r="H1098" s="154"/>
      <c r="K1098" s="154"/>
      <c r="N1098" s="154"/>
      <c r="Q1098" s="154"/>
      <c r="V1098" s="80"/>
    </row>
    <row r="1099" spans="8:22">
      <c r="H1099" s="154"/>
      <c r="K1099" s="154"/>
      <c r="N1099" s="154"/>
      <c r="Q1099" s="154"/>
      <c r="V1099" s="80"/>
    </row>
    <row r="1100" spans="8:22">
      <c r="H1100" s="154"/>
      <c r="K1100" s="154"/>
      <c r="N1100" s="154"/>
      <c r="Q1100" s="154"/>
      <c r="V1100" s="80"/>
    </row>
    <row r="1101" spans="8:22">
      <c r="H1101" s="154"/>
      <c r="K1101" s="154"/>
      <c r="N1101" s="154"/>
      <c r="Q1101" s="154"/>
      <c r="V1101" s="80"/>
    </row>
    <row r="1102" spans="8:22">
      <c r="H1102" s="154"/>
      <c r="K1102" s="154"/>
      <c r="N1102" s="154"/>
      <c r="Q1102" s="154"/>
      <c r="V1102" s="80"/>
    </row>
    <row r="1103" spans="8:22">
      <c r="H1103" s="154"/>
      <c r="K1103" s="154"/>
      <c r="N1103" s="154"/>
      <c r="Q1103" s="154"/>
      <c r="V1103" s="80"/>
    </row>
    <row r="1104" spans="8:22">
      <c r="H1104" s="154"/>
      <c r="K1104" s="154"/>
      <c r="N1104" s="154"/>
      <c r="Q1104" s="154"/>
      <c r="V1104" s="80"/>
    </row>
    <row r="1105" spans="8:22">
      <c r="H1105" s="154"/>
      <c r="K1105" s="154"/>
      <c r="N1105" s="154"/>
      <c r="Q1105" s="154"/>
      <c r="V1105" s="80"/>
    </row>
    <row r="1106" spans="8:22">
      <c r="H1106" s="154"/>
      <c r="K1106" s="154"/>
      <c r="N1106" s="154"/>
      <c r="Q1106" s="154"/>
      <c r="V1106" s="80"/>
    </row>
    <row r="1107" spans="8:22">
      <c r="H1107" s="154"/>
      <c r="K1107" s="154"/>
      <c r="N1107" s="154"/>
      <c r="Q1107" s="154"/>
      <c r="V1107" s="80"/>
    </row>
    <row r="1108" spans="8:22">
      <c r="H1108" s="154"/>
      <c r="K1108" s="154"/>
      <c r="N1108" s="154"/>
      <c r="Q1108" s="154"/>
      <c r="V1108" s="80"/>
    </row>
    <row r="1109" spans="8:22">
      <c r="H1109" s="154"/>
      <c r="K1109" s="154"/>
      <c r="N1109" s="154"/>
      <c r="Q1109" s="154"/>
      <c r="V1109" s="80"/>
    </row>
    <row r="1110" spans="8:22">
      <c r="H1110" s="154"/>
      <c r="K1110" s="154"/>
      <c r="N1110" s="154"/>
      <c r="Q1110" s="154"/>
      <c r="V1110" s="80"/>
    </row>
    <row r="1111" spans="8:22">
      <c r="H1111" s="154"/>
      <c r="K1111" s="154"/>
      <c r="N1111" s="154"/>
      <c r="Q1111" s="154"/>
      <c r="V1111" s="80"/>
    </row>
    <row r="1112" spans="8:22">
      <c r="H1112" s="154"/>
      <c r="K1112" s="154"/>
      <c r="N1112" s="154"/>
      <c r="Q1112" s="154"/>
      <c r="V1112" s="80"/>
    </row>
    <row r="1113" spans="8:22">
      <c r="H1113" s="154"/>
      <c r="K1113" s="154"/>
      <c r="N1113" s="154"/>
      <c r="Q1113" s="154"/>
      <c r="V1113" s="80"/>
    </row>
    <row r="1114" spans="8:22">
      <c r="H1114" s="154"/>
      <c r="K1114" s="154"/>
      <c r="N1114" s="154"/>
      <c r="Q1114" s="154"/>
      <c r="V1114" s="80"/>
    </row>
    <row r="1115" spans="8:22">
      <c r="H1115" s="154"/>
      <c r="K1115" s="154"/>
      <c r="N1115" s="154"/>
      <c r="Q1115" s="154"/>
      <c r="V1115" s="80"/>
    </row>
    <row r="1116" spans="8:22">
      <c r="H1116" s="154"/>
      <c r="K1116" s="154"/>
      <c r="N1116" s="154"/>
      <c r="Q1116" s="154"/>
      <c r="V1116" s="80"/>
    </row>
    <row r="1117" spans="8:22">
      <c r="H1117" s="154"/>
      <c r="K1117" s="154"/>
      <c r="N1117" s="154"/>
      <c r="Q1117" s="154"/>
      <c r="V1117" s="80"/>
    </row>
    <row r="1118" spans="8:22">
      <c r="H1118" s="154"/>
      <c r="K1118" s="154"/>
      <c r="N1118" s="154"/>
      <c r="Q1118" s="154"/>
      <c r="V1118" s="80"/>
    </row>
    <row r="1119" spans="8:22">
      <c r="H1119" s="154"/>
      <c r="K1119" s="154"/>
      <c r="N1119" s="154"/>
      <c r="Q1119" s="154"/>
      <c r="V1119" s="80"/>
    </row>
    <row r="1120" spans="8:22">
      <c r="H1120" s="154"/>
      <c r="K1120" s="154"/>
      <c r="N1120" s="154"/>
      <c r="Q1120" s="154"/>
      <c r="V1120" s="80"/>
    </row>
    <row r="1121" spans="8:22">
      <c r="H1121" s="154"/>
      <c r="K1121" s="154"/>
      <c r="N1121" s="154"/>
      <c r="Q1121" s="154"/>
      <c r="V1121" s="80"/>
    </row>
    <row r="1122" spans="8:22">
      <c r="H1122" s="154"/>
      <c r="K1122" s="154"/>
      <c r="N1122" s="154"/>
      <c r="Q1122" s="154"/>
      <c r="V1122" s="80"/>
    </row>
    <row r="1123" spans="8:22">
      <c r="H1123" s="154"/>
      <c r="K1123" s="154"/>
      <c r="N1123" s="154"/>
      <c r="Q1123" s="154"/>
      <c r="V1123" s="80"/>
    </row>
    <row r="1124" spans="8:22">
      <c r="H1124" s="154"/>
      <c r="K1124" s="154"/>
      <c r="N1124" s="154"/>
      <c r="Q1124" s="154"/>
      <c r="V1124" s="80"/>
    </row>
    <row r="1125" spans="8:22">
      <c r="H1125" s="154"/>
      <c r="K1125" s="154"/>
      <c r="N1125" s="154"/>
      <c r="Q1125" s="154"/>
      <c r="V1125" s="80"/>
    </row>
    <row r="1126" spans="8:22">
      <c r="H1126" s="154"/>
      <c r="K1126" s="154"/>
      <c r="N1126" s="154"/>
      <c r="Q1126" s="154"/>
      <c r="V1126" s="80"/>
    </row>
    <row r="1127" spans="8:22">
      <c r="H1127" s="154"/>
      <c r="K1127" s="154"/>
      <c r="N1127" s="154"/>
      <c r="Q1127" s="154"/>
      <c r="V1127" s="80"/>
    </row>
    <row r="1128" spans="8:22">
      <c r="H1128" s="154"/>
      <c r="K1128" s="154"/>
      <c r="N1128" s="154"/>
      <c r="Q1128" s="154"/>
      <c r="V1128" s="80"/>
    </row>
    <row r="1129" spans="8:22">
      <c r="H1129" s="154"/>
      <c r="K1129" s="154"/>
      <c r="N1129" s="154"/>
      <c r="Q1129" s="154"/>
      <c r="V1129" s="80"/>
    </row>
    <row r="1130" spans="8:22">
      <c r="H1130" s="154"/>
      <c r="K1130" s="154"/>
      <c r="N1130" s="154"/>
      <c r="Q1130" s="154"/>
      <c r="V1130" s="80"/>
    </row>
    <row r="1131" spans="8:22">
      <c r="H1131" s="154"/>
      <c r="K1131" s="154"/>
      <c r="N1131" s="154"/>
      <c r="Q1131" s="154"/>
      <c r="V1131" s="80"/>
    </row>
    <row r="1132" spans="8:22">
      <c r="H1132" s="154"/>
      <c r="K1132" s="154"/>
      <c r="N1132" s="154"/>
      <c r="Q1132" s="154"/>
      <c r="V1132" s="80"/>
    </row>
    <row r="1133" spans="8:22">
      <c r="H1133" s="154"/>
      <c r="K1133" s="154"/>
      <c r="N1133" s="154"/>
      <c r="Q1133" s="154"/>
      <c r="V1133" s="80"/>
    </row>
    <row r="1134" spans="8:22">
      <c r="H1134" s="154"/>
      <c r="K1134" s="154"/>
      <c r="N1134" s="154"/>
      <c r="Q1134" s="154"/>
      <c r="V1134" s="80"/>
    </row>
    <row r="1135" spans="8:22">
      <c r="H1135" s="154"/>
      <c r="K1135" s="154"/>
      <c r="N1135" s="154"/>
      <c r="Q1135" s="154"/>
      <c r="V1135" s="80"/>
    </row>
    <row r="1136" spans="8:22">
      <c r="H1136" s="154"/>
      <c r="K1136" s="154"/>
      <c r="N1136" s="154"/>
      <c r="Q1136" s="154"/>
      <c r="V1136" s="80"/>
    </row>
    <row r="1137" spans="8:22">
      <c r="H1137" s="154"/>
      <c r="K1137" s="154"/>
      <c r="N1137" s="154"/>
      <c r="Q1137" s="154"/>
      <c r="V1137" s="80"/>
    </row>
    <row r="1138" spans="8:22">
      <c r="H1138" s="154"/>
      <c r="K1138" s="154"/>
      <c r="N1138" s="154"/>
      <c r="Q1138" s="154"/>
      <c r="V1138" s="80"/>
    </row>
    <row r="1139" spans="8:22">
      <c r="H1139" s="154"/>
      <c r="K1139" s="154"/>
      <c r="N1139" s="154"/>
      <c r="Q1139" s="154"/>
      <c r="V1139" s="80"/>
    </row>
    <row r="1140" spans="8:22">
      <c r="H1140" s="154"/>
      <c r="K1140" s="154"/>
      <c r="N1140" s="154"/>
      <c r="Q1140" s="154"/>
      <c r="V1140" s="80"/>
    </row>
    <row r="1141" spans="8:22">
      <c r="H1141" s="154"/>
      <c r="K1141" s="154"/>
      <c r="N1141" s="154"/>
      <c r="Q1141" s="154"/>
      <c r="V1141" s="80"/>
    </row>
    <row r="1142" spans="8:22">
      <c r="H1142" s="154"/>
      <c r="K1142" s="154"/>
      <c r="N1142" s="154"/>
      <c r="Q1142" s="154"/>
      <c r="V1142" s="80"/>
    </row>
    <row r="1143" spans="8:22">
      <c r="H1143" s="154"/>
      <c r="K1143" s="154"/>
      <c r="N1143" s="154"/>
      <c r="Q1143" s="154"/>
      <c r="V1143" s="80"/>
    </row>
    <row r="1144" spans="8:22">
      <c r="H1144" s="154"/>
      <c r="K1144" s="154"/>
      <c r="N1144" s="154"/>
      <c r="Q1144" s="154"/>
      <c r="V1144" s="80"/>
    </row>
    <row r="1145" spans="8:22">
      <c r="H1145" s="154"/>
      <c r="K1145" s="154"/>
      <c r="N1145" s="154"/>
      <c r="Q1145" s="154"/>
      <c r="V1145" s="80"/>
    </row>
    <row r="1146" spans="8:22">
      <c r="H1146" s="154"/>
      <c r="K1146" s="154"/>
      <c r="N1146" s="154"/>
      <c r="Q1146" s="154"/>
      <c r="V1146" s="80"/>
    </row>
    <row r="1147" spans="8:22">
      <c r="H1147" s="154"/>
      <c r="K1147" s="154"/>
      <c r="N1147" s="154"/>
      <c r="Q1147" s="154"/>
      <c r="V1147" s="80"/>
    </row>
    <row r="1148" spans="8:22">
      <c r="H1148" s="154"/>
      <c r="K1148" s="154"/>
      <c r="N1148" s="154"/>
      <c r="Q1148" s="154"/>
      <c r="V1148" s="80"/>
    </row>
    <row r="1149" spans="8:22">
      <c r="H1149" s="154"/>
      <c r="K1149" s="154"/>
      <c r="N1149" s="154"/>
      <c r="Q1149" s="154"/>
      <c r="V1149" s="80"/>
    </row>
    <row r="1150" spans="8:22">
      <c r="H1150" s="154"/>
      <c r="K1150" s="154"/>
      <c r="N1150" s="154"/>
      <c r="Q1150" s="154"/>
      <c r="V1150" s="80"/>
    </row>
    <row r="1151" spans="8:22">
      <c r="H1151" s="154"/>
      <c r="K1151" s="154"/>
      <c r="N1151" s="154"/>
      <c r="Q1151" s="154"/>
      <c r="V1151" s="80"/>
    </row>
    <row r="1152" spans="8:22">
      <c r="H1152" s="154"/>
      <c r="K1152" s="154"/>
      <c r="N1152" s="154"/>
      <c r="Q1152" s="154"/>
      <c r="V1152" s="80"/>
    </row>
    <row r="1153" spans="8:22">
      <c r="H1153" s="154"/>
      <c r="K1153" s="154"/>
      <c r="N1153" s="154"/>
      <c r="Q1153" s="154"/>
      <c r="V1153" s="80"/>
    </row>
    <row r="1154" spans="8:22">
      <c r="H1154" s="154"/>
      <c r="K1154" s="154"/>
      <c r="N1154" s="154"/>
      <c r="Q1154" s="154"/>
      <c r="V1154" s="80"/>
    </row>
    <row r="1155" spans="8:22">
      <c r="H1155" s="154"/>
      <c r="K1155" s="154"/>
      <c r="N1155" s="154"/>
      <c r="Q1155" s="154"/>
      <c r="V1155" s="80"/>
    </row>
    <row r="1156" spans="8:22">
      <c r="H1156" s="154"/>
      <c r="K1156" s="154"/>
      <c r="N1156" s="154"/>
      <c r="Q1156" s="154"/>
      <c r="V1156" s="80"/>
    </row>
    <row r="1157" spans="8:22">
      <c r="H1157" s="154"/>
      <c r="K1157" s="154"/>
      <c r="N1157" s="154"/>
      <c r="Q1157" s="154"/>
      <c r="V1157" s="80"/>
    </row>
    <row r="1158" spans="8:22">
      <c r="H1158" s="154"/>
      <c r="K1158" s="154"/>
      <c r="N1158" s="154"/>
      <c r="Q1158" s="154"/>
      <c r="V1158" s="80"/>
    </row>
    <row r="1159" spans="8:22">
      <c r="H1159" s="154"/>
      <c r="K1159" s="154"/>
      <c r="N1159" s="154"/>
      <c r="Q1159" s="154"/>
      <c r="V1159" s="80"/>
    </row>
    <row r="1160" spans="8:22">
      <c r="H1160" s="154"/>
      <c r="K1160" s="154"/>
      <c r="N1160" s="154"/>
      <c r="Q1160" s="154"/>
      <c r="V1160" s="80"/>
    </row>
    <row r="1161" spans="8:22">
      <c r="H1161" s="154"/>
      <c r="K1161" s="154"/>
      <c r="N1161" s="154"/>
      <c r="Q1161" s="154"/>
      <c r="V1161" s="80"/>
    </row>
    <row r="1162" spans="8:22">
      <c r="H1162" s="154"/>
      <c r="K1162" s="154"/>
      <c r="N1162" s="154"/>
      <c r="Q1162" s="154"/>
      <c r="V1162" s="80"/>
    </row>
    <row r="1163" spans="8:22">
      <c r="H1163" s="154"/>
      <c r="K1163" s="154"/>
      <c r="N1163" s="154"/>
      <c r="Q1163" s="154"/>
      <c r="V1163" s="80"/>
    </row>
    <row r="1164" spans="8:22">
      <c r="H1164" s="154"/>
      <c r="K1164" s="154"/>
      <c r="N1164" s="154"/>
      <c r="Q1164" s="154"/>
      <c r="V1164" s="80"/>
    </row>
    <row r="1165" spans="8:22">
      <c r="H1165" s="154"/>
      <c r="K1165" s="154"/>
      <c r="N1165" s="154"/>
      <c r="Q1165" s="154"/>
      <c r="V1165" s="80"/>
    </row>
    <row r="1166" spans="8:22">
      <c r="H1166" s="154"/>
      <c r="K1166" s="154"/>
      <c r="N1166" s="154"/>
      <c r="Q1166" s="154"/>
      <c r="V1166" s="80"/>
    </row>
    <row r="1167" spans="8:22">
      <c r="H1167" s="154"/>
      <c r="K1167" s="154"/>
      <c r="N1167" s="154"/>
      <c r="Q1167" s="154"/>
      <c r="V1167" s="80"/>
    </row>
    <row r="1168" spans="8:22">
      <c r="H1168" s="154"/>
      <c r="K1168" s="154"/>
      <c r="N1168" s="154"/>
      <c r="Q1168" s="154"/>
      <c r="V1168" s="80"/>
    </row>
    <row r="1169" spans="8:22">
      <c r="H1169" s="154"/>
      <c r="K1169" s="154"/>
      <c r="N1169" s="154"/>
      <c r="Q1169" s="154"/>
      <c r="V1169" s="80"/>
    </row>
    <row r="1170" spans="8:22">
      <c r="H1170" s="154"/>
      <c r="K1170" s="154"/>
      <c r="N1170" s="154"/>
      <c r="Q1170" s="154"/>
      <c r="V1170" s="80"/>
    </row>
    <row r="1171" spans="8:22">
      <c r="H1171" s="154"/>
      <c r="K1171" s="154"/>
      <c r="N1171" s="154"/>
      <c r="Q1171" s="154"/>
      <c r="V1171" s="80"/>
    </row>
    <row r="1172" spans="8:22">
      <c r="H1172" s="154"/>
      <c r="K1172" s="154"/>
      <c r="N1172" s="154"/>
      <c r="Q1172" s="154"/>
      <c r="V1172" s="80"/>
    </row>
    <row r="1173" spans="8:22">
      <c r="H1173" s="154"/>
      <c r="K1173" s="154"/>
      <c r="N1173" s="154"/>
      <c r="Q1173" s="154"/>
      <c r="V1173" s="80"/>
    </row>
    <row r="1174" spans="8:22">
      <c r="H1174" s="154"/>
      <c r="K1174" s="154"/>
      <c r="N1174" s="154"/>
      <c r="Q1174" s="154"/>
      <c r="V1174" s="80"/>
    </row>
    <row r="1175" spans="8:22">
      <c r="H1175" s="154"/>
      <c r="K1175" s="154"/>
      <c r="N1175" s="154"/>
      <c r="Q1175" s="154"/>
      <c r="V1175" s="80"/>
    </row>
    <row r="1176" spans="8:22">
      <c r="H1176" s="154"/>
      <c r="K1176" s="154"/>
      <c r="N1176" s="154"/>
      <c r="Q1176" s="154"/>
      <c r="V1176" s="80"/>
    </row>
    <row r="1177" spans="8:22">
      <c r="H1177" s="154"/>
      <c r="K1177" s="154"/>
      <c r="N1177" s="154"/>
      <c r="Q1177" s="154"/>
      <c r="V1177" s="80"/>
    </row>
    <row r="1178" spans="8:22">
      <c r="H1178" s="154"/>
      <c r="K1178" s="154"/>
      <c r="N1178" s="154"/>
      <c r="Q1178" s="154"/>
      <c r="V1178" s="80"/>
    </row>
    <row r="1179" spans="8:22">
      <c r="H1179" s="154"/>
      <c r="K1179" s="154"/>
      <c r="N1179" s="154"/>
      <c r="Q1179" s="154"/>
      <c r="V1179" s="80"/>
    </row>
    <row r="1180" spans="8:22">
      <c r="H1180" s="154"/>
      <c r="K1180" s="154"/>
      <c r="N1180" s="154"/>
      <c r="Q1180" s="154"/>
      <c r="V1180" s="80"/>
    </row>
    <row r="1181" spans="8:22">
      <c r="H1181" s="154"/>
      <c r="K1181" s="154"/>
      <c r="N1181" s="154"/>
      <c r="Q1181" s="154"/>
      <c r="V1181" s="80"/>
    </row>
    <row r="1182" spans="8:22">
      <c r="H1182" s="154"/>
      <c r="K1182" s="154"/>
      <c r="N1182" s="154"/>
      <c r="Q1182" s="154"/>
      <c r="V1182" s="80"/>
    </row>
    <row r="1183" spans="8:22">
      <c r="H1183" s="154"/>
      <c r="K1183" s="154"/>
      <c r="N1183" s="154"/>
      <c r="Q1183" s="154"/>
      <c r="V1183" s="80"/>
    </row>
    <row r="1184" spans="8:22">
      <c r="H1184" s="154"/>
      <c r="K1184" s="154"/>
      <c r="N1184" s="154"/>
      <c r="Q1184" s="154"/>
      <c r="V1184" s="80"/>
    </row>
    <row r="1185" spans="8:22">
      <c r="H1185" s="154"/>
      <c r="K1185" s="154"/>
      <c r="N1185" s="154"/>
      <c r="Q1185" s="154"/>
      <c r="V1185" s="80"/>
    </row>
    <row r="1186" spans="8:22">
      <c r="H1186" s="154"/>
      <c r="K1186" s="154"/>
      <c r="N1186" s="154"/>
      <c r="Q1186" s="154"/>
      <c r="V1186" s="80"/>
    </row>
    <row r="1187" spans="8:22">
      <c r="H1187" s="154"/>
      <c r="K1187" s="154"/>
      <c r="N1187" s="154"/>
      <c r="Q1187" s="154"/>
      <c r="V1187" s="80"/>
    </row>
    <row r="1188" spans="8:22">
      <c r="H1188" s="154"/>
      <c r="K1188" s="154"/>
      <c r="N1188" s="154"/>
      <c r="Q1188" s="154"/>
      <c r="V1188" s="80"/>
    </row>
    <row r="1189" spans="8:22">
      <c r="H1189" s="154"/>
      <c r="K1189" s="154"/>
      <c r="N1189" s="154"/>
      <c r="Q1189" s="154"/>
      <c r="V1189" s="80"/>
    </row>
    <row r="1190" spans="8:22">
      <c r="H1190" s="154"/>
      <c r="K1190" s="154"/>
      <c r="N1190" s="154"/>
      <c r="Q1190" s="154"/>
      <c r="V1190" s="80"/>
    </row>
    <row r="1191" spans="8:22">
      <c r="H1191" s="154"/>
      <c r="K1191" s="154"/>
      <c r="N1191" s="154"/>
      <c r="Q1191" s="154"/>
      <c r="V1191" s="80"/>
    </row>
    <row r="1192" spans="8:22">
      <c r="H1192" s="154"/>
      <c r="K1192" s="154"/>
      <c r="N1192" s="154"/>
      <c r="Q1192" s="154"/>
      <c r="V1192" s="80"/>
    </row>
    <row r="1193" spans="8:22">
      <c r="H1193" s="154"/>
      <c r="K1193" s="154"/>
      <c r="N1193" s="154"/>
      <c r="Q1193" s="154"/>
      <c r="V1193" s="80"/>
    </row>
    <row r="1194" spans="8:22">
      <c r="H1194" s="154"/>
      <c r="K1194" s="154"/>
      <c r="N1194" s="154"/>
      <c r="Q1194" s="154"/>
      <c r="V1194" s="80"/>
    </row>
    <row r="1195" spans="8:22">
      <c r="H1195" s="154"/>
      <c r="K1195" s="154"/>
      <c r="N1195" s="154"/>
      <c r="Q1195" s="154"/>
      <c r="V1195" s="80"/>
    </row>
    <row r="1196" spans="8:22">
      <c r="H1196" s="154"/>
      <c r="K1196" s="154"/>
      <c r="N1196" s="154"/>
      <c r="Q1196" s="154"/>
      <c r="V1196" s="80"/>
    </row>
    <row r="1197" spans="8:22">
      <c r="H1197" s="154"/>
      <c r="K1197" s="154"/>
      <c r="N1197" s="154"/>
      <c r="Q1197" s="154"/>
      <c r="V1197" s="80"/>
    </row>
    <row r="1198" spans="8:22">
      <c r="H1198" s="154"/>
      <c r="K1198" s="154"/>
      <c r="N1198" s="154"/>
      <c r="Q1198" s="154"/>
      <c r="V1198" s="80"/>
    </row>
    <row r="1199" spans="8:22">
      <c r="H1199" s="154"/>
      <c r="K1199" s="154"/>
      <c r="N1199" s="154"/>
      <c r="Q1199" s="154"/>
      <c r="V1199" s="80"/>
    </row>
    <row r="1200" spans="8:22">
      <c r="H1200" s="154"/>
      <c r="K1200" s="154"/>
      <c r="N1200" s="154"/>
      <c r="Q1200" s="154"/>
      <c r="V1200" s="80"/>
    </row>
    <row r="1201" spans="8:22">
      <c r="H1201" s="154"/>
      <c r="K1201" s="154"/>
      <c r="N1201" s="154"/>
      <c r="Q1201" s="154"/>
      <c r="V1201" s="80"/>
    </row>
    <row r="1202" spans="8:22">
      <c r="H1202" s="154"/>
      <c r="K1202" s="154"/>
      <c r="N1202" s="154"/>
      <c r="Q1202" s="154"/>
      <c r="V1202" s="80"/>
    </row>
    <row r="1203" spans="8:22">
      <c r="H1203" s="154"/>
      <c r="K1203" s="154"/>
      <c r="N1203" s="154"/>
      <c r="Q1203" s="154"/>
      <c r="V1203" s="80"/>
    </row>
    <row r="1204" spans="8:22">
      <c r="H1204" s="154"/>
      <c r="K1204" s="154"/>
      <c r="N1204" s="154"/>
      <c r="Q1204" s="154"/>
      <c r="V1204" s="80"/>
    </row>
    <row r="1205" spans="8:22">
      <c r="H1205" s="154"/>
      <c r="K1205" s="154"/>
      <c r="N1205" s="154"/>
      <c r="Q1205" s="154"/>
      <c r="V1205" s="80"/>
    </row>
    <row r="1206" spans="8:22">
      <c r="H1206" s="154"/>
      <c r="K1206" s="154"/>
      <c r="N1206" s="154"/>
      <c r="Q1206" s="154"/>
      <c r="V1206" s="80"/>
    </row>
    <row r="1207" spans="8:22">
      <c r="H1207" s="154"/>
      <c r="K1207" s="154"/>
      <c r="N1207" s="154"/>
      <c r="Q1207" s="154"/>
      <c r="V1207" s="80"/>
    </row>
    <row r="1208" spans="8:22">
      <c r="H1208" s="154"/>
      <c r="K1208" s="154"/>
      <c r="N1208" s="154"/>
      <c r="Q1208" s="154"/>
      <c r="V1208" s="80"/>
    </row>
    <row r="1209" spans="8:22">
      <c r="H1209" s="154"/>
      <c r="K1209" s="154"/>
      <c r="N1209" s="154"/>
      <c r="Q1209" s="154"/>
      <c r="V1209" s="80"/>
    </row>
    <row r="1210" spans="8:22">
      <c r="H1210" s="154"/>
      <c r="K1210" s="154"/>
      <c r="N1210" s="154"/>
      <c r="Q1210" s="154"/>
      <c r="V1210" s="80"/>
    </row>
    <row r="1211" spans="8:22">
      <c r="H1211" s="154"/>
      <c r="K1211" s="154"/>
      <c r="N1211" s="154"/>
      <c r="Q1211" s="154"/>
      <c r="V1211" s="80"/>
    </row>
    <row r="1212" spans="8:22">
      <c r="H1212" s="154"/>
      <c r="K1212" s="154"/>
      <c r="N1212" s="154"/>
      <c r="Q1212" s="154"/>
      <c r="V1212" s="80"/>
    </row>
    <row r="1213" spans="8:22">
      <c r="H1213" s="154"/>
      <c r="K1213" s="154"/>
      <c r="N1213" s="154"/>
      <c r="Q1213" s="154"/>
      <c r="V1213" s="80"/>
    </row>
    <row r="1214" spans="8:22">
      <c r="H1214" s="154"/>
      <c r="K1214" s="154"/>
      <c r="N1214" s="154"/>
      <c r="Q1214" s="154"/>
      <c r="V1214" s="80"/>
    </row>
    <row r="1215" spans="8:22">
      <c r="H1215" s="154"/>
      <c r="K1215" s="154"/>
      <c r="N1215" s="154"/>
      <c r="Q1215" s="154"/>
      <c r="V1215" s="80"/>
    </row>
    <row r="1216" spans="8:22">
      <c r="H1216" s="154"/>
      <c r="K1216" s="154"/>
      <c r="N1216" s="154"/>
      <c r="Q1216" s="154"/>
      <c r="V1216" s="80"/>
    </row>
    <row r="1217" spans="8:22">
      <c r="H1217" s="154"/>
      <c r="K1217" s="154"/>
      <c r="N1217" s="154"/>
      <c r="Q1217" s="154"/>
      <c r="V1217" s="80"/>
    </row>
    <row r="1218" spans="8:22">
      <c r="H1218" s="154"/>
      <c r="K1218" s="154"/>
      <c r="N1218" s="154"/>
      <c r="Q1218" s="154"/>
      <c r="V1218" s="80"/>
    </row>
    <row r="1219" spans="8:22">
      <c r="H1219" s="154"/>
      <c r="K1219" s="154"/>
      <c r="N1219" s="154"/>
      <c r="Q1219" s="154"/>
      <c r="V1219" s="80"/>
    </row>
    <row r="1220" spans="8:22">
      <c r="H1220" s="154"/>
      <c r="K1220" s="154"/>
      <c r="N1220" s="154"/>
      <c r="Q1220" s="154"/>
      <c r="V1220" s="80"/>
    </row>
    <row r="1221" spans="8:22">
      <c r="H1221" s="154"/>
      <c r="K1221" s="154"/>
      <c r="N1221" s="154"/>
      <c r="Q1221" s="154"/>
      <c r="V1221" s="80"/>
    </row>
    <row r="1222" spans="8:22">
      <c r="H1222" s="154"/>
      <c r="K1222" s="154"/>
      <c r="N1222" s="154"/>
      <c r="Q1222" s="154"/>
      <c r="V1222" s="80"/>
    </row>
    <row r="1223" spans="8:22">
      <c r="H1223" s="154"/>
      <c r="K1223" s="154"/>
      <c r="N1223" s="154"/>
      <c r="Q1223" s="154"/>
      <c r="V1223" s="80"/>
    </row>
    <row r="1224" spans="8:22">
      <c r="H1224" s="154"/>
      <c r="K1224" s="154"/>
      <c r="N1224" s="154"/>
      <c r="Q1224" s="154"/>
      <c r="V1224" s="80"/>
    </row>
    <row r="1225" spans="8:22">
      <c r="H1225" s="154"/>
      <c r="K1225" s="154"/>
      <c r="N1225" s="154"/>
      <c r="Q1225" s="154"/>
      <c r="V1225" s="80"/>
    </row>
    <row r="1226" spans="8:22">
      <c r="H1226" s="154"/>
      <c r="K1226" s="154"/>
      <c r="N1226" s="154"/>
      <c r="Q1226" s="154"/>
      <c r="V1226" s="80"/>
    </row>
    <row r="1227" spans="8:22">
      <c r="H1227" s="154"/>
      <c r="K1227" s="154"/>
      <c r="N1227" s="154"/>
      <c r="Q1227" s="154"/>
      <c r="V1227" s="80"/>
    </row>
    <row r="1228" spans="8:22">
      <c r="H1228" s="154"/>
      <c r="K1228" s="154"/>
      <c r="N1228" s="154"/>
      <c r="Q1228" s="154"/>
      <c r="V1228" s="80"/>
    </row>
    <row r="1229" spans="8:22">
      <c r="H1229" s="154"/>
      <c r="K1229" s="154"/>
      <c r="N1229" s="154"/>
      <c r="Q1229" s="154"/>
      <c r="V1229" s="80"/>
    </row>
    <row r="1230" spans="8:22">
      <c r="H1230" s="154"/>
      <c r="K1230" s="154"/>
      <c r="N1230" s="154"/>
      <c r="Q1230" s="154"/>
      <c r="V1230" s="80"/>
    </row>
    <row r="1231" spans="8:22">
      <c r="H1231" s="154"/>
      <c r="K1231" s="154"/>
      <c r="N1231" s="154"/>
      <c r="Q1231" s="154"/>
      <c r="V1231" s="80"/>
    </row>
    <row r="1232" spans="8:22">
      <c r="H1232" s="154"/>
      <c r="K1232" s="154"/>
      <c r="N1232" s="154"/>
      <c r="Q1232" s="154"/>
      <c r="V1232" s="80"/>
    </row>
    <row r="1233" spans="8:22">
      <c r="H1233" s="154"/>
      <c r="K1233" s="154"/>
      <c r="N1233" s="154"/>
      <c r="Q1233" s="154"/>
      <c r="V1233" s="80"/>
    </row>
    <row r="1234" spans="8:22">
      <c r="H1234" s="154"/>
      <c r="K1234" s="154"/>
      <c r="N1234" s="154"/>
      <c r="Q1234" s="154"/>
      <c r="V1234" s="80"/>
    </row>
    <row r="1235" spans="8:22">
      <c r="H1235" s="154"/>
      <c r="K1235" s="154"/>
      <c r="N1235" s="154"/>
      <c r="Q1235" s="154"/>
      <c r="V1235" s="80"/>
    </row>
    <row r="1236" spans="8:22">
      <c r="H1236" s="154"/>
      <c r="K1236" s="154"/>
      <c r="N1236" s="154"/>
      <c r="Q1236" s="154"/>
      <c r="V1236" s="80"/>
    </row>
    <row r="1237" spans="8:22">
      <c r="H1237" s="154"/>
      <c r="K1237" s="154"/>
      <c r="N1237" s="154"/>
      <c r="Q1237" s="154"/>
      <c r="V1237" s="80"/>
    </row>
    <row r="1238" spans="8:22">
      <c r="H1238" s="154"/>
      <c r="K1238" s="154"/>
      <c r="N1238" s="154"/>
      <c r="Q1238" s="154"/>
      <c r="V1238" s="80"/>
    </row>
    <row r="1239" spans="8:22">
      <c r="H1239" s="154"/>
      <c r="K1239" s="154"/>
      <c r="N1239" s="154"/>
      <c r="Q1239" s="154"/>
      <c r="V1239" s="80"/>
    </row>
    <row r="1240" spans="8:22">
      <c r="H1240" s="154"/>
      <c r="K1240" s="154"/>
      <c r="N1240" s="154"/>
      <c r="Q1240" s="154"/>
      <c r="V1240" s="80"/>
    </row>
    <row r="1241" spans="8:22">
      <c r="H1241" s="154"/>
      <c r="K1241" s="154"/>
      <c r="N1241" s="154"/>
      <c r="Q1241" s="154"/>
      <c r="V1241" s="80"/>
    </row>
    <row r="1242" spans="8:22">
      <c r="H1242" s="154"/>
      <c r="K1242" s="154"/>
      <c r="N1242" s="154"/>
      <c r="Q1242" s="154"/>
      <c r="V1242" s="80"/>
    </row>
    <row r="1243" spans="8:22">
      <c r="H1243" s="154"/>
      <c r="K1243" s="154"/>
      <c r="N1243" s="154"/>
      <c r="Q1243" s="154"/>
      <c r="V1243" s="80"/>
    </row>
    <row r="1244" spans="8:22">
      <c r="H1244" s="154"/>
      <c r="K1244" s="154"/>
      <c r="N1244" s="154"/>
      <c r="Q1244" s="154"/>
      <c r="V1244" s="80"/>
    </row>
    <row r="1245" spans="8:22">
      <c r="H1245" s="154"/>
      <c r="K1245" s="154"/>
      <c r="N1245" s="154"/>
      <c r="Q1245" s="154"/>
      <c r="V1245" s="80"/>
    </row>
    <row r="1246" spans="8:22">
      <c r="H1246" s="154"/>
      <c r="K1246" s="154"/>
      <c r="N1246" s="154"/>
      <c r="Q1246" s="154"/>
      <c r="V1246" s="80"/>
    </row>
    <row r="1247" spans="8:22">
      <c r="H1247" s="154"/>
      <c r="K1247" s="154"/>
      <c r="N1247" s="154"/>
      <c r="Q1247" s="154"/>
      <c r="V1247" s="80"/>
    </row>
    <row r="1248" spans="8:22">
      <c r="H1248" s="154"/>
      <c r="K1248" s="154"/>
      <c r="N1248" s="154"/>
      <c r="Q1248" s="154"/>
      <c r="V1248" s="80"/>
    </row>
    <row r="1249" spans="8:22">
      <c r="H1249" s="154"/>
      <c r="K1249" s="154"/>
      <c r="N1249" s="154"/>
      <c r="Q1249" s="154"/>
      <c r="V1249" s="80"/>
    </row>
    <row r="1250" spans="8:22">
      <c r="H1250" s="154"/>
      <c r="K1250" s="154"/>
      <c r="N1250" s="154"/>
      <c r="Q1250" s="154"/>
      <c r="V1250" s="80"/>
    </row>
    <row r="1251" spans="8:22">
      <c r="H1251" s="154"/>
      <c r="K1251" s="154"/>
      <c r="N1251" s="154"/>
      <c r="Q1251" s="154"/>
      <c r="V1251" s="80"/>
    </row>
    <row r="1252" spans="8:22">
      <c r="H1252" s="154"/>
      <c r="K1252" s="154"/>
      <c r="N1252" s="154"/>
      <c r="Q1252" s="154"/>
      <c r="V1252" s="80"/>
    </row>
    <row r="1253" spans="8:22">
      <c r="H1253" s="154"/>
      <c r="K1253" s="154"/>
      <c r="N1253" s="154"/>
      <c r="Q1253" s="154"/>
      <c r="V1253" s="80"/>
    </row>
    <row r="1254" spans="8:22">
      <c r="H1254" s="154"/>
      <c r="K1254" s="154"/>
      <c r="N1254" s="154"/>
      <c r="Q1254" s="154"/>
      <c r="V1254" s="80"/>
    </row>
    <row r="1255" spans="8:22">
      <c r="H1255" s="154"/>
      <c r="K1255" s="154"/>
      <c r="N1255" s="154"/>
      <c r="Q1255" s="154"/>
      <c r="V1255" s="80"/>
    </row>
    <row r="1256" spans="8:22">
      <c r="H1256" s="154"/>
      <c r="K1256" s="154"/>
      <c r="N1256" s="154"/>
      <c r="Q1256" s="154"/>
      <c r="V1256" s="80"/>
    </row>
    <row r="1257" spans="8:22">
      <c r="H1257" s="154"/>
      <c r="K1257" s="154"/>
      <c r="N1257" s="154"/>
      <c r="Q1257" s="154"/>
      <c r="V1257" s="80"/>
    </row>
    <row r="1258" spans="8:22">
      <c r="H1258" s="154"/>
      <c r="K1258" s="154"/>
      <c r="N1258" s="154"/>
      <c r="Q1258" s="154"/>
      <c r="V1258" s="80"/>
    </row>
    <row r="1259" spans="8:22">
      <c r="H1259" s="154"/>
      <c r="K1259" s="154"/>
      <c r="N1259" s="154"/>
      <c r="Q1259" s="154"/>
      <c r="V1259" s="80"/>
    </row>
    <row r="1260" spans="8:22">
      <c r="H1260" s="154"/>
      <c r="K1260" s="154"/>
      <c r="N1260" s="154"/>
      <c r="Q1260" s="154"/>
      <c r="V1260" s="80"/>
    </row>
    <row r="1261" spans="8:22">
      <c r="H1261" s="154"/>
      <c r="K1261" s="154"/>
      <c r="N1261" s="154"/>
      <c r="Q1261" s="154"/>
      <c r="V1261" s="80"/>
    </row>
    <row r="1262" spans="8:22">
      <c r="H1262" s="154"/>
      <c r="K1262" s="154"/>
      <c r="N1262" s="154"/>
      <c r="Q1262" s="154"/>
      <c r="V1262" s="80"/>
    </row>
    <row r="1263" spans="8:22">
      <c r="H1263" s="154"/>
      <c r="K1263" s="154"/>
      <c r="N1263" s="154"/>
      <c r="Q1263" s="154"/>
      <c r="V1263" s="80"/>
    </row>
  </sheetData>
  <hyperlinks>
    <hyperlink ref="J8" r:id="rId1" xr:uid="{00000000-0004-0000-0700-000000000000}"/>
    <hyperlink ref="M8" r:id="rId2" xr:uid="{00000000-0004-0000-0700-000001000000}"/>
    <hyperlink ref="P8" r:id="rId3" xr:uid="{00000000-0004-0000-0700-000002000000}"/>
    <hyperlink ref="S8" r:id="rId4" xr:uid="{00000000-0004-0000-0700-000003000000}"/>
    <hyperlink ref="V8" r:id="rId5" xr:uid="{00000000-0004-0000-0700-000004000000}"/>
  </hyperlinks>
  <pageMargins left="0.511811024" right="0.511811024" top="0.78740157499999996" bottom="0.78740157499999996" header="0.31496062000000002" footer="0.31496062000000002"/>
  <tableParts count="1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8</vt:i4>
      </vt:variant>
      <vt:variant>
        <vt:lpstr>Intervalos Nomeados</vt:lpstr>
      </vt:variant>
      <vt:variant>
        <vt:i4>1</vt:i4>
      </vt:variant>
    </vt:vector>
  </HeadingPairs>
  <TitlesOfParts>
    <vt:vector size="9" baseType="lpstr">
      <vt:lpstr>Prompts</vt:lpstr>
      <vt:lpstr>Corpora 1</vt:lpstr>
      <vt:lpstr>Corpora 2</vt:lpstr>
      <vt:lpstr>Critérios digital</vt:lpstr>
      <vt:lpstr>Critérios impresso</vt:lpstr>
      <vt:lpstr>Experimento_Automatico1_1</vt:lpstr>
      <vt:lpstr>Experimento_Automatico1_2</vt:lpstr>
      <vt:lpstr>Experimento_Automatico1_3</vt:lpstr>
      <vt:lpstr>'Corpora 2'!DadosExternos_1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Roberlei Alves Bertucci</dc:creator>
  <cp:lastModifiedBy>OSMAR DE OLIVEIRA BRAZ JUNIOR</cp:lastModifiedBy>
  <dcterms:created xsi:type="dcterms:W3CDTF">2024-04-11T22:11:03Z</dcterms:created>
  <dcterms:modified xsi:type="dcterms:W3CDTF">2026-06-17T19:21:11Z</dcterms:modified>
</cp:coreProperties>
</file>